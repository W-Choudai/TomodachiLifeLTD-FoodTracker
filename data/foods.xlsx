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Foods" sheetId="2" r:id="rId6"/>
    <sheet state="visible" name="Goods" sheetId="3" r:id="rId7"/>
    <sheet state="visible" name="Little quirks" sheetId="4" r:id="rId8"/>
    <sheet state="visible" name="Treasures" sheetId="5" r:id="rId9"/>
    <sheet state="visible" name="Clothes (Outfits)" sheetId="6" r:id="rId10"/>
    <sheet state="visible" name="Clothes (Tops)" sheetId="7" r:id="rId11"/>
    <sheet state="visible" name="Clothes (Long Tops)" sheetId="8" r:id="rId12"/>
    <sheet state="visible" name="Clothes (Legwear)" sheetId="9" r:id="rId13"/>
    <sheet state="visible" name="Clothes (Headwear)" sheetId="10" r:id="rId14"/>
    <sheet state="visible" name="Clothes (Accessories)" sheetId="11" r:id="rId15"/>
    <sheet state="visible" name="Clothes (Socks)" sheetId="12" r:id="rId16"/>
    <sheet state="visible" name="Clothes (Shoes)" sheetId="13" r:id="rId17"/>
    <sheet state="visible" name="Clothes (Costumes)" sheetId="14" r:id="rId18"/>
    <sheet state="visible" name="Interior sets" sheetId="15" r:id="rId19"/>
    <sheet state="visible" name="Objects" sheetId="16" r:id="rId20"/>
    <sheet state="visible" name="Landscaping" sheetId="17" r:id="rId21"/>
    <sheet state="visible" name="Travel places" sheetId="18" r:id="rId22"/>
    <sheet state="visible" name="Relations" sheetId="19" r:id="rId23"/>
  </sheets>
  <definedNames>
    <definedName hidden="1" localSheetId="1" name="_xlnm._FilterDatabase">Foods!$A$1:$R$466</definedName>
    <definedName hidden="1" localSheetId="2" name="_xlnm._FilterDatabase">Goods!$A$1:$Q$17</definedName>
    <definedName hidden="1" localSheetId="3" name="_xlnm._FilterDatabase">'Little quirks'!$A$1:$I$75</definedName>
    <definedName hidden="1" localSheetId="4" name="_xlnm._FilterDatabase">Treasures!$A$1:$P$248</definedName>
    <definedName hidden="1" localSheetId="5" name="_xlnm._FilterDatabase">'Clothes (Outfits)'!$A$1:$AM$348</definedName>
    <definedName hidden="1" localSheetId="6" name="_xlnm._FilterDatabase">'Clothes (Tops)'!$A$1:$AF$238</definedName>
    <definedName hidden="1" localSheetId="7" name="_xlnm._FilterDatabase">'Clothes (Long Tops)'!$A$1:$W$143</definedName>
    <definedName hidden="1" localSheetId="8" name="_xlnm._FilterDatabase">'Clothes (Legwear)'!$A$1:$AF$136</definedName>
    <definedName hidden="1" localSheetId="9" name="_xlnm._FilterDatabase">'Clothes (Headwear)'!$A$1:$W$248</definedName>
    <definedName hidden="1" localSheetId="10" name="_xlnm._FilterDatabase">'Clothes (Accessories)'!$A$1:$W$114</definedName>
    <definedName hidden="1" localSheetId="11" name="_xlnm._FilterDatabase">'Clothes (Socks)'!$A$1:$AF$52</definedName>
    <definedName hidden="1" localSheetId="12" name="_xlnm._FilterDatabase">'Clothes (Shoes)'!$A$1:$AF$89</definedName>
    <definedName hidden="1" localSheetId="13" name="_xlnm._FilterDatabase">'Clothes (Costumes)'!$A$1:$AF$75</definedName>
    <definedName hidden="1" localSheetId="14" name="_xlnm._FilterDatabase">'Interior sets'!$A$1:$O$106</definedName>
    <definedName hidden="1" localSheetId="15" name="_xlnm._FilterDatabase">Objects!$A$1:$N$87</definedName>
    <definedName hidden="1" localSheetId="16" name="_xlnm._FilterDatabase">Landscaping!$A$1:$K$23</definedName>
    <definedName hidden="1" localSheetId="17" name="_xlnm._FilterDatabase">'Travel places'!$A$1:$M$101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Unofficial names in italic</t>
      </text>
    </comment>
  </commentList>
</comments>
</file>

<file path=xl/sharedStrings.xml><?xml version="1.0" encoding="utf-8"?>
<sst xmlns="http://schemas.openxmlformats.org/spreadsheetml/2006/main" count="49045" uniqueCount="7463">
  <si>
    <t>Data Spreadsheet for Tomodachi Life Living the Dream</t>
  </si>
  <si>
    <r>
      <rPr>
        <rFont val="Arial"/>
        <color theme="1"/>
        <sz val="12.0"/>
      </rPr>
      <t xml:space="preserve">This is a spreadsheet of organized datamined parameter data from Tomodachi Life Living the Dream. </t>
    </r>
    <r>
      <rPr>
        <rFont val="Arial"/>
        <b/>
        <color theme="1"/>
        <sz val="12.0"/>
      </rPr>
      <t>NATURAL SPOILER WARNING!!!
Encyclopedia entries are in the order of the american english version.</t>
    </r>
    <r>
      <rPr>
        <rFont val="Arial"/>
        <color theme="1"/>
        <sz val="12.0"/>
      </rPr>
      <t xml:space="preserve">
If you have any questions or requests, ask me on Discord (echocolat) or Twitter (Echocolatowo).</t>
    </r>
  </si>
  <si>
    <t>Link to icon-less version (way less memory intensive)</t>
  </si>
  <si>
    <t>List of Tabs on this Sheet:</t>
  </si>
  <si>
    <t>Foods - A list of all Foods present in the data of the game, with their relevant statistics, icon and description</t>
  </si>
  <si>
    <t>Goods - A list of all Goods present in the data of the game, with their relevant statistics, icon and description</t>
  </si>
  <si>
    <t>Little quirks - A list of all Little quirks present in the data of the game, with their relevant name, icon and description</t>
  </si>
  <si>
    <t>Treasures - A list of all Treasures present in the data of the game, with their relevant statistics, icon and description</t>
  </si>
  <si>
    <t>Clothes (Outfits) - A list of all outfits present in the data of the game, with their relevant statistics and icons</t>
  </si>
  <si>
    <t>Clothes (Tops) - A list of all tops present in the data of the game, with their relevant statistics and icons</t>
  </si>
  <si>
    <t>Clothes (Long Tops) - A list of all long tops present in the data of the game, with their relevant statistics and icons</t>
  </si>
  <si>
    <t>Clothes (Legwear) - A list of all legwear present in the data of the game, with their relevant statistics and icons</t>
  </si>
  <si>
    <t>Clothes (Headwear) - A list of all headwear present in the data of the game, with their relevant statistics and icons</t>
  </si>
  <si>
    <t>Clothes (Accessories) - A list of all accesories present in the data of the game, with their relevant statistics and icons</t>
  </si>
  <si>
    <t>Clothes (Shoes) - A list of all shoes present in the data of the game, with their relevant statistics and icons</t>
  </si>
  <si>
    <t>Clothes (Costumes) - A list of all costumes present in the data of the game, with their relevant statistics and icons</t>
  </si>
  <si>
    <t>Interior sets - A list of all interior sets present in the data of the game, with their price and icons</t>
  </si>
  <si>
    <t>Objects - A list of all map objects present in the data of the game, with their price and icons</t>
  </si>
  <si>
    <t>Landscaping - A list of all landscape floors present in the data of the game, with their icons and names</t>
  </si>
  <si>
    <t>Travel places - A list of all travel destinations, with their eventual associated foods/treasures and relevant info</t>
  </si>
  <si>
    <t>Relations - A list of all relation types, with their "steps" and the amount the meter has to be at for each of them</t>
  </si>
  <si>
    <t>Credits:</t>
  </si>
  <si>
    <t>- phil_macrocheira, for the design of this tab and the sheet overall
- superspazzy, for figuring out most of the hashes of the game
- dt13269, for the encyclopedia order of many things</t>
  </si>
  <si>
    <t>Encyclopedia #</t>
  </si>
  <si>
    <t>Icon</t>
  </si>
  <si>
    <t>Name</t>
  </si>
  <si>
    <t>Food type</t>
  </si>
  <si>
    <t>Food category</t>
  </si>
  <si>
    <t>Flavor type</t>
  </si>
  <si>
    <t>Buying price</t>
  </si>
  <si>
    <t>Appears at resto</t>
  </si>
  <si>
    <t>Smell</t>
  </si>
  <si>
    <t>Tastes bad</t>
  </si>
  <si>
    <t>Quantity</t>
  </si>
  <si>
    <t>Temperature</t>
  </si>
  <si>
    <t>America availability</t>
  </si>
  <si>
    <t>Asia availability</t>
  </si>
  <si>
    <t>Europe availability</t>
  </si>
  <si>
    <t>Japan availability</t>
  </si>
  <si>
    <t>Description</t>
  </si>
  <si>
    <t>Internal name</t>
  </si>
  <si>
    <t>001</t>
  </si>
  <si>
    <t>avocado</t>
  </si>
  <si>
    <t>Food</t>
  </si>
  <si>
    <t>Fruit, Vegetable</t>
  </si>
  <si>
    <t>No</t>
  </si>
  <si>
    <t>None</t>
  </si>
  <si>
    <t>Low</t>
  </si>
  <si>
    <t>Normal</t>
  </si>
  <si>
    <t>Yes</t>
  </si>
  <si>
    <t>Avocado is nature's butter. Makes any sandwich or burger instantly better.</t>
  </si>
  <si>
    <t>Abokado</t>
  </si>
  <si>
    <t>002</t>
  </si>
  <si>
    <t>bacalao</t>
  </si>
  <si>
    <t>Fish, Meat</t>
  </si>
  <si>
    <t>Oily, Salty</t>
  </si>
  <si>
    <t>Middle</t>
  </si>
  <si>
    <t>Hot</t>
  </si>
  <si>
    <t>Dried and salted cod. Today's selection has been baked into a croquette. Yum!</t>
  </si>
  <si>
    <t>Bacalhau</t>
  </si>
  <si>
    <t>003</t>
  </si>
  <si>
    <t>bacon</t>
  </si>
  <si>
    <t>Meat</t>
  </si>
  <si>
    <t>Fried to the perfect crispiness level. Don't forget the eggs and toast.</t>
  </si>
  <si>
    <t>Bacon</t>
  </si>
  <si>
    <t>004</t>
  </si>
  <si>
    <t>baguette</t>
  </si>
  <si>
    <t>Bread</t>
  </si>
  <si>
    <t>The hardest part of this bread is resisting the urge to bop people on the head with it.</t>
  </si>
  <si>
    <t>Baguette</t>
  </si>
  <si>
    <t>005</t>
  </si>
  <si>
    <t>baked beans</t>
  </si>
  <si>
    <t>The beans were actually stewed in tomato sauce, not baked. Sorry for the confusion.</t>
  </si>
  <si>
    <t>BakedBeans</t>
  </si>
  <si>
    <t>006</t>
  </si>
  <si>
    <t>baked potato</t>
  </si>
  <si>
    <t>A soft, mushy baked potato loaded with cheese, butter, and more cheese.</t>
  </si>
  <si>
    <t>BakedPotato</t>
  </si>
  <si>
    <t>007</t>
  </si>
  <si>
    <t>banh mi</t>
  </si>
  <si>
    <t>Bread, Meat, Vegetable</t>
  </si>
  <si>
    <t>A popular Vietnamese sandwich overflowing with meat and pickled veggies.</t>
  </si>
  <si>
    <t>BanhMi</t>
  </si>
  <si>
    <t>008</t>
  </si>
  <si>
    <t>barbecue</t>
  </si>
  <si>
    <t>Meat, Vegetable</t>
  </si>
  <si>
    <t>High</t>
  </si>
  <si>
    <t>Grilled meat galore with a side of peppers and corn on the cob.</t>
  </si>
  <si>
    <t>Barbeque</t>
  </si>
  <si>
    <t>009</t>
  </si>
  <si>
    <t>beans on toast</t>
  </si>
  <si>
    <t>Bread, Vegetable</t>
  </si>
  <si>
    <t>The bigger the bean pile, the better! Eat with your hands if you dare.</t>
  </si>
  <si>
    <t>BeansOnToast</t>
  </si>
  <si>
    <t>010</t>
  </si>
  <si>
    <t>beef bourguignon</t>
  </si>
  <si>
    <t>Beef simmered low and slow in a rich broth. Somehow both fancy and homey.</t>
  </si>
  <si>
    <t>BeefBourguignon</t>
  </si>
  <si>
    <t>011</t>
  </si>
  <si>
    <t>bibimbap</t>
  </si>
  <si>
    <t>Egg, Meat, Rice, Vegetable</t>
  </si>
  <si>
    <t>Spicy</t>
  </si>
  <si>
    <t>Mix it all together for the classic version. Leave everything separate if you feel wild.</t>
  </si>
  <si>
    <t>IshiyakiBibinba</t>
  </si>
  <si>
    <t>012</t>
  </si>
  <si>
    <t>bitter melon</t>
  </si>
  <si>
    <t>Vegetable</t>
  </si>
  <si>
    <t>Look, we know it's bitter, but the texture will have you coming back for more.</t>
  </si>
  <si>
    <t>Goya</t>
  </si>
  <si>
    <t>013</t>
  </si>
  <si>
    <t>blue cheese</t>
  </si>
  <si>
    <t>Salty</t>
  </si>
  <si>
    <t>Bad</t>
  </si>
  <si>
    <t>This cheese has been aged with blue mold. It's pretty stinky. Um...enjoy?</t>
  </si>
  <si>
    <t>BlueCheese</t>
  </si>
  <si>
    <t>014</t>
  </si>
  <si>
    <t>boiled dumplings</t>
  </si>
  <si>
    <t>Boiled until tender. Slurp them up with your favorite sauce!</t>
  </si>
  <si>
    <t>BoiledGyoza</t>
  </si>
  <si>
    <t>015</t>
  </si>
  <si>
    <t>boiled octopus</t>
  </si>
  <si>
    <t>Fish</t>
  </si>
  <si>
    <t>Freshly boiled tentacles. Eat alone, or share with up to seven friends.</t>
  </si>
  <si>
    <t>Octopus</t>
  </si>
  <si>
    <t>016</t>
  </si>
  <si>
    <t>bonito-flakes rice bowl</t>
  </si>
  <si>
    <t>Rice</t>
  </si>
  <si>
    <t>Bonito flakes and hot rice are a match made in heaven. Try pouring miso soup on top!</t>
  </si>
  <si>
    <t>NekoManma</t>
  </si>
  <si>
    <t>017</t>
  </si>
  <si>
    <t>borscht</t>
  </si>
  <si>
    <t>Sour</t>
  </si>
  <si>
    <t>A vibrant red soup with lots of veggies. Can be served hot or cold.</t>
  </si>
  <si>
    <t>Borscht</t>
  </si>
  <si>
    <t>018</t>
  </si>
  <si>
    <t>broccoli</t>
  </si>
  <si>
    <t>It's like a little tree! A little tree that tastes great steamed.</t>
  </si>
  <si>
    <t>Broccoli</t>
  </si>
  <si>
    <t>019</t>
  </si>
  <si>
    <t>brussels sprouts</t>
  </si>
  <si>
    <t>If you can eat these without cringing, you'll know you're all grown up.</t>
  </si>
  <si>
    <t>BrusselSprouts</t>
  </si>
  <si>
    <t>020</t>
  </si>
  <si>
    <t>buchimgae</t>
  </si>
  <si>
    <t>Oily, Spicy</t>
  </si>
  <si>
    <t>A savory pancake filled with chewy veggie goodness.</t>
  </si>
  <si>
    <t>Chidimi</t>
  </si>
  <si>
    <t>021</t>
  </si>
  <si>
    <t>budae-jjigae</t>
  </si>
  <si>
    <t>Salty, Sour, Spicy</t>
  </si>
  <si>
    <t>A Korean fusion food of epic proportions. Has about everything you'd want in a food.</t>
  </si>
  <si>
    <t>Pudetige</t>
  </si>
  <si>
    <t>022</t>
  </si>
  <si>
    <t>buffalo wings</t>
  </si>
  <si>
    <t>No buffalo here—just your standard chicken wings with super-spicy sauce.</t>
  </si>
  <si>
    <t>BuffaloWings</t>
  </si>
  <si>
    <t>023</t>
  </si>
  <si>
    <t>bulgogi</t>
  </si>
  <si>
    <t>Oily, Spicy, Sweet</t>
  </si>
  <si>
    <t>A hearty, spicy dish of thinly sliced meat and veggies.</t>
  </si>
  <si>
    <t>Bulgogi</t>
  </si>
  <si>
    <t>024</t>
  </si>
  <si>
    <t>buttered potato</t>
  </si>
  <si>
    <t>This dish has almost as much butter as it does potato. Mmm, melty.</t>
  </si>
  <si>
    <t>ZyagaBata</t>
  </si>
  <si>
    <t>025</t>
  </si>
  <si>
    <t>calamari</t>
  </si>
  <si>
    <t>Oily</t>
  </si>
  <si>
    <t>Deep-fried squid with ketchup for dipping. It's tastier than it sounds.</t>
  </si>
  <si>
    <t>IkaRing</t>
  </si>
  <si>
    <t>026</t>
  </si>
  <si>
    <t>caprese salad</t>
  </si>
  <si>
    <t>Cool</t>
  </si>
  <si>
    <t>A simple but refreshing summer dish best enjoyed on an oceanfront veranda.</t>
  </si>
  <si>
    <t>CapreseSalad</t>
  </si>
  <si>
    <t>027</t>
  </si>
  <si>
    <t>carbonara</t>
  </si>
  <si>
    <t>Noodle</t>
  </si>
  <si>
    <t>A creamy pasta dish made with egg and cheese that tastes restaurant-level fancy.</t>
  </si>
  <si>
    <t>Karubonara</t>
  </si>
  <si>
    <t>028</t>
  </si>
  <si>
    <t>caviar</t>
  </si>
  <si>
    <t>Egg, Fish</t>
  </si>
  <si>
    <t>Disliking caviar means you're unrefined. Or don't like fish eggs. One of the two.</t>
  </si>
  <si>
    <t>Kyabia</t>
  </si>
  <si>
    <t>029</t>
  </si>
  <si>
    <t>celery</t>
  </si>
  <si>
    <t>If you dislike it on its own, add peanut butter and raisins for a fun variation.</t>
  </si>
  <si>
    <t>Celery</t>
  </si>
  <si>
    <t>030</t>
  </si>
  <si>
    <t>ceviche</t>
  </si>
  <si>
    <t>Fish, Vegetable</t>
  </si>
  <si>
    <t>Marinated white fish with enough lime juice to make your jaw hurt.</t>
  </si>
  <si>
    <t>Ceviche</t>
  </si>
  <si>
    <t>031</t>
  </si>
  <si>
    <t>chankonabe</t>
  </si>
  <si>
    <t>Mouthwatering hot pot that features seasonal ingredients.</t>
  </si>
  <si>
    <t>ChankoNabe</t>
  </si>
  <si>
    <t>032</t>
  </si>
  <si>
    <t>charcoal-grilled beef</t>
  </si>
  <si>
    <t>Mmm, just hear that steak sizzle! Huh? What do you mean it's burning?</t>
  </si>
  <si>
    <t>Yakiniku</t>
  </si>
  <si>
    <t>033</t>
  </si>
  <si>
    <t>chawanmushi</t>
  </si>
  <si>
    <t>Egg</t>
  </si>
  <si>
    <t>A savory egg custard for only the most refined palates.</t>
  </si>
  <si>
    <t>Chawanmushi</t>
  </si>
  <si>
    <t>034</t>
  </si>
  <si>
    <t>cheese</t>
  </si>
  <si>
    <t>All-natural with a subtle taste and smell. Smile and say cheese!</t>
  </si>
  <si>
    <t>Cheese</t>
  </si>
  <si>
    <t>035</t>
  </si>
  <si>
    <t>cheese board</t>
  </si>
  <si>
    <t>Western Europe Tour souvenir. A must-have for parties. Including parties of one.</t>
  </si>
  <si>
    <t>CheeseBoard</t>
  </si>
  <si>
    <t>036</t>
  </si>
  <si>
    <t>cheeseburger</t>
  </si>
  <si>
    <t>Bread, Meat</t>
  </si>
  <si>
    <t>A boatload of ingredients stuffed into a toasted sesame-seed bun. Open wide!</t>
  </si>
  <si>
    <t>Hamburger</t>
  </si>
  <si>
    <t>037</t>
  </si>
  <si>
    <t>chicken noodle soup</t>
  </si>
  <si>
    <t>Soup that somehow channels the warm energy of a parental hug into liquid form.</t>
  </si>
  <si>
    <t>ChickenNoodleSoup</t>
  </si>
  <si>
    <t>038</t>
  </si>
  <si>
    <t>chicken pho</t>
  </si>
  <si>
    <t>Meat, Noodle</t>
  </si>
  <si>
    <t>A big ol' bowl of comfort. Kick it up another notch with a squeeze of lime.</t>
  </si>
  <si>
    <t>ChickenPho</t>
  </si>
  <si>
    <t>039</t>
  </si>
  <si>
    <t>chicken pot pie</t>
  </si>
  <si>
    <t>Fill a flaky pie crust with chicken and gravy, and you get this. Evil or genius?</t>
  </si>
  <si>
    <t>ChickenPotPie</t>
  </si>
  <si>
    <t>040</t>
  </si>
  <si>
    <t>chicken tikka masala</t>
  </si>
  <si>
    <t>Creamy chicken curry cooked with a delectable blend of spices.</t>
  </si>
  <si>
    <t>ChickenTikkaMasala</t>
  </si>
  <si>
    <t>041</t>
  </si>
  <si>
    <t>chikuwa fish cake</t>
  </si>
  <si>
    <t>Even seafood haters can't resist this! Great stuffed with cucumber or cheese.</t>
  </si>
  <si>
    <t>Chikuwa</t>
  </si>
  <si>
    <t>042</t>
  </si>
  <si>
    <t>chili prawns</t>
  </si>
  <si>
    <t>Prawns are good on their own, but they're better with garlic and chilies.</t>
  </si>
  <si>
    <t>EbiChili</t>
  </si>
  <si>
    <t>043</t>
  </si>
  <si>
    <t>chili sin carne</t>
  </si>
  <si>
    <t>Bubbling beans and tomatoes accented with a sweet-and-spicy peppery kick.</t>
  </si>
  <si>
    <t>ChiliConCarne</t>
  </si>
  <si>
    <t>044</t>
  </si>
  <si>
    <t>Chinese mitten crabs</t>
  </si>
  <si>
    <t>Crabs so freshly caught they might just get up and scuttle away.</t>
  </si>
  <si>
    <t>ShanghaiCrab</t>
  </si>
  <si>
    <t>045</t>
  </si>
  <si>
    <t>chirashi-zushi</t>
  </si>
  <si>
    <t>It doesn't get much more festive than this! A big bowl of sushi rice with tasty goodies.</t>
  </si>
  <si>
    <t>ChirashiSushi</t>
  </si>
  <si>
    <t>046</t>
  </si>
  <si>
    <t>clam chowder</t>
  </si>
  <si>
    <t>Enjoy the taste of clams without the nuisance of those slippery shells.</t>
  </si>
  <si>
    <t>ClamChowder</t>
  </si>
  <si>
    <t>047</t>
  </si>
  <si>
    <t>cold soba noodles</t>
  </si>
  <si>
    <t>High-quality soba noodles with a perfectly firm texture.</t>
  </si>
  <si>
    <t>Zarusoba</t>
  </si>
  <si>
    <t>048</t>
  </si>
  <si>
    <t>cold somen noodles</t>
  </si>
  <si>
    <t>Hits the spot on hot summer days. Slurp up and cool down!</t>
  </si>
  <si>
    <t>Soumen</t>
  </si>
  <si>
    <t>049</t>
  </si>
  <si>
    <t>coleslaw</t>
  </si>
  <si>
    <t>A side dish of raw cabbage, carrots, and mayo. Nothing too exciting here.</t>
  </si>
  <si>
    <t>Coleslaw</t>
  </si>
  <si>
    <t>050</t>
  </si>
  <si>
    <t>corn dog</t>
  </si>
  <si>
    <t>A fried hot dog on a stick, for busy people with no time to fuss with buns.</t>
  </si>
  <si>
    <t>CornDog</t>
  </si>
  <si>
    <t>051</t>
  </si>
  <si>
    <t>cornflakes</t>
  </si>
  <si>
    <t>A fine choice for a quick breakfast. Don't dally, or the flakes will get soggy!</t>
  </si>
  <si>
    <t>Cornflakes</t>
  </si>
  <si>
    <t>052</t>
  </si>
  <si>
    <t>Cornish pasty</t>
  </si>
  <si>
    <t>Science cannot yet explain how so much savory goodness fits in one pie crust.</t>
  </si>
  <si>
    <t>CornishPasty</t>
  </si>
  <si>
    <t>053</t>
  </si>
  <si>
    <t>corn on the cob</t>
  </si>
  <si>
    <t>A fresh ear of corn, roasted and savory. Remove the husk before eating.</t>
  </si>
  <si>
    <t>Corn</t>
  </si>
  <si>
    <t>054</t>
  </si>
  <si>
    <t>couscous</t>
  </si>
  <si>
    <t>Teeny-tiny puffed grains served with meat and veggies.</t>
  </si>
  <si>
    <t>Couscous</t>
  </si>
  <si>
    <t>055</t>
  </si>
  <si>
    <t>crab</t>
  </si>
  <si>
    <t>You know it's good because it's so pricey. Watch out for those claws.</t>
  </si>
  <si>
    <t>Crab</t>
  </si>
  <si>
    <t>056</t>
  </si>
  <si>
    <t>creamy corn soup</t>
  </si>
  <si>
    <t>Sure to warm you from your heart to your toes. Your head's on its own.</t>
  </si>
  <si>
    <t>CornSoup</t>
  </si>
  <si>
    <t>057</t>
  </si>
  <si>
    <t>creamy stew</t>
  </si>
  <si>
    <t>This stew has been stewing for hours. So rich you'll feel like a king.</t>
  </si>
  <si>
    <t>Stew</t>
  </si>
  <si>
    <t>058</t>
  </si>
  <si>
    <t>croissant</t>
  </si>
  <si>
    <t>The breakfast of French champions. Made of soft, bready loveliness.</t>
  </si>
  <si>
    <t>Croissant</t>
  </si>
  <si>
    <t>059</t>
  </si>
  <si>
    <t>croquettes</t>
  </si>
  <si>
    <t>These dazzling, golden-brown beauties taste best straight out of the fryer.</t>
  </si>
  <si>
    <t>Korokke</t>
  </si>
  <si>
    <t>060</t>
  </si>
  <si>
    <t>curry bun</t>
  </si>
  <si>
    <t>Curry in a fried bun. Is it not obvious why this is at the top of the snack-food chain?</t>
  </si>
  <si>
    <t>Currypan</t>
  </si>
  <si>
    <t>061</t>
  </si>
  <si>
    <t>curry with rice</t>
  </si>
  <si>
    <t>Tons of veggies? Check. Just the right amount of spice? Check.</t>
  </si>
  <si>
    <t>CurryRice</t>
  </si>
  <si>
    <t>062</t>
  </si>
  <si>
    <t>dan bing</t>
  </si>
  <si>
    <t>A savory Taiwanese crepe made with dough, eggs, soy sauce, and a ton of fillings.</t>
  </si>
  <si>
    <t>Tanping</t>
  </si>
  <si>
    <t>063</t>
  </si>
  <si>
    <t>deviled eggs</t>
  </si>
  <si>
    <t>Not as scary as they sound. Egg whites filled with a mix of yolk, mustard, and mayo.</t>
  </si>
  <si>
    <t>DeviledEggs</t>
  </si>
  <si>
    <t>064</t>
  </si>
  <si>
    <t>dim sum</t>
  </si>
  <si>
    <t>Bite-size morsels from China that come in many different shapes and flavors.</t>
  </si>
  <si>
    <t>DimSum</t>
  </si>
  <si>
    <t>065</t>
  </si>
  <si>
    <t>doenjang-jjigae</t>
  </si>
  <si>
    <t>A Korean stew featuring fermented soybean paste, simmered for a good long time.</t>
  </si>
  <si>
    <t>KrMisoTige</t>
  </si>
  <si>
    <t>066</t>
  </si>
  <si>
    <t>doner kebab</t>
  </si>
  <si>
    <t>Thinly sliced seasoned meat and crisp, fresh veggies tucked snugly into flatbread.</t>
  </si>
  <si>
    <t>DonerKebap</t>
  </si>
  <si>
    <t>067</t>
  </si>
  <si>
    <t>dried squid</t>
  </si>
  <si>
    <t>You could chew on it forever and not get anywhere. We recommend stir-frying it.</t>
  </si>
  <si>
    <t>Surume</t>
  </si>
  <si>
    <t>068</t>
  </si>
  <si>
    <t>drumstick</t>
  </si>
  <si>
    <t>A juicy chicken leg with supersecret sauce—also known as barbecue sauce.</t>
  </si>
  <si>
    <t>BoneMeat</t>
  </si>
  <si>
    <t>069</t>
  </si>
  <si>
    <t>dubu-kimchi</t>
  </si>
  <si>
    <t>Salty, Sour</t>
  </si>
  <si>
    <t>Stir-fried kimchi served with soft tofu. A real texture trip for the senses!</t>
  </si>
  <si>
    <t>ToufuKimuti</t>
  </si>
  <si>
    <t>070</t>
  </si>
  <si>
    <t>edamame</t>
  </si>
  <si>
    <t>Boiled and salted to perfection. Impossible to stop eating once you start.</t>
  </si>
  <si>
    <t>Edamame</t>
  </si>
  <si>
    <t>071</t>
  </si>
  <si>
    <t>eggplant parmigiana</t>
  </si>
  <si>
    <t>A simple but mighty trio of eggplant, tomato, and cheese, stacked like a tower.</t>
  </si>
  <si>
    <t>MelanzaneAllaParmigiana</t>
  </si>
  <si>
    <t>072</t>
  </si>
  <si>
    <t>ehomaki</t>
  </si>
  <si>
    <t>Yes (from 02/01 to 02/03)</t>
  </si>
  <si>
    <t>A food you eat right before spring begins for some good luck.</t>
  </si>
  <si>
    <t>EhouMaki</t>
  </si>
  <si>
    <t>073</t>
  </si>
  <si>
    <t>empanadas</t>
  </si>
  <si>
    <t>What lies within this light, crispy bread may vary, but it's always delicious.</t>
  </si>
  <si>
    <t>Empanadas</t>
  </si>
  <si>
    <t>074</t>
  </si>
  <si>
    <t>enchiladas</t>
  </si>
  <si>
    <t>The spicy sauce and creamy cheese combo might be the closest we get to perfection.</t>
  </si>
  <si>
    <t>Enchilada</t>
  </si>
  <si>
    <t>075</t>
  </si>
  <si>
    <t>English breakfast</t>
  </si>
  <si>
    <t>Bread, Egg, Fish, Meat, Vegetable</t>
  </si>
  <si>
    <t>A hearty English breakfast to propel you through the day.</t>
  </si>
  <si>
    <t>EnglishBreakfast</t>
  </si>
  <si>
    <t>076</t>
  </si>
  <si>
    <t>escargot</t>
  </si>
  <si>
    <t>Ew, there are snails on your plate! Oh, wait...I mean...eat up! It's a delicacy.</t>
  </si>
  <si>
    <t>Escargot</t>
  </si>
  <si>
    <t>077</t>
  </si>
  <si>
    <t>falafel</t>
  </si>
  <si>
    <t>Bite-size balls of fried chickpeas. Pop 'em as is or enjoy in a gyro.</t>
  </si>
  <si>
    <t>Falafel</t>
  </si>
  <si>
    <t>078</t>
  </si>
  <si>
    <t>filet mignon</t>
  </si>
  <si>
    <t>You've no doubt heard how savory filet mignon is. Experience it for yourself.</t>
  </si>
  <si>
    <t>FiletMignon</t>
  </si>
  <si>
    <t>079</t>
  </si>
  <si>
    <t>fish cakes</t>
  </si>
  <si>
    <t>Battered fish-and-potato patties, fried until unrecognizable.</t>
  </si>
  <si>
    <t>Fishcake</t>
  </si>
  <si>
    <t>080</t>
  </si>
  <si>
    <t>french fries</t>
  </si>
  <si>
    <t>These hot and crispy fries will make you forget all about your burger.</t>
  </si>
  <si>
    <t>FriedPotato</t>
  </si>
  <si>
    <t>081</t>
  </si>
  <si>
    <t>French onion soup</t>
  </si>
  <si>
    <t>Hopefully you like the taste of tears. It's hard to not cry while cooking this.</t>
  </si>
  <si>
    <t>OnionGratinSoup</t>
  </si>
  <si>
    <t>082</t>
  </si>
  <si>
    <t>French toast</t>
  </si>
  <si>
    <t>Bread, Confectionery, Egg</t>
  </si>
  <si>
    <t>Sweet</t>
  </si>
  <si>
    <t>Normal toast is boring. Try frying it and soaking it in syrup. Thanks, France!</t>
  </si>
  <si>
    <t>FrenchToast</t>
  </si>
  <si>
    <t>083</t>
  </si>
  <si>
    <t>fresh spring rolls</t>
  </si>
  <si>
    <t>Peek through the translucent wrapping to see what numminess awaits you.</t>
  </si>
  <si>
    <t>Namaharumaki</t>
  </si>
  <si>
    <t>084</t>
  </si>
  <si>
    <t>fried chicken</t>
  </si>
  <si>
    <t>Fried until golden, and then fried a little more. You can't resist the crisp.</t>
  </si>
  <si>
    <t>Karaage</t>
  </si>
  <si>
    <t>085</t>
  </si>
  <si>
    <t>fried egg</t>
  </si>
  <si>
    <t>The whites are cooked solid, but the yolk is still nice and runny. Dive in!</t>
  </si>
  <si>
    <t>MedamaYaki</t>
  </si>
  <si>
    <t>086</t>
  </si>
  <si>
    <t>fried rice</t>
  </si>
  <si>
    <t>What's better than a giant plate of fried rice? Nothing, that's what.</t>
  </si>
  <si>
    <t>ChaHan</t>
  </si>
  <si>
    <t>087</t>
  </si>
  <si>
    <t>fried sardines</t>
  </si>
  <si>
    <t>Look, at least they don't smell as bad now. Try with a squeeze of lemon!</t>
  </si>
  <si>
    <t>FriedSardines</t>
  </si>
  <si>
    <t>088</t>
  </si>
  <si>
    <t>fried shrimp</t>
  </si>
  <si>
    <t>The quintessential shrimp dish. Crispy outside, tender inside.</t>
  </si>
  <si>
    <t>Ebifurai</t>
  </si>
  <si>
    <t>089</t>
  </si>
  <si>
    <t>fried spring rolls</t>
  </si>
  <si>
    <t>Crispy pockets of pure enjoyment. It's hard to save room for the meal.</t>
  </si>
  <si>
    <t>Harumaki</t>
  </si>
  <si>
    <t>090</t>
  </si>
  <si>
    <t>fried tofu</t>
  </si>
  <si>
    <t>Crispy outside, buttery smooth inside... This dish proves you can have it all!</t>
  </si>
  <si>
    <t>FriedTofu</t>
  </si>
  <si>
    <t>091</t>
  </si>
  <si>
    <t>fruity granola</t>
  </si>
  <si>
    <t>Hop aboard the oat boat! Made with steel-cut oats and dried fruit.</t>
  </si>
  <si>
    <t>Oatmeal</t>
  </si>
  <si>
    <t>092</t>
  </si>
  <si>
    <t>fugu sashimi</t>
  </si>
  <si>
    <t>You can see through it, it's cut so thin! Prepared by an expert chef, so worry not.</t>
  </si>
  <si>
    <t>Hugusashi</t>
  </si>
  <si>
    <t>093</t>
  </si>
  <si>
    <t>fukumame</t>
  </si>
  <si>
    <t>In spring, toss as many of these beans as years you've lived for good luck!</t>
  </si>
  <si>
    <t>Hukumame</t>
  </si>
  <si>
    <t>094</t>
  </si>
  <si>
    <t>gamja-tang</t>
  </si>
  <si>
    <t>Salty, Spicy</t>
  </si>
  <si>
    <t>A spicy stew born out of a conversation between pork bone and veggies.</t>
  </si>
  <si>
    <t>Kamujyatan</t>
  </si>
  <si>
    <t>095</t>
  </si>
  <si>
    <t>ganjang-gejang</t>
  </si>
  <si>
    <t>Fermented crabs flavored with a chili powder or ganjang base. Great with rice!</t>
  </si>
  <si>
    <t>Kanjyankejyan</t>
  </si>
  <si>
    <t>096</t>
  </si>
  <si>
    <t>garlic</t>
  </si>
  <si>
    <t>It's known to keep vampires away. Maybe they're afraid of bad breath?</t>
  </si>
  <si>
    <t>Garlic</t>
  </si>
  <si>
    <t>097</t>
  </si>
  <si>
    <t>gazpacho</t>
  </si>
  <si>
    <t>A refreshing summertime soup served cold. Yeah, you heard me.</t>
  </si>
  <si>
    <t>Gazpacho</t>
  </si>
  <si>
    <t>098</t>
  </si>
  <si>
    <t>gim</t>
  </si>
  <si>
    <t>Crisp sheets of seaweed flavored with sesame oil and salt.</t>
  </si>
  <si>
    <t>KrNori</t>
  </si>
  <si>
    <t>099</t>
  </si>
  <si>
    <t>ginseng</t>
  </si>
  <si>
    <t>An ancient root often used in herbal remedies. Resentfully bitter.</t>
  </si>
  <si>
    <t>KouraiNinjin</t>
  </si>
  <si>
    <t>100</t>
  </si>
  <si>
    <t>gnocchi</t>
  </si>
  <si>
    <t>Potato and flour formed up into a pasta shape and covered in red sauce.</t>
  </si>
  <si>
    <t>Gnocchi</t>
  </si>
  <si>
    <t>101</t>
  </si>
  <si>
    <t>gochujang</t>
  </si>
  <si>
    <t>Salty, Spicy, Sweet</t>
  </si>
  <si>
    <t>A spicy seasoning made of rice malt and red pepper. Eat raw if you dare!</t>
  </si>
  <si>
    <t>Kotyujyan</t>
  </si>
  <si>
    <t>102</t>
  </si>
  <si>
    <t>grated carrot</t>
  </si>
  <si>
    <t>Grated to the perfect size for shoving entire handfuls in your mouth.</t>
  </si>
  <si>
    <t>Carrot</t>
  </si>
  <si>
    <t>103</t>
  </si>
  <si>
    <t>gratin</t>
  </si>
  <si>
    <t>Cheesy macaroni gratin with a savory baked surface. Don't burn your mouth!</t>
  </si>
  <si>
    <t>Guratan</t>
  </si>
  <si>
    <t>104</t>
  </si>
  <si>
    <t>Greek salad</t>
  </si>
  <si>
    <t>Fresh Mediterranean veg tossed with feta cheese and generous amounts of olive oil.</t>
  </si>
  <si>
    <t>GreekStyleSalad</t>
  </si>
  <si>
    <t>105</t>
  </si>
  <si>
    <t>green curry</t>
  </si>
  <si>
    <t>Spicy green chili peppers balanced with sweet, creamy coconut milk.</t>
  </si>
  <si>
    <t>GreenCurry</t>
  </si>
  <si>
    <t>106</t>
  </si>
  <si>
    <t>green pepper</t>
  </si>
  <si>
    <t>Crunchy and fresh when eaten raw, but also good stuffed with stuffables.</t>
  </si>
  <si>
    <t>Piman</t>
  </si>
  <si>
    <t>107</t>
  </si>
  <si>
    <t>grilled cheese</t>
  </si>
  <si>
    <t>Anyone can grill a sammy, but it takes a cheese connoisseur to do it this well.</t>
  </si>
  <si>
    <t>GrilledCheese</t>
  </si>
  <si>
    <t>108</t>
  </si>
  <si>
    <t>grilled cutlassfish</t>
  </si>
  <si>
    <t>Cutlass is right. Watch out for sharp bones when you enjoy this one.</t>
  </si>
  <si>
    <t>TatiuoYaki</t>
  </si>
  <si>
    <t>109</t>
  </si>
  <si>
    <t>grilled-eel rice bowl</t>
  </si>
  <si>
    <t>Fish, Rice</t>
  </si>
  <si>
    <t>Pillowy-soft seared eel delicately placed on a bed of rice and topped with sauce.</t>
  </si>
  <si>
    <t>UnaZyu</t>
  </si>
  <si>
    <t>110</t>
  </si>
  <si>
    <t>grilled pacific saury</t>
  </si>
  <si>
    <t>The bitter insides of this fatty fish might be, uh...an acquired taste.</t>
  </si>
  <si>
    <t>Sanma</t>
  </si>
  <si>
    <t>111</t>
  </si>
  <si>
    <t>grilled sweetfish</t>
  </si>
  <si>
    <t>Just smell that sweet sweetfish! Gobble it up from tip to tail!</t>
  </si>
  <si>
    <t>AyuSioyaki</t>
  </si>
  <si>
    <t>112</t>
  </si>
  <si>
    <t>grilled turban shell</t>
  </si>
  <si>
    <t>A fresh, charcoal-grilled turban shell. Best enjoyed at a beachside BBQ.</t>
  </si>
  <si>
    <t>Sazae</t>
  </si>
  <si>
    <t>113</t>
  </si>
  <si>
    <t>grits</t>
  </si>
  <si>
    <t>A southern breakfast staple. It's basically butter with some ground corn.</t>
  </si>
  <si>
    <t>Grits</t>
  </si>
  <si>
    <t>114</t>
  </si>
  <si>
    <t>gyeran-jjim</t>
  </si>
  <si>
    <t>A casserole-like egg custard in an earthenware pot.</t>
  </si>
  <si>
    <t>Tyawanmushi</t>
  </si>
  <si>
    <t>115</t>
  </si>
  <si>
    <t>gyudon</t>
  </si>
  <si>
    <t>Meat, Rice</t>
  </si>
  <si>
    <t>A jumbo serving with a jumbo amount of broth! Best enjoyed while piping hot.</t>
  </si>
  <si>
    <t>GyuDon</t>
  </si>
  <si>
    <t>116</t>
  </si>
  <si>
    <t>habanero</t>
  </si>
  <si>
    <t>This red-hot chili pepper is not to be taken lightly. So tasty yet so spicy.</t>
  </si>
  <si>
    <t>Habanero</t>
  </si>
  <si>
    <t>117</t>
  </si>
  <si>
    <t>haggis</t>
  </si>
  <si>
    <t>Yes (from 01/25 to 01/25)</t>
  </si>
  <si>
    <t>Some might call this hearty Scottish dish, uh...an acquired taste.</t>
  </si>
  <si>
    <t>Haggis</t>
  </si>
  <si>
    <t>118</t>
  </si>
  <si>
    <t>hake fillet</t>
  </si>
  <si>
    <t>Tasty white fish that goes well with just about any kind of cooking.</t>
  </si>
  <si>
    <t>HakeFillets</t>
  </si>
  <si>
    <t>119</t>
  </si>
  <si>
    <t>ham and asparagus</t>
  </si>
  <si>
    <t>A delicious vessel for hollandaise sauce.</t>
  </si>
  <si>
    <t>AsparagusBoiledHamSauce</t>
  </si>
  <si>
    <t>120</t>
  </si>
  <si>
    <t>hard-boiled egg</t>
  </si>
  <si>
    <t>Don't worry—the yolk is perfectly soft. Try a little salt and pepper on top!</t>
  </si>
  <si>
    <t>BoiledEgg</t>
  </si>
  <si>
    <t>121</t>
  </si>
  <si>
    <t>hash browns</t>
  </si>
  <si>
    <t>Shredded potatoes fried to form these golden patties of breakfast potential.</t>
  </si>
  <si>
    <t>HashBrowns</t>
  </si>
  <si>
    <t>122</t>
  </si>
  <si>
    <t>hayashi rice</t>
  </si>
  <si>
    <t>Oily, Sweet</t>
  </si>
  <si>
    <t>A stewed dish featuring a mouth-watering demiglace sauce. Gobble up with rice.</t>
  </si>
  <si>
    <t>HayashiRice</t>
  </si>
  <si>
    <t>123</t>
  </si>
  <si>
    <t>herring</t>
  </si>
  <si>
    <t>Straight from the ocean to you. It's not red, which is probably a good thing.</t>
  </si>
  <si>
    <t>Herring</t>
  </si>
  <si>
    <t>124</t>
  </si>
  <si>
    <t>hiyashi-chuka noodles</t>
  </si>
  <si>
    <t>Sliced cucumber, ham, and omelet served over chilled noodles. Refreshing!</t>
  </si>
  <si>
    <t>HiyashiTyuka</t>
  </si>
  <si>
    <t>125</t>
  </si>
  <si>
    <t>hobak-buchimgae</t>
  </si>
  <si>
    <t>Juicy zucchini coated in batter and baked. Next-level delicious with soy sauce.</t>
  </si>
  <si>
    <t>ZukkiniNoTijimi</t>
  </si>
  <si>
    <t>126</t>
  </si>
  <si>
    <t>hot and sour soup</t>
  </si>
  <si>
    <t>Sour, Spicy</t>
  </si>
  <si>
    <t>A thick, sour, spicy delight that'll warm you right up.</t>
  </si>
  <si>
    <t>Sanratan</t>
  </si>
  <si>
    <t>127</t>
  </si>
  <si>
    <t>hot dog</t>
  </si>
  <si>
    <t>It's not made of dogs, but it IS hot. Hope you like mustard. If not...oops.</t>
  </si>
  <si>
    <t>HotDog</t>
  </si>
  <si>
    <t>128</t>
  </si>
  <si>
    <t>hot pot</t>
  </si>
  <si>
    <t>A scorching-hot pot of two broths and harmonious flavors simmered together.</t>
  </si>
  <si>
    <t>HotPot</t>
  </si>
  <si>
    <t>129</t>
  </si>
  <si>
    <t>hummus</t>
  </si>
  <si>
    <t>Savory paste made from chickpeas, salt, and olive oil. Great for dipping. And farts.</t>
  </si>
  <si>
    <t>Hummus</t>
  </si>
  <si>
    <t>130</t>
  </si>
  <si>
    <t>Iberian ham</t>
  </si>
  <si>
    <t>An expertly aged cured ham. Thinly sliced, slightly sweet, and fully delicious.</t>
  </si>
  <si>
    <t>JamonIberico</t>
  </si>
  <si>
    <t>131</t>
  </si>
  <si>
    <t>inari sushi</t>
  </si>
  <si>
    <t>A tasty one-two punch of marinated fried tofu stuffed with sushi rice.</t>
  </si>
  <si>
    <t>Inarizushi</t>
  </si>
  <si>
    <t>132</t>
  </si>
  <si>
    <t>instant noodles</t>
  </si>
  <si>
    <t>You're three minutes away from total noodle-ocity. Can you wait that long?</t>
  </si>
  <si>
    <t>CupNudle</t>
  </si>
  <si>
    <t>133</t>
  </si>
  <si>
    <t>jajangmyeon</t>
  </si>
  <si>
    <t>Oily, Salty, Sweet</t>
  </si>
  <si>
    <t>Stir-fried meat served over a mountain of noodles and topped with rich, thick sauce.</t>
  </si>
  <si>
    <t>Jyajyamen</t>
  </si>
  <si>
    <t>134</t>
  </si>
  <si>
    <t>janchi-guksu</t>
  </si>
  <si>
    <t>Is there anything somen noodles can't do? Probably taxes. Unless...</t>
  </si>
  <si>
    <t>KrSoumen</t>
  </si>
  <si>
    <t>135</t>
  </si>
  <si>
    <t>japchae</t>
  </si>
  <si>
    <t>Glass noodles and thinly sliced veggies stir-fried in sesame oil.</t>
  </si>
  <si>
    <t>Chapuche</t>
  </si>
  <si>
    <t>136</t>
  </si>
  <si>
    <t>jeonbok-juk</t>
  </si>
  <si>
    <t>Rice porridge made with abalone. A meal fit for kings!</t>
  </si>
  <si>
    <t>AwabiGayu</t>
  </si>
  <si>
    <t>137</t>
  </si>
  <si>
    <t>kasujiru</t>
  </si>
  <si>
    <t>Earthy root veggies and warm broth to thaw your icy soul during winter.</t>
  </si>
  <si>
    <t>Kasuziru</t>
  </si>
  <si>
    <t>138</t>
  </si>
  <si>
    <t>katsudon</t>
  </si>
  <si>
    <t>Egg, Meat, Rice</t>
  </si>
  <si>
    <t>The fluffy egg on top really takes this cutlet to the next level. Best with piping hot rice!</t>
  </si>
  <si>
    <t>Katudon</t>
  </si>
  <si>
    <t>139</t>
  </si>
  <si>
    <t>khao man gai</t>
  </si>
  <si>
    <t>A classic Thai dish served with soup and a rich, spicy sauce.</t>
  </si>
  <si>
    <t>KhaoManGai</t>
  </si>
  <si>
    <t>140</t>
  </si>
  <si>
    <t>kid's meal</t>
  </si>
  <si>
    <t>Meat, Rice, Vegetable</t>
  </si>
  <si>
    <t>Just right for your kiddo (or inner kiddo). The cute li'l flag is really what makes it.</t>
  </si>
  <si>
    <t>ChildLunch</t>
  </si>
  <si>
    <t>141</t>
  </si>
  <si>
    <t>kimchi</t>
  </si>
  <si>
    <t>Authentic kimchi straight from Korea. Love that spice! Best with rice.</t>
  </si>
  <si>
    <t>Kimuchi</t>
  </si>
  <si>
    <t>142</t>
  </si>
  <si>
    <t>kimchi-bokkeum-bap</t>
  </si>
  <si>
    <t>Egg, Rice, Vegetable</t>
  </si>
  <si>
    <t>Oily, Salty, Sour, Spicy, Sweet</t>
  </si>
  <si>
    <t>There's a lotta kimchi in there. Topped with a luscious fried egg.</t>
  </si>
  <si>
    <t>KimutiChahan</t>
  </si>
  <si>
    <t>143</t>
  </si>
  <si>
    <t>kimchijeon</t>
  </si>
  <si>
    <t>Oily, Salty, Sour, Spicy</t>
  </si>
  <si>
    <t>A kimchi-and-flour mix that's fried to a mouthwatering crisp.</t>
  </si>
  <si>
    <t>KimutiTijimi</t>
  </si>
  <si>
    <t>144</t>
  </si>
  <si>
    <t>kimchi-jjigae</t>
  </si>
  <si>
    <t>Bright red and bursting with flavor! The sourer the kimchi, the better.</t>
  </si>
  <si>
    <t>KimutiTige</t>
  </si>
  <si>
    <t>145</t>
  </si>
  <si>
    <t>kitsune udon</t>
  </si>
  <si>
    <t>Therapy in a bowl. We recommend waiting to eat the tofu until it soaks up lots of broth.</t>
  </si>
  <si>
    <t>KitsuneUdon</t>
  </si>
  <si>
    <t>146</t>
  </si>
  <si>
    <t>kkakdugi</t>
  </si>
  <si>
    <t>Kimchi made of diced daikon radish. A crunchy explosion of flavor!</t>
  </si>
  <si>
    <t>Kakuteki</t>
  </si>
  <si>
    <t>147</t>
  </si>
  <si>
    <t>konnyaku</t>
  </si>
  <si>
    <t>Whoever said not to play with your food obviously never wiggled this jelly around.</t>
  </si>
  <si>
    <t>Konnyaku</t>
  </si>
  <si>
    <t>148</t>
  </si>
  <si>
    <t>Korean chili pepper</t>
  </si>
  <si>
    <t>Not quite ripe. Try cooking it instead of eating it raw if you're not a lover of spice.</t>
  </si>
  <si>
    <t>KrTougarashi</t>
  </si>
  <si>
    <t>149</t>
  </si>
  <si>
    <t>Korean sausage</t>
  </si>
  <si>
    <t>Chunky sausage made of sticky rice and seasoned vegetables.</t>
  </si>
  <si>
    <t>Sundepokku</t>
  </si>
  <si>
    <t>150</t>
  </si>
  <si>
    <t>lasagna</t>
  </si>
  <si>
    <t>Homemade lasagna is the best kind of lasagna. Get it while it's hot!</t>
  </si>
  <si>
    <t>Lasagna</t>
  </si>
  <si>
    <t>151</t>
  </si>
  <si>
    <t>liver</t>
  </si>
  <si>
    <t>Just smell that delicious sauce! No, I swear—it's actually really good!</t>
  </si>
  <si>
    <t>Reba</t>
  </si>
  <si>
    <t>152</t>
  </si>
  <si>
    <t>lobster</t>
  </si>
  <si>
    <t>Impress your dinner guests by treating them to a luxurious lobster meal.</t>
  </si>
  <si>
    <t>Lobster</t>
  </si>
  <si>
    <t>153</t>
  </si>
  <si>
    <t>lobster roll</t>
  </si>
  <si>
    <t>Bread, Fish</t>
  </si>
  <si>
    <t>Creamy chunks of lobster with every bite! May we recommend a napkin?</t>
  </si>
  <si>
    <t>LobsterRoll</t>
  </si>
  <si>
    <t>154</t>
  </si>
  <si>
    <t>loco moco</t>
  </si>
  <si>
    <t>A Hawaiian dish with a meat patty, gravy, and a fried egg on white rice.</t>
  </si>
  <si>
    <t>LocoMoco</t>
  </si>
  <si>
    <t>155</t>
  </si>
  <si>
    <t>macaroni and cheese</t>
  </si>
  <si>
    <t>Look up "comfort" in a dictionary, and you'll see a picture of mac and cheese.</t>
  </si>
  <si>
    <t>MacaroniAndCheese</t>
  </si>
  <si>
    <t>156</t>
  </si>
  <si>
    <t>mapo tofu</t>
  </si>
  <si>
    <t>An irresistibly spicy blend of sansho and red peppers.</t>
  </si>
  <si>
    <t>MaboTofu</t>
  </si>
  <si>
    <t>157</t>
  </si>
  <si>
    <t>mashed potatoes</t>
  </si>
  <si>
    <t>Whoever invented mashing potatoes deserves an award. Nobel Potato?</t>
  </si>
  <si>
    <t>MashedPotato</t>
  </si>
  <si>
    <t>158</t>
  </si>
  <si>
    <t>matsutake mushroom</t>
  </si>
  <si>
    <t>A small fungus with a big price tag. Known for its distinctive spicy aroma.</t>
  </si>
  <si>
    <t>Matsutake</t>
  </si>
  <si>
    <t>159</t>
  </si>
  <si>
    <t>meat-and-potato stew</t>
  </si>
  <si>
    <t>Home cookin' at its finest. Those soft potatoes are the stuff of dreams.</t>
  </si>
  <si>
    <t>Nikujaga</t>
  </si>
  <si>
    <t>160</t>
  </si>
  <si>
    <t>meatballs</t>
  </si>
  <si>
    <t>Something important is missing here. Hold up...where's the pasta?!</t>
  </si>
  <si>
    <t>Meatball</t>
  </si>
  <si>
    <t>161</t>
  </si>
  <si>
    <t>minestrone soup</t>
  </si>
  <si>
    <t>Simmered slowly to coax out all of that tasty vegetable flavor.</t>
  </si>
  <si>
    <t>Minestrone</t>
  </si>
  <si>
    <t>162</t>
  </si>
  <si>
    <t>miso soup</t>
  </si>
  <si>
    <t>Feel your contentment rise like the steam from this enticingly warm soup.</t>
  </si>
  <si>
    <t>MisoSoup</t>
  </si>
  <si>
    <t>163</t>
  </si>
  <si>
    <t>miyeok-guk</t>
  </si>
  <si>
    <t>You couldn't pack more seaweed into this soup.</t>
  </si>
  <si>
    <t>WakameSuupu</t>
  </si>
  <si>
    <t>164</t>
  </si>
  <si>
    <t>mochi</t>
  </si>
  <si>
    <t>Tastes great with soy sauce. Can also stretch reeeally far.</t>
  </si>
  <si>
    <t>Mochi</t>
  </si>
  <si>
    <t>165</t>
  </si>
  <si>
    <t>moldy bread</t>
  </si>
  <si>
    <t>Ew. Ew, gross. That bread may be cheap, but that doesn't make it edible.</t>
  </si>
  <si>
    <t>KabiPan</t>
  </si>
  <si>
    <t>166</t>
  </si>
  <si>
    <t>monjayaki</t>
  </si>
  <si>
    <t>Somehow crispy and gooey at the same time. Eat it with a special spatula.</t>
  </si>
  <si>
    <t>MonzyaYaki</t>
  </si>
  <si>
    <t>167</t>
  </si>
  <si>
    <t>mooncakes</t>
  </si>
  <si>
    <t>Yes (from 09/05 to 10/10)</t>
  </si>
  <si>
    <t>A traditional Chinese food eaten during the Mid-Autumn Festival.</t>
  </si>
  <si>
    <t>Geppei</t>
  </si>
  <si>
    <t>168</t>
  </si>
  <si>
    <t>mozzarella</t>
  </si>
  <si>
    <t>Fresh, mild cheese with good stretch to it. I wonder how long you could pull it...</t>
  </si>
  <si>
    <t>Mozzarella</t>
  </si>
  <si>
    <t>169</t>
  </si>
  <si>
    <t>mul naengmyeon</t>
  </si>
  <si>
    <t>Egg, Noodle</t>
  </si>
  <si>
    <t>Slippery noodles complemented by tantalizingly sour broth.</t>
  </si>
  <si>
    <t>KankokuReimen</t>
  </si>
  <si>
    <t>170</t>
  </si>
  <si>
    <t>mushroom</t>
  </si>
  <si>
    <t>The most flavorful fungus of all, which is not a difficult competition to win.</t>
  </si>
  <si>
    <t>Mushroom</t>
  </si>
  <si>
    <t>171</t>
  </si>
  <si>
    <t>mussels</t>
  </si>
  <si>
    <t>Freshly harvested and steamed to open-shelled perfection.</t>
  </si>
  <si>
    <t>Moule</t>
  </si>
  <si>
    <t>172</t>
  </si>
  <si>
    <t>myoga ginger</t>
  </si>
  <si>
    <t>This potent condiment will clear the ol' sinuses right out. Also good on tofu.</t>
  </si>
  <si>
    <t>Myouga</t>
  </si>
  <si>
    <t>173</t>
  </si>
  <si>
    <t>nachos</t>
  </si>
  <si>
    <t>Crispy tortilla chips topped with pico de gallo, cheese, and jalapeños.</t>
  </si>
  <si>
    <t>Nachos</t>
  </si>
  <si>
    <t>174</t>
  </si>
  <si>
    <t>namul</t>
  </si>
  <si>
    <t>Wild veggies and greens dressed to the nines. Tough to decide which to eat first!</t>
  </si>
  <si>
    <t>Namuru</t>
  </si>
  <si>
    <t>175</t>
  </si>
  <si>
    <t>napa cabbage</t>
  </si>
  <si>
    <t>A most versatile green! Use the outer leaves for frying and the inner leaves for hot pot.</t>
  </si>
  <si>
    <t>ShinsenNaHakusai</t>
  </si>
  <si>
    <t>176</t>
  </si>
  <si>
    <t>natto</t>
  </si>
  <si>
    <t>Delicious over hot rice! If you can get past the intense smell, that is...</t>
  </si>
  <si>
    <t>Natto</t>
  </si>
  <si>
    <t>177</t>
  </si>
  <si>
    <t>ochazuke</t>
  </si>
  <si>
    <t>Sometimes the simplest food is the tastiest! This dish is called "bubuzuke" in Kyoto.</t>
  </si>
  <si>
    <t>OchaDuke</t>
  </si>
  <si>
    <t>178</t>
  </si>
  <si>
    <t>oden</t>
  </si>
  <si>
    <t>A tasty trio of konjac jelly, daikon radish, and chikuwa fish cake for cold winter nights.</t>
  </si>
  <si>
    <t>Oden</t>
  </si>
  <si>
    <t>179</t>
  </si>
  <si>
    <t>oi kimchi</t>
  </si>
  <si>
    <t>Crunchy, refreshing cucumber and flavorful kimchi make a great summer combo.</t>
  </si>
  <si>
    <t>KyuriNoKimuti</t>
  </si>
  <si>
    <t>180</t>
  </si>
  <si>
    <t>okonomiyaki</t>
  </si>
  <si>
    <t>Every filling under the sun and all the sauce and bonito flakes you could dream of.</t>
  </si>
  <si>
    <t>OkonomiYaki</t>
  </si>
  <si>
    <t>181</t>
  </si>
  <si>
    <t>olives</t>
  </si>
  <si>
    <t>Crush them for their oil, or chop them up for a very grown-up pizza.</t>
  </si>
  <si>
    <t>Olive</t>
  </si>
  <si>
    <t>182</t>
  </si>
  <si>
    <t>Olivier salad</t>
  </si>
  <si>
    <t>It wouldn't be potato salad without an inadvisable amount of mayonnaise.</t>
  </si>
  <si>
    <t>SaladOlivier</t>
  </si>
  <si>
    <t>183</t>
  </si>
  <si>
    <t>omelet</t>
  </si>
  <si>
    <t>Only the finest eggs were used for this creation. It longs to be paired with ketchup.</t>
  </si>
  <si>
    <t>Omelet</t>
  </si>
  <si>
    <t>184</t>
  </si>
  <si>
    <t>omurice</t>
  </si>
  <si>
    <t>Egg, Rice</t>
  </si>
  <si>
    <t>Ketchup-seasoned rice tucked into a fluffy omelet and doused in even more ketchup.</t>
  </si>
  <si>
    <t>Omurice</t>
  </si>
  <si>
    <t>185</t>
  </si>
  <si>
    <t>onion rings</t>
  </si>
  <si>
    <t>Is there a better way to enjoy an onion than battered and deep-fried? Nope.</t>
  </si>
  <si>
    <t>OnionRings</t>
  </si>
  <si>
    <t>186</t>
  </si>
  <si>
    <t>osechi</t>
  </si>
  <si>
    <t>Yes (from 12/31 to 01/01)</t>
  </si>
  <si>
    <t>A traditional Japanese New Year's dish meant to bestow good luck.</t>
  </si>
  <si>
    <t>Osechi</t>
  </si>
  <si>
    <t>187</t>
  </si>
  <si>
    <t>oyakodon</t>
  </si>
  <si>
    <t>You won't be able to stop eating this egg and chicken combo. Seriously.</t>
  </si>
  <si>
    <t>OyakoDon</t>
  </si>
  <si>
    <t>188</t>
  </si>
  <si>
    <t>oyster</t>
  </si>
  <si>
    <t>Drizzle with lemon or hot sauce and enjoy in one gulp!</t>
  </si>
  <si>
    <t>Oyster</t>
  </si>
  <si>
    <t>189</t>
  </si>
  <si>
    <t>ozoni</t>
  </si>
  <si>
    <t>New year not required to eat this tasty New Year's dish.</t>
  </si>
  <si>
    <t>Zouni</t>
  </si>
  <si>
    <t>190</t>
  </si>
  <si>
    <t>pad krapow</t>
  </si>
  <si>
    <t>A Thai recipe featuring minced chicken, spices, rice, and a glorious fried egg on top.</t>
  </si>
  <si>
    <t>GapaoRice</t>
  </si>
  <si>
    <t>191</t>
  </si>
  <si>
    <t>paella</t>
  </si>
  <si>
    <t>Say "yellow" to the ocean's finest, served with appetizing saffron rice.</t>
  </si>
  <si>
    <t>Paella</t>
  </si>
  <si>
    <t>192</t>
  </si>
  <si>
    <t>panini</t>
  </si>
  <si>
    <t>A very long sandwich stuffed with meat and toasted to perfection.</t>
  </si>
  <si>
    <t>Panini</t>
  </si>
  <si>
    <t>193</t>
  </si>
  <si>
    <t>pão de queijo</t>
  </si>
  <si>
    <t>A Brazilian bun baked with cheese. Mind-numbingly tasty when fresh.</t>
  </si>
  <si>
    <t>CheeseBread</t>
  </si>
  <si>
    <t>194</t>
  </si>
  <si>
    <t>patatas bravas</t>
  </si>
  <si>
    <t>Oily, Salty, Spicy</t>
  </si>
  <si>
    <t>Enjoyed as an appetizer in Spain.</t>
  </si>
  <si>
    <t>Tapa</t>
  </si>
  <si>
    <t>195</t>
  </si>
  <si>
    <t>PB&amp;J</t>
  </si>
  <si>
    <t>Nothing's more classic than peanut butter meeting jelly on sliced bread.</t>
  </si>
  <si>
    <t>PeanutButterJellySandwich</t>
  </si>
  <si>
    <t>196</t>
  </si>
  <si>
    <t>Peking duck</t>
  </si>
  <si>
    <t>Crispy roasted duck served with savory pancakes and a tangy hoisin sauce.</t>
  </si>
  <si>
    <t>PekinDuck</t>
  </si>
  <si>
    <t>197</t>
  </si>
  <si>
    <t>pesto pasta</t>
  </si>
  <si>
    <t>Pasta, Parmesan, and pine nuts got married. This is their beautiful baby.</t>
  </si>
  <si>
    <t>PestoPasta</t>
  </si>
  <si>
    <t>198</t>
  </si>
  <si>
    <t>pickled plum</t>
  </si>
  <si>
    <t>Just sour enough to turn your mouth inside out.</t>
  </si>
  <si>
    <t>Umeboshi</t>
  </si>
  <si>
    <t>199</t>
  </si>
  <si>
    <t>pickles</t>
  </si>
  <si>
    <t>Pickles are like mutated cucumbers. If you're into that sort of thing, have at it.</t>
  </si>
  <si>
    <t>Pickles</t>
  </si>
  <si>
    <t>200</t>
  </si>
  <si>
    <t>pizza</t>
  </si>
  <si>
    <t>Pizza is the people's food. Crust with stuff on it is the recipe for bliss.</t>
  </si>
  <si>
    <t>Pizza</t>
  </si>
  <si>
    <t>201</t>
  </si>
  <si>
    <t>poke</t>
  </si>
  <si>
    <t>Tuna, salmon, and veggies. A refreshing combo of seafood goodness.</t>
  </si>
  <si>
    <t>Poke</t>
  </si>
  <si>
    <t>202</t>
  </si>
  <si>
    <t>polenta</t>
  </si>
  <si>
    <t>Ah, the endless utility of corn... Enjoy this dish either hot or cold!</t>
  </si>
  <si>
    <t>Polenta</t>
  </si>
  <si>
    <t>203</t>
  </si>
  <si>
    <t>popcorn shrimp</t>
  </si>
  <si>
    <t>Sometimes a movie calls not for snacks but for seafood. This is for those times.</t>
  </si>
  <si>
    <t>PopcornShrimp</t>
  </si>
  <si>
    <t>204</t>
  </si>
  <si>
    <t>pork bun</t>
  </si>
  <si>
    <t>It looks like a pastry, but it's actually filled with juicy, juicy pork.</t>
  </si>
  <si>
    <t>Nikuman</t>
  </si>
  <si>
    <t>205</t>
  </si>
  <si>
    <t>pork cutlet</t>
  </si>
  <si>
    <t>A thin cut of pork, boiled and savory. Silverware is optional but a good idea.</t>
  </si>
  <si>
    <t>Cutlet</t>
  </si>
  <si>
    <t>206</t>
  </si>
  <si>
    <t>pork pie</t>
  </si>
  <si>
    <t>If you think this is going to be a sweet pie, you're in for a classic self-prank.</t>
  </si>
  <si>
    <t>PorkPie</t>
  </si>
  <si>
    <t>207</t>
  </si>
  <si>
    <t>porridge</t>
  </si>
  <si>
    <t>Best piping hot. Add fruit and sugar to kick the flavor up a few notches.</t>
  </si>
  <si>
    <t>Porridge</t>
  </si>
  <si>
    <t>208</t>
  </si>
  <si>
    <t>pot-au-feu</t>
  </si>
  <si>
    <t>Beef stew with various root vegetables. French home cooking at its finest.</t>
  </si>
  <si>
    <t>Potof</t>
  </si>
  <si>
    <t>209</t>
  </si>
  <si>
    <t>pot stickers</t>
  </si>
  <si>
    <t>So crunchy. So crispy. So full of juicy, juicy goodness. Savor the flavor.</t>
  </si>
  <si>
    <t>Gyoza</t>
  </si>
  <si>
    <t>210</t>
  </si>
  <si>
    <t>prawn salad</t>
  </si>
  <si>
    <t>Grilled prawns presented on a bed of rather run-of-the-mill lettuce.</t>
  </si>
  <si>
    <t>PrawnSalad</t>
  </si>
  <si>
    <t>211</t>
  </si>
  <si>
    <t>prosciutto</t>
  </si>
  <si>
    <t>Thinly sliced so you can keep going back for more. Ham it up!</t>
  </si>
  <si>
    <t>Namahamu</t>
  </si>
  <si>
    <t>212</t>
  </si>
  <si>
    <t>quiche</t>
  </si>
  <si>
    <t>Immerse yourself in the eggy goodness that is quiche. Even better with soup.</t>
  </si>
  <si>
    <t>Kissyu</t>
  </si>
  <si>
    <t>213</t>
  </si>
  <si>
    <t>raclette</t>
  </si>
  <si>
    <t>Yes (from 12/20 to 01/06)</t>
  </si>
  <si>
    <t>Cheese melted juuust before it's scraped off and served over potatoes.</t>
  </si>
  <si>
    <t>Raclette</t>
  </si>
  <si>
    <t>214</t>
  </si>
  <si>
    <t>ramen</t>
  </si>
  <si>
    <t>Japanese noodles with pork, egg, and seaweed. Have fun slurping that soup.</t>
  </si>
  <si>
    <t>Nudle</t>
  </si>
  <si>
    <t>215</t>
  </si>
  <si>
    <t>ramyeon</t>
  </si>
  <si>
    <t>This broth-and-noodle combo is just spicy enough to keep you coming back for more!</t>
  </si>
  <si>
    <t>KrRamen</t>
  </si>
  <si>
    <t>216</t>
  </si>
  <si>
    <t>ratatouille</t>
  </si>
  <si>
    <t>This tasty sucker's got just about every vegetable you can imagine.</t>
  </si>
  <si>
    <t>Ratatouille</t>
  </si>
  <si>
    <t>217</t>
  </si>
  <si>
    <t>ravioli</t>
  </si>
  <si>
    <t>Pillowy pasta pockets of ricotta and spinach. When in Rome!</t>
  </si>
  <si>
    <t>Ravioli</t>
  </si>
  <si>
    <t>218</t>
  </si>
  <si>
    <t>red chili pepper</t>
  </si>
  <si>
    <t>See if you can handle the spice. Just don't touch your eyes afterward.</t>
  </si>
  <si>
    <t>Togarashi</t>
  </si>
  <si>
    <t>219</t>
  </si>
  <si>
    <t>rice</t>
  </si>
  <si>
    <t>Slow-cooked in a traditional Japanese pot and fluffed to perfection.</t>
  </si>
  <si>
    <t>220</t>
  </si>
  <si>
    <t>rice ball</t>
  </si>
  <si>
    <t>Made by hand with lotsa love. Dig in to uncover treasures hidden inside.</t>
  </si>
  <si>
    <t>Onigiri</t>
  </si>
  <si>
    <t>221</t>
  </si>
  <si>
    <t>rice porridge</t>
  </si>
  <si>
    <t>A deceivingly simple dish that'll remind you of your best days as a toddler.</t>
  </si>
  <si>
    <t>Okayu</t>
  </si>
  <si>
    <t>222</t>
  </si>
  <si>
    <t>risotto</t>
  </si>
  <si>
    <t>Risotto is the rice of kings. So rich and flavorful you'll feel like a monarch.</t>
  </si>
  <si>
    <t>Risotto</t>
  </si>
  <si>
    <t>223</t>
  </si>
  <si>
    <t>roast beef</t>
  </si>
  <si>
    <t>Thick slabs of savory roast beef just begging to be made into a sandwich.</t>
  </si>
  <si>
    <t>RoastBeef</t>
  </si>
  <si>
    <t>224</t>
  </si>
  <si>
    <t>roast chicken</t>
  </si>
  <si>
    <t>A plump, roasted chicken resting on a bed of Yukon Gold potatoes.</t>
  </si>
  <si>
    <t>RoastChicken</t>
  </si>
  <si>
    <t>225</t>
  </si>
  <si>
    <t>roast duck</t>
  </si>
  <si>
    <t>Oily, Sour, Sweet</t>
  </si>
  <si>
    <t>To be super fancy, enjoy with a fruit sauce. And stick your pinkie out while you eat.</t>
  </si>
  <si>
    <t>MagretDeCanard</t>
  </si>
  <si>
    <t>226</t>
  </si>
  <si>
    <t>roasted leg of lamb</t>
  </si>
  <si>
    <t>Yes (from 03/22 to 04/25)</t>
  </si>
  <si>
    <t>Tender, medium-rare meat. Savory and a bit gamy.</t>
  </si>
  <si>
    <t>LambLeg</t>
  </si>
  <si>
    <t>227</t>
  </si>
  <si>
    <t>roast goose</t>
  </si>
  <si>
    <t>Slow roasted to draw out all those rich flavors. Crispy yet tender. Perfection!</t>
  </si>
  <si>
    <t>RoastedGoose</t>
  </si>
  <si>
    <t>228</t>
  </si>
  <si>
    <t>roast lamb</t>
  </si>
  <si>
    <t>Roasting something this perfectly requires charcoal-fire-whisperer skills.</t>
  </si>
  <si>
    <t>CorderoAsado</t>
  </si>
  <si>
    <t>229</t>
  </si>
  <si>
    <t>roast turkey</t>
  </si>
  <si>
    <t>Yes (from 10/01 to 12/31)</t>
  </si>
  <si>
    <t>This big bird took days to roast. Serve with stuffing, and let the holiday begin.</t>
  </si>
  <si>
    <t>Turkey</t>
  </si>
  <si>
    <t>230</t>
  </si>
  <si>
    <t>rollmop herrings</t>
  </si>
  <si>
    <t>Rolled fillets of pickled herring with veggies. If you like tangy stuff, this is your snack.</t>
  </si>
  <si>
    <t>Rollmop</t>
  </si>
  <si>
    <t>231</t>
  </si>
  <si>
    <t>ruined meal</t>
  </si>
  <si>
    <t>Somebody's a bad cook. Or has a sick sense of humor. Or doesn't like you.</t>
  </si>
  <si>
    <t>SippaiRyouri</t>
  </si>
  <si>
    <t>232</t>
  </si>
  <si>
    <t>salad</t>
  </si>
  <si>
    <t>The secret to a tasty salad is texture, crunch, and a zippy dressing!</t>
  </si>
  <si>
    <t>Salad</t>
  </si>
  <si>
    <t>233</t>
  </si>
  <si>
    <t>salami</t>
  </si>
  <si>
    <t>A small plate of spicy, sliced sausage. Keep for yourself or share with friends.</t>
  </si>
  <si>
    <t>Salami</t>
  </si>
  <si>
    <t>234</t>
  </si>
  <si>
    <t>Salisbury steak</t>
  </si>
  <si>
    <t>Basically a hamburger without the bun. Calling it a steak makes it fancier.</t>
  </si>
  <si>
    <t>Hamburg</t>
  </si>
  <si>
    <t>235</t>
  </si>
  <si>
    <t>salmon meunière</t>
  </si>
  <si>
    <t>This fish was soaked in blissful, buttery sauce, coated in flour, and pan-fried.</t>
  </si>
  <si>
    <t>SalmonMunieru</t>
  </si>
  <si>
    <t>236</t>
  </si>
  <si>
    <t>salmon roe</t>
  </si>
  <si>
    <t>Could be mistaken for sparkling jewels. (Please don't eat jewels.)</t>
  </si>
  <si>
    <t>Ikura</t>
  </si>
  <si>
    <t>237</t>
  </si>
  <si>
    <t>saltimbocca</t>
  </si>
  <si>
    <t>Veal wrapped in prosciutto and sage, then marinated and fried.</t>
  </si>
  <si>
    <t>Saltimbocca</t>
  </si>
  <si>
    <t>238</t>
  </si>
  <si>
    <t>samgyeopsal</t>
  </si>
  <si>
    <t>Juicy grilled pork belly wrapped with leafy greens.</t>
  </si>
  <si>
    <t>Samugyopusaru</t>
  </si>
  <si>
    <t>239</t>
  </si>
  <si>
    <t>samgye-tang</t>
  </si>
  <si>
    <t>Ginseng chicken soup. Aromatic and popular during summertime.</t>
  </si>
  <si>
    <t>Samugetan</t>
  </si>
  <si>
    <t>240</t>
  </si>
  <si>
    <t>sandwich</t>
  </si>
  <si>
    <t>Bread, Egg, Meat, Vegetable</t>
  </si>
  <si>
    <t>The mark of a successful sandwich is not being able to hold it with one hand.</t>
  </si>
  <si>
    <t>Sandwich</t>
  </si>
  <si>
    <t>241</t>
  </si>
  <si>
    <t>sardines</t>
  </si>
  <si>
    <t>Your cat would go bonkers if it knew you were keeping these for yourself.</t>
  </si>
  <si>
    <t>CannedSardines</t>
  </si>
  <si>
    <t>242</t>
  </si>
  <si>
    <t>sashimi</t>
  </si>
  <si>
    <t>The best part of sashimi: no cooking required. Eating without heating FTW!</t>
  </si>
  <si>
    <t>Sashimi</t>
  </si>
  <si>
    <t>243</t>
  </si>
  <si>
    <t>sauerkraut</t>
  </si>
  <si>
    <t>Pickled and fermented cabbage. A good choice if you don't want anyone near you.</t>
  </si>
  <si>
    <t>Sauerkraut</t>
  </si>
  <si>
    <t>244</t>
  </si>
  <si>
    <t>sausage</t>
  </si>
  <si>
    <t>Real sausage straight from the butcher. The casing is made of...uh, love.</t>
  </si>
  <si>
    <t>Sousage</t>
  </si>
  <si>
    <t>245</t>
  </si>
  <si>
    <t>sautéed zucchini</t>
  </si>
  <si>
    <t>Delicious strips of zucchini grilled to mouthwatering perfection.</t>
  </si>
  <si>
    <t>YakiNasu</t>
  </si>
  <si>
    <t>246</t>
  </si>
  <si>
    <t>schnitzel</t>
  </si>
  <si>
    <t>Tenderized, boneless meat fried until crispy. Guten to the last bite.</t>
  </si>
  <si>
    <t>Schnitzel</t>
  </si>
  <si>
    <t>247</t>
  </si>
  <si>
    <t>scrambled eggs</t>
  </si>
  <si>
    <t>Even a basic dish hits different when a pro makes it. Fluffy, well seasoned... Yum!</t>
  </si>
  <si>
    <t>TamagoYaki</t>
  </si>
  <si>
    <t>248</t>
  </si>
  <si>
    <t>seafood platter</t>
  </si>
  <si>
    <t>An assortment of seafood. Liberally apply some lemon juice, and enjoy!</t>
  </si>
  <si>
    <t>FriedSeafoodMix</t>
  </si>
  <si>
    <t>249</t>
  </si>
  <si>
    <t>sea urchin</t>
  </si>
  <si>
    <t>Yoinked this one right out of the sea! Can't recommend eating the spiky bits.</t>
  </si>
  <si>
    <t>Uni</t>
  </si>
  <si>
    <t>250</t>
  </si>
  <si>
    <t>sekihan</t>
  </si>
  <si>
    <t>Red beans and rice typically eaten during celebrations in Japan.</t>
  </si>
  <si>
    <t>Sekihan</t>
  </si>
  <si>
    <t>251</t>
  </si>
  <si>
    <t>seolleongtang</t>
  </si>
  <si>
    <t>Also known as ox bone soup. Simmered over a low flame, sometimes for a whole day!</t>
  </si>
  <si>
    <t>Sorurontan</t>
  </si>
  <si>
    <t>252</t>
  </si>
  <si>
    <t>shrimp pilaf</t>
  </si>
  <si>
    <t>They sure didn't scrimp on the shrimp. Or the butter. Mmm.</t>
  </si>
  <si>
    <t>EbiPirafu</t>
  </si>
  <si>
    <t>253</t>
  </si>
  <si>
    <t>shumai</t>
  </si>
  <si>
    <t>A juicy, handmade dumpling full of ground meat and veggies.</t>
  </si>
  <si>
    <t>Syumai</t>
  </si>
  <si>
    <t>254</t>
  </si>
  <si>
    <t>sliced sea bream</t>
  </si>
  <si>
    <t>Usually only available at traditional Japanese restaurants. You're welcome.</t>
  </si>
  <si>
    <t>TaiIkedukuri</t>
  </si>
  <si>
    <t>255</t>
  </si>
  <si>
    <t>smoked salmon</t>
  </si>
  <si>
    <t>Razor-thin slices of smoked salmon and a handful of capers. Pass the crackers.</t>
  </si>
  <si>
    <t>SmokedSalmon</t>
  </si>
  <si>
    <t>256</t>
  </si>
  <si>
    <t>sotteok sotteok</t>
  </si>
  <si>
    <t>Spicy, Sweet</t>
  </si>
  <si>
    <t>Fried rice cakes and sausages skewered and smothered in sweet and spicy sauce.</t>
  </si>
  <si>
    <t>SotteokSotteok</t>
  </si>
  <si>
    <t>257</t>
  </si>
  <si>
    <t>space food</t>
  </si>
  <si>
    <t>Step one: eat space food. Step two: go to space. At least step one is easy.</t>
  </si>
  <si>
    <t>SpaceFood</t>
  </si>
  <si>
    <t>258</t>
  </si>
  <si>
    <t>spaghetti</t>
  </si>
  <si>
    <t>Pasta with ground beef and tomato sauce. Can't argue with the classics.</t>
  </si>
  <si>
    <t>Meatsource</t>
  </si>
  <si>
    <t>259</t>
  </si>
  <si>
    <t>spaghetti aglio e olio</t>
  </si>
  <si>
    <t>Spaghetti with olive oil, fresh garlic, and red chili peppers for a fiery kick.</t>
  </si>
  <si>
    <t>Peperoncino</t>
  </si>
  <si>
    <t>260</t>
  </si>
  <si>
    <t>spicy pollack roe</t>
  </si>
  <si>
    <t>Pickled to perfection. Serve with freshly cooked rice.</t>
  </si>
  <si>
    <t>Mentaiko</t>
  </si>
  <si>
    <t>261</t>
  </si>
  <si>
    <t>spinach</t>
  </si>
  <si>
    <t>A pile of leafy greens cooked down to nearly nothing.</t>
  </si>
  <si>
    <t>Spinach</t>
  </si>
  <si>
    <t>262</t>
  </si>
  <si>
    <t>split-pea soup</t>
  </si>
  <si>
    <t>It may be called split-pea soup, but all peas are welcome in this dish!</t>
  </si>
  <si>
    <t>SplitPeaSoup</t>
  </si>
  <si>
    <t>263</t>
  </si>
  <si>
    <t>squid-ink spaghetti</t>
  </si>
  <si>
    <t>It's not burned—it's blackened with ink. Hope you brought your toothbrush.</t>
  </si>
  <si>
    <t>IkasumiPasta</t>
  </si>
  <si>
    <t>264</t>
  </si>
  <si>
    <t>steak</t>
  </si>
  <si>
    <t>A thick, fatty hunk of beef to gnaw on. Worry not—the veggies are for garnish.</t>
  </si>
  <si>
    <t>Steak</t>
  </si>
  <si>
    <t>265</t>
  </si>
  <si>
    <t>stewed beef</t>
  </si>
  <si>
    <t>Slow cooked for three whole days. So savory it's for sure worth the wait.</t>
  </si>
  <si>
    <t>BeefStew</t>
  </si>
  <si>
    <t>266</t>
  </si>
  <si>
    <t>stir-fried tomato and eggs</t>
  </si>
  <si>
    <t>Egg, Vegetable</t>
  </si>
  <si>
    <t>Fluffy eggs tossed with well-sautéed tomatoes and sprinkled with green onion.</t>
  </si>
  <si>
    <t>EggsAndTomatoes</t>
  </si>
  <si>
    <t>267</t>
  </si>
  <si>
    <t>store-bought lunch</t>
  </si>
  <si>
    <t>A solid lunch at a solid price! Your stomach and wallet will thank you.</t>
  </si>
  <si>
    <t>ConbiniBento</t>
  </si>
  <si>
    <t>268</t>
  </si>
  <si>
    <t>string cheese</t>
  </si>
  <si>
    <t>Stringy cheese that's fun to peel and small enough to slip in your lunch box.</t>
  </si>
  <si>
    <t>StringCheese</t>
  </si>
  <si>
    <t>269</t>
  </si>
  <si>
    <t>stuffed cabbage roll</t>
  </si>
  <si>
    <t>Slowly simmered until tender. The recipe is a family secret, so don't ask.</t>
  </si>
  <si>
    <t>RollCabbage</t>
  </si>
  <si>
    <t>270</t>
  </si>
  <si>
    <t>stuffed peppers</t>
  </si>
  <si>
    <t>Packed with meat. Are you happy now, vegetable haters?</t>
  </si>
  <si>
    <t>PaprikaWithMeat</t>
  </si>
  <si>
    <t>271</t>
  </si>
  <si>
    <t>stuffing</t>
  </si>
  <si>
    <t>Bread crumbs with onions and celery. Eat as is or stuff inside something else.</t>
  </si>
  <si>
    <t>Stuffing</t>
  </si>
  <si>
    <t>272</t>
  </si>
  <si>
    <t>sukiyaki</t>
  </si>
  <si>
    <t>Typically served to families, but we won't tell if you eat it all yourself.</t>
  </si>
  <si>
    <t>Sukiyaki</t>
  </si>
  <si>
    <t>273</t>
  </si>
  <si>
    <t>sundubu-jjigae</t>
  </si>
  <si>
    <t>Soft and fluffy tofu is the star of the show in this spicy seafood stew.</t>
  </si>
  <si>
    <t>SundobuTige</t>
  </si>
  <si>
    <t>274</t>
  </si>
  <si>
    <t>sushi</t>
  </si>
  <si>
    <t>Egg, Fish, Rice</t>
  </si>
  <si>
    <t>Prepared by a sushi master. One is never enough. Neither is 20.</t>
  </si>
  <si>
    <t>Sushi</t>
  </si>
  <si>
    <t>275</t>
  </si>
  <si>
    <t>suyuk</t>
  </si>
  <si>
    <t>A simple and satisfying dish made of boiled pork. Season as desired.</t>
  </si>
  <si>
    <t>Suyuku</t>
  </si>
  <si>
    <t>276</t>
  </si>
  <si>
    <t>sweet-and-sour pork</t>
  </si>
  <si>
    <t>Sour, Sweet</t>
  </si>
  <si>
    <t>Much like life, it's both sweet and sour. Unlike life, it comes with extra sauce.</t>
  </si>
  <si>
    <t>Subuta</t>
  </si>
  <si>
    <t>277</t>
  </si>
  <si>
    <t>tacos</t>
  </si>
  <si>
    <t>Crispy shells stuffed with spicy fillings and fresh guacamole. Fiesta time!</t>
  </si>
  <si>
    <t>Tacos</t>
  </si>
  <si>
    <t>278</t>
  </si>
  <si>
    <t>takoyaki</t>
  </si>
  <si>
    <t>The ultimate seafood street food! Piping hot and super tasty.</t>
  </si>
  <si>
    <t>Takoyaki</t>
  </si>
  <si>
    <t>279</t>
  </si>
  <si>
    <t>tamale</t>
  </si>
  <si>
    <t>Masa dough wrapped in a corn husk and steamed. Soft and delectably delicious.</t>
  </si>
  <si>
    <t>Tamale</t>
  </si>
  <si>
    <t>280</t>
  </si>
  <si>
    <t>tempura</t>
  </si>
  <si>
    <t>Just when you thought shrimp and veggies couldn't get any tastier!</t>
  </si>
  <si>
    <t>Tenpura</t>
  </si>
  <si>
    <t>281</t>
  </si>
  <si>
    <t>tempura rice bowl</t>
  </si>
  <si>
    <t>Make way for sweet, spicy, crunchy rice-bowl royalty!</t>
  </si>
  <si>
    <t>Tendon</t>
  </si>
  <si>
    <t>282</t>
  </si>
  <si>
    <t>tofu</t>
  </si>
  <si>
    <t>Chilled and refreshing. Kick it up a notch with some green onions and ginger.</t>
  </si>
  <si>
    <t>Tofu</t>
  </si>
  <si>
    <t>283</t>
  </si>
  <si>
    <t>tomato</t>
  </si>
  <si>
    <t>A vine-ripened 'mato just waiting to be saucified or sliced for sandwich duty.</t>
  </si>
  <si>
    <t>Tomato</t>
  </si>
  <si>
    <t>284</t>
  </si>
  <si>
    <t>tonkatsu</t>
  </si>
  <si>
    <t>Deep-fried pork covered in a yummy sauce. Oh yeah, there's cabbage there too.</t>
  </si>
  <si>
    <t>Tonkatsu</t>
  </si>
  <si>
    <t>285</t>
  </si>
  <si>
    <t>truffle mushroom</t>
  </si>
  <si>
    <t>It looks like a fungus, but it's actually high-class foodstuff.</t>
  </si>
  <si>
    <t>Truffle</t>
  </si>
  <si>
    <t>286</t>
  </si>
  <si>
    <t>tteokbokki</t>
  </si>
  <si>
    <t>Long, thin rice cakes stir-fried in a sweet-and-spicy sauce.</t>
  </si>
  <si>
    <t>Toppogi</t>
  </si>
  <si>
    <t>287</t>
  </si>
  <si>
    <t>tteokguk</t>
  </si>
  <si>
    <t>Yes (from 01/20 to 02/15)</t>
  </si>
  <si>
    <t>A delightfully tasty combo of warm broth and sticky rice cakes.</t>
  </si>
  <si>
    <t>Tokku</t>
  </si>
  <si>
    <t>288</t>
  </si>
  <si>
    <t>veggie burger</t>
  </si>
  <si>
    <t>Made entirely from organic ingredients, this burger is as good as it gets.</t>
  </si>
  <si>
    <t>VeggieBurger</t>
  </si>
  <si>
    <t>289</t>
  </si>
  <si>
    <t>white bread</t>
  </si>
  <si>
    <t>Fluffy bread that's nearly foundational to grade-school lunches everywhere.</t>
  </si>
  <si>
    <t>Syokupan</t>
  </si>
  <si>
    <t>290</t>
  </si>
  <si>
    <t>xiaolongbao</t>
  </si>
  <si>
    <t>These dumplings are full of broth, so take care not to burn yourself.</t>
  </si>
  <si>
    <t>XiaoLongBao</t>
  </si>
  <si>
    <t>291</t>
  </si>
  <si>
    <t>yakisoba</t>
  </si>
  <si>
    <t>Fried noodles covered in tangy sauce and finished with bean sprouts.</t>
  </si>
  <si>
    <t>Yakisoba</t>
  </si>
  <si>
    <t>292</t>
  </si>
  <si>
    <t>yakitori</t>
  </si>
  <si>
    <t>Charcoal-grilled chicken on bamboo skewers, cooked with ample salt.</t>
  </si>
  <si>
    <t>Yakitori</t>
  </si>
  <si>
    <t>293</t>
  </si>
  <si>
    <t>yangnyeom chikin</t>
  </si>
  <si>
    <t>Fried chicken dripping with sweet 'n' spicy sauce. Watch out for the punch of garlic!</t>
  </si>
  <si>
    <t>YangnyeomChicken</t>
  </si>
  <si>
    <t>294</t>
  </si>
  <si>
    <t>yeonggye-baeksuk</t>
  </si>
  <si>
    <t>Korean chicken-and-soup dish. Warming and great to share with others!</t>
  </si>
  <si>
    <t>Yongebessuku</t>
  </si>
  <si>
    <t>295</t>
  </si>
  <si>
    <t>youtiao</t>
  </si>
  <si>
    <t>Satisfyingly light and crispy at first crunch. Also great dipped in soup!</t>
  </si>
  <si>
    <t>Youtiao</t>
  </si>
  <si>
    <t>296</t>
  </si>
  <si>
    <t>yukhoe</t>
  </si>
  <si>
    <t>Egg, Meat</t>
  </si>
  <si>
    <t>Seasoned beef sashimi topped with an egg yolk.</t>
  </si>
  <si>
    <t>Yukke</t>
  </si>
  <si>
    <t>297</t>
  </si>
  <si>
    <t>zampone sausage</t>
  </si>
  <si>
    <t>A massive sausage served on a bed of lentils.</t>
  </si>
  <si>
    <t>Zampone</t>
  </si>
  <si>
    <t>298</t>
  </si>
  <si>
    <t>zongzi</t>
  </si>
  <si>
    <t>Yes (from 05/22 to 06/30)</t>
  </si>
  <si>
    <t>Glutinous rice wrapped in bamboo leaves. Simple, aromatic, and oh so delicious.</t>
  </si>
  <si>
    <t>Chimaki</t>
  </si>
  <si>
    <t>299</t>
  </si>
  <si>
    <t>zucchini</t>
  </si>
  <si>
    <t>A member of the distinguished squash family. Not to be confused with cucumbers.</t>
  </si>
  <si>
    <t>Zucchini</t>
  </si>
  <si>
    <t>300</t>
  </si>
  <si>
    <t>anpan</t>
  </si>
  <si>
    <t>Dessert</t>
  </si>
  <si>
    <t>Bread, Confectionery</t>
  </si>
  <si>
    <t>The perfect bun with the perfect amount of sweetness.</t>
  </si>
  <si>
    <t>Anpan</t>
  </si>
  <si>
    <t>301</t>
  </si>
  <si>
    <t>apple</t>
  </si>
  <si>
    <t>Fruit</t>
  </si>
  <si>
    <t>An apple in its nonjuice form. Good for when you want some satisfying crunch.</t>
  </si>
  <si>
    <t>Apple</t>
  </si>
  <si>
    <t>302</t>
  </si>
  <si>
    <t>apple crumble</t>
  </si>
  <si>
    <t>Confectionery, Fruit</t>
  </si>
  <si>
    <t>The scoop of vanilla ice cream takes this dessert to cosmic goodness levels.</t>
  </si>
  <si>
    <t>AppleCrumble</t>
  </si>
  <si>
    <t>303</t>
  </si>
  <si>
    <t>apple pie</t>
  </si>
  <si>
    <t>Nothing's more comforting than apple pie...except apple pie with ice cream.</t>
  </si>
  <si>
    <t>ApplePie</t>
  </si>
  <si>
    <t>304</t>
  </si>
  <si>
    <t>baked sweet potato</t>
  </si>
  <si>
    <t>Slowly baked on hot stones and sweet as honey!</t>
  </si>
  <si>
    <t>Yakiimo</t>
  </si>
  <si>
    <t>305</t>
  </si>
  <si>
    <t>banana</t>
  </si>
  <si>
    <t>Nature's dessert. Watch out where you put that peel—it's dangerous!</t>
  </si>
  <si>
    <t>Banana</t>
  </si>
  <si>
    <t>306</t>
  </si>
  <si>
    <t>banana peel</t>
  </si>
  <si>
    <t>Good for comedy routines. You can also eat it, probably.</t>
  </si>
  <si>
    <t>BananaKawa</t>
  </si>
  <si>
    <t>307</t>
  </si>
  <si>
    <t>banana split</t>
  </si>
  <si>
    <t>Nestled in this split banana, you'll find ample ice-cream-and-chocolate delight.</t>
  </si>
  <si>
    <t>BananaSplit</t>
  </si>
  <si>
    <t>308</t>
  </si>
  <si>
    <t>beef jerky</t>
  </si>
  <si>
    <t>Hard, dried meat that will stay good for ages. This is cowboy food right here.</t>
  </si>
  <si>
    <t>BeefJerky</t>
  </si>
  <si>
    <t>309</t>
  </si>
  <si>
    <t>birthday cake</t>
  </si>
  <si>
    <t>Confectionery</t>
  </si>
  <si>
    <t>They say it's your birthday. Happy birthday, you! Eat up and party hearty!</t>
  </si>
  <si>
    <t>BirthdayCake</t>
  </si>
  <si>
    <t>310</t>
  </si>
  <si>
    <t>biscuit</t>
  </si>
  <si>
    <t>Nothing says Sunday brunch like a warm biscuit melting in your mouth.</t>
  </si>
  <si>
    <t>Scone</t>
  </si>
  <si>
    <t>311</t>
  </si>
  <si>
    <t>Black Forest cake</t>
  </si>
  <si>
    <t>A multilayered German dessert stuffed silly with whipped cream and cherries.</t>
  </si>
  <si>
    <t>BlackForestGateau</t>
  </si>
  <si>
    <t>312</t>
  </si>
  <si>
    <t>brownie</t>
  </si>
  <si>
    <t>A soft, chocolaty brownie with walnuts and strawberries. Treat yourself.</t>
  </si>
  <si>
    <t>Brownie</t>
  </si>
  <si>
    <t>313</t>
  </si>
  <si>
    <t>bubble waffle</t>
  </si>
  <si>
    <t>Just accept that there's no way to eat this fluffy waffle without making a mess.</t>
  </si>
  <si>
    <t>BubbleWaffle</t>
  </si>
  <si>
    <t>314</t>
  </si>
  <si>
    <t>bugnes</t>
  </si>
  <si>
    <t>Yes (from 01/29 to 03/09)</t>
  </si>
  <si>
    <t>Deep-fried pastry dough covered in all the powdered sugar a pantry could offer.</t>
  </si>
  <si>
    <t>Bugne</t>
  </si>
  <si>
    <t>315</t>
  </si>
  <si>
    <t>bundkuchen</t>
  </si>
  <si>
    <t>A sweet dough made from— Wait, who ate a hole out of this cake?!</t>
  </si>
  <si>
    <t>Gugelhupf</t>
  </si>
  <si>
    <t>316</t>
  </si>
  <si>
    <t>butter cookie</t>
  </si>
  <si>
    <t>Baked until golden. Or perhaps that's the butter. So, so much butter in there.</t>
  </si>
  <si>
    <t>Cookie</t>
  </si>
  <si>
    <t>317</t>
  </si>
  <si>
    <t>candy apple</t>
  </si>
  <si>
    <t>If you can eat this without becoming a sticky mess, you're officially a legend.</t>
  </si>
  <si>
    <t>RingoAme</t>
  </si>
  <si>
    <t>318</t>
  </si>
  <si>
    <t>candy corn</t>
  </si>
  <si>
    <t>Yes (from 10/01 to 10/31)</t>
  </si>
  <si>
    <t>The bane of many a trick-or-treater's existence. There's always too much.</t>
  </si>
  <si>
    <t>CandyCorn</t>
  </si>
  <si>
    <t>319</t>
  </si>
  <si>
    <t>canelé</t>
  </si>
  <si>
    <t>A moist, vanilla-infused pastry filled with melt-in-your-mouth custard.</t>
  </si>
  <si>
    <t>Cannele</t>
  </si>
  <si>
    <t>320</t>
  </si>
  <si>
    <t>cannoli</t>
  </si>
  <si>
    <t>Fried pastry dough stuffed with sweet cream. So good it's bursting at the seams.</t>
  </si>
  <si>
    <t>Cannoli</t>
  </si>
  <si>
    <t>321</t>
  </si>
  <si>
    <t>caramelized nuts</t>
  </si>
  <si>
    <t>A tasty marriage of sweet and salty. And sticky. Remember to floss, kids.</t>
  </si>
  <si>
    <t>CaramelNuts</t>
  </si>
  <si>
    <t>322</t>
  </si>
  <si>
    <t>carrot cake</t>
  </si>
  <si>
    <t>The best of both cake and carrot worlds.</t>
  </si>
  <si>
    <t>CarrotCake</t>
  </si>
  <si>
    <t>323</t>
  </si>
  <si>
    <t>castella cake</t>
  </si>
  <si>
    <t>Soft, spongy cake baked by the most capable baker-y hands.</t>
  </si>
  <si>
    <t>Kasutera</t>
  </si>
  <si>
    <t>324</t>
  </si>
  <si>
    <t>cheesecake</t>
  </si>
  <si>
    <t>Baked in the oven until it achieves that amber tinge. Just needs strawberries.</t>
  </si>
  <si>
    <t>Cheesacake</t>
  </si>
  <si>
    <t>325</t>
  </si>
  <si>
    <t>cherimoya</t>
  </si>
  <si>
    <t>Fruit with creamy flesh. At utmost ripeness when starting to brown.</t>
  </si>
  <si>
    <t>Cherimoya</t>
  </si>
  <si>
    <t>326</t>
  </si>
  <si>
    <t>cherries</t>
  </si>
  <si>
    <t>Sure, they're fresh and tasty—but what a waste to eat something so cute.</t>
  </si>
  <si>
    <t>Cherry</t>
  </si>
  <si>
    <t>327</t>
  </si>
  <si>
    <t>cherry pie</t>
  </si>
  <si>
    <t>It's hardly cherry pie without the lattice top. Good thing it's still delectable.</t>
  </si>
  <si>
    <t>CherryPie</t>
  </si>
  <si>
    <t>328</t>
  </si>
  <si>
    <t>chewing gum</t>
  </si>
  <si>
    <t>Don't play dumb. You know this gum is so yum. Try the juicy orange flavor.</t>
  </si>
  <si>
    <t>Gum</t>
  </si>
  <si>
    <t>329</t>
  </si>
  <si>
    <t>chocolate</t>
  </si>
  <si>
    <t>Who unwrapped this chocolate bar?! Oh well—it's still chocolate.</t>
  </si>
  <si>
    <t>Chocolate</t>
  </si>
  <si>
    <t>330</t>
  </si>
  <si>
    <t>chocolate egg</t>
  </si>
  <si>
    <t>Now if only we could find the chocolate bunny...</t>
  </si>
  <si>
    <t>ChocolateEasterEgg</t>
  </si>
  <si>
    <t>331</t>
  </si>
  <si>
    <t>chocolate gâteau</t>
  </si>
  <si>
    <t>A touch of powdered sugar kicks this devilish chocolate treat up a notch.</t>
  </si>
  <si>
    <t>GatoSyokora</t>
  </si>
  <si>
    <t>332</t>
  </si>
  <si>
    <t>chocolate sundae</t>
  </si>
  <si>
    <t>Tons of ice cream isn't sweet enough, thus the whipped cream and fudge.</t>
  </si>
  <si>
    <t>ChocoParfait</t>
  </si>
  <si>
    <t>333</t>
  </si>
  <si>
    <t>chocolate toast</t>
  </si>
  <si>
    <t>Unclear if this is actually breakfast or just a snack, but can confirm it is delicious.</t>
  </si>
  <si>
    <t>BreadChocolateCream</t>
  </si>
  <si>
    <t>334</t>
  </si>
  <si>
    <t>churros</t>
  </si>
  <si>
    <t>Sticks of fried dough covered in sugar and cinnamon. What's not to like?</t>
  </si>
  <si>
    <t>Churros</t>
  </si>
  <si>
    <t>335</t>
  </si>
  <si>
    <t>cinnamon roll</t>
  </si>
  <si>
    <t>What more could you ask for than a hot cinnamon roll with ooey, gooey icing?</t>
  </si>
  <si>
    <t>CinnamonRoll</t>
  </si>
  <si>
    <t>336</t>
  </si>
  <si>
    <t>clotted cream</t>
  </si>
  <si>
    <t>Thick cream that makes a great companion for scones and tea.</t>
  </si>
  <si>
    <t>Cream</t>
  </si>
  <si>
    <t>337</t>
  </si>
  <si>
    <t>coconut</t>
  </si>
  <si>
    <t>It's not cocoa, and it's not a nut. This is what tropical paradise tastes like.</t>
  </si>
  <si>
    <t>Coconut</t>
  </si>
  <si>
    <t>338</t>
  </si>
  <si>
    <t>colomba pasquale</t>
  </si>
  <si>
    <t>An Italian dove-shaped sweet bread flavored with fragrant orange peel.</t>
  </si>
  <si>
    <t>ColombaPasquale</t>
  </si>
  <si>
    <t>339</t>
  </si>
  <si>
    <t>cotton candy</t>
  </si>
  <si>
    <t>Straight from a carnival to your tummy. It must be what eating a cloud is like.</t>
  </si>
  <si>
    <t>Wataame</t>
  </si>
  <si>
    <t>340</t>
  </si>
  <si>
    <t>cracker</t>
  </si>
  <si>
    <t>Lightly buttered with a hint of salt. It's like a blank canvas for snacking.</t>
  </si>
  <si>
    <t>Biscuit</t>
  </si>
  <si>
    <t>341</t>
  </si>
  <si>
    <t>cream puff</t>
  </si>
  <si>
    <t>The French call it a "cabbage pastry." Everyone else just calls it "yum."</t>
  </si>
  <si>
    <t>ShuCream</t>
  </si>
  <si>
    <t>342</t>
  </si>
  <si>
    <t>crème brûlée</t>
  </si>
  <si>
    <t>Torched to caramelized perfection! At the expense of the baker's eyebrows.</t>
  </si>
  <si>
    <t>CremeBrulee</t>
  </si>
  <si>
    <t>343</t>
  </si>
  <si>
    <t>crepe</t>
  </si>
  <si>
    <t>A soft, pillowy crepe with a slight crisp. Topped with fruit and chocolate sauce.</t>
  </si>
  <si>
    <t>Crepe</t>
  </si>
  <si>
    <t>344</t>
  </si>
  <si>
    <t>dalgona</t>
  </si>
  <si>
    <t>Spongy, toffee-like sugar candy die-cut with different shapes.</t>
  </si>
  <si>
    <t>Dalgona</t>
  </si>
  <si>
    <t>345</t>
  </si>
  <si>
    <t>dates</t>
  </si>
  <si>
    <t>This dried fruit is great for baking or snacking. Prepare to have sticky fingers.</t>
  </si>
  <si>
    <t>Dates</t>
  </si>
  <si>
    <t>346</t>
  </si>
  <si>
    <t>dorayaki</t>
  </si>
  <si>
    <t>Red-bean paste sandwiched between moist castella slices. It's extra delish with tea.</t>
  </si>
  <si>
    <t>Dorayaki</t>
  </si>
  <si>
    <t>347</t>
  </si>
  <si>
    <t>doughnut</t>
  </si>
  <si>
    <t>Handmade with the finest ingredients. One alone won't suffice.</t>
  </si>
  <si>
    <t>Doughnuts</t>
  </si>
  <si>
    <t>348</t>
  </si>
  <si>
    <t>durian</t>
  </si>
  <si>
    <t>It looks weird and smells weirder, but if you get past that, it's quite tasty.</t>
  </si>
  <si>
    <t>Durian</t>
  </si>
  <si>
    <t>349</t>
  </si>
  <si>
    <t>elephant ear</t>
  </si>
  <si>
    <t>A sweet puff pastry dusted with sugar and shaped like an elephant ear.</t>
  </si>
  <si>
    <t>ElephantEar</t>
  </si>
  <si>
    <t>350</t>
  </si>
  <si>
    <t>fancy cupcake</t>
  </si>
  <si>
    <t>How could you say this cupcake isn't fancy? Look at all those sprinkles!</t>
  </si>
  <si>
    <t>FancyCupcake</t>
  </si>
  <si>
    <t>351</t>
  </si>
  <si>
    <t>flan</t>
  </si>
  <si>
    <t>Wiggly, wobbly flan drenched in smoky caramel sauce. Both fun and tasty.</t>
  </si>
  <si>
    <t>Pudding</t>
  </si>
  <si>
    <t>352</t>
  </si>
  <si>
    <t>fried plantains</t>
  </si>
  <si>
    <t>A subtle caramelized sweetness that rivals any dessert.</t>
  </si>
  <si>
    <t>FriedPlantains</t>
  </si>
  <si>
    <t>353</t>
  </si>
  <si>
    <t>frozen treat</t>
  </si>
  <si>
    <t>You better chow down on this summer treat quick—it's already melting!</t>
  </si>
  <si>
    <t>IcyPop</t>
  </si>
  <si>
    <t>354</t>
  </si>
  <si>
    <t>frozen yogurt</t>
  </si>
  <si>
    <t>The texture of ice cream with the tartness of yogurt!</t>
  </si>
  <si>
    <t>FrozenYogurt</t>
  </si>
  <si>
    <t>355</t>
  </si>
  <si>
    <t>fudge</t>
  </si>
  <si>
    <t>So many flavors, so little time. This one has peanut butter in it.</t>
  </si>
  <si>
    <t>Fudge</t>
  </si>
  <si>
    <t>356</t>
  </si>
  <si>
    <t>gelatin snack</t>
  </si>
  <si>
    <t>It smells kind of fruit-like, but there's no fruit to be found. Just jiggly gelatin.</t>
  </si>
  <si>
    <t>Jelly</t>
  </si>
  <si>
    <t>357</t>
  </si>
  <si>
    <t>gingerbread</t>
  </si>
  <si>
    <t>It may not be shaped like a delightful little person, but it's still rather tasty.</t>
  </si>
  <si>
    <t>Gingerbread</t>
  </si>
  <si>
    <t>358</t>
  </si>
  <si>
    <t>gingersnap</t>
  </si>
  <si>
    <t>Yes (from 12/05 to 12/06)</t>
  </si>
  <si>
    <t>Sweet cookie spiced with ginger and cinnamon.</t>
  </si>
  <si>
    <t>GingerCookies</t>
  </si>
  <si>
    <t>359</t>
  </si>
  <si>
    <t>granola parfait</t>
  </si>
  <si>
    <t>If you look really hard, you can see granola buried in that yogurt.</t>
  </si>
  <si>
    <t>GranolaParfait</t>
  </si>
  <si>
    <t>360</t>
  </si>
  <si>
    <t>grapefruit</t>
  </si>
  <si>
    <t>It's not a grape, but it IS a fruit. Some sugar makes the bitter much better.</t>
  </si>
  <si>
    <t>Grapefruits</t>
  </si>
  <si>
    <t>361</t>
  </si>
  <si>
    <t>grapes</t>
  </si>
  <si>
    <t>Fresh, fragrant grapes, bright as jewels. Maybe someone will feed them to you.</t>
  </si>
  <si>
    <t>Grape</t>
  </si>
  <si>
    <t>362</t>
  </si>
  <si>
    <t>gummy candy</t>
  </si>
  <si>
    <t>Soft, chewy lumps of fruity squashiness.</t>
  </si>
  <si>
    <t>Gumi</t>
  </si>
  <si>
    <t>363</t>
  </si>
  <si>
    <t>handmade chocolates</t>
  </si>
  <si>
    <t>Yes (from 02/14 to 02/14)</t>
  </si>
  <si>
    <t>Some more anatomically correct than others. Now with 100% more love!</t>
  </si>
  <si>
    <t>HandmadeChoco</t>
  </si>
  <si>
    <t>364</t>
  </si>
  <si>
    <t>hard candy</t>
  </si>
  <si>
    <t>Looks like a throat lozenge but is actually a deliciously sweet treat!</t>
  </si>
  <si>
    <t>HardCandy</t>
  </si>
  <si>
    <t>365</t>
  </si>
  <si>
    <t>honey</t>
  </si>
  <si>
    <t>The sweetness of honey sans the bee stings. If possible, share with a bear.</t>
  </si>
  <si>
    <t>Honey</t>
  </si>
  <si>
    <t>366</t>
  </si>
  <si>
    <t>ice-cream cone</t>
  </si>
  <si>
    <t>Tahitian vanilla with real chunks of strawberry. You know you want some.</t>
  </si>
  <si>
    <t>Icecream</t>
  </si>
  <si>
    <t>367</t>
  </si>
  <si>
    <t>ice-cream sandwich</t>
  </si>
  <si>
    <t>That is A LOT of ice cream. Whoa. Good luck fitting that in your mouth.</t>
  </si>
  <si>
    <t>IceCreamSandwich</t>
  </si>
  <si>
    <t>368</t>
  </si>
  <si>
    <t>key lime pie</t>
  </si>
  <si>
    <t>The key to this pie is the lime. OK, that's not true. It's the eggs.</t>
  </si>
  <si>
    <t>KeyLimePie</t>
  </si>
  <si>
    <t>369</t>
  </si>
  <si>
    <t>king cake</t>
  </si>
  <si>
    <t>Yes (from 01/06 to 01/06)</t>
  </si>
  <si>
    <t>A French puff pastry with almond filling. Find the bean hidden inside for good luck!</t>
  </si>
  <si>
    <t>GaletteDesRois</t>
  </si>
  <si>
    <t>370</t>
  </si>
  <si>
    <t>kiwi</t>
  </si>
  <si>
    <t>How can the perfect balance of sweet and tart be contained in such a tiny fruit?</t>
  </si>
  <si>
    <t>Kiwi</t>
  </si>
  <si>
    <t>371</t>
  </si>
  <si>
    <t>licorice</t>
  </si>
  <si>
    <t>A handful of black-licorice twists that get their distinct flavor from the licorice plant.</t>
  </si>
  <si>
    <t>Licorice</t>
  </si>
  <si>
    <t>372</t>
  </si>
  <si>
    <t>lollipop</t>
  </si>
  <si>
    <t>This lollipop is as big as your face. That's an awful lotta lolly.</t>
  </si>
  <si>
    <t>Candy</t>
  </si>
  <si>
    <t>373</t>
  </si>
  <si>
    <t>macadamia nuts</t>
  </si>
  <si>
    <t>The most luxurious nut out there. Way cheaper than a Hawaiian vacation.</t>
  </si>
  <si>
    <t>MakadamiaNuts</t>
  </si>
  <si>
    <t>374</t>
  </si>
  <si>
    <t>macaron</t>
  </si>
  <si>
    <t>A sweet little treat that melts on your tongue. You can't say no.</t>
  </si>
  <si>
    <t>Macaron</t>
  </si>
  <si>
    <t>375</t>
  </si>
  <si>
    <t>mango</t>
  </si>
  <si>
    <t>It looks so lonely without any pineapple by its side. Put it out of its misery.</t>
  </si>
  <si>
    <t>Mango</t>
  </si>
  <si>
    <t>376</t>
  </si>
  <si>
    <t>maple taffy</t>
  </si>
  <si>
    <t>More maple than maple syrup. Poured onto fresh snow, then lifted with an ice-pop stick.</t>
  </si>
  <si>
    <t>MapleTaffy</t>
  </si>
  <si>
    <t>377</t>
  </si>
  <si>
    <t>marzipan fruit</t>
  </si>
  <si>
    <t>Sweet almond paste kneaded into dough, then colored and shaped like fruits.</t>
  </si>
  <si>
    <t>MarzipanFruit</t>
  </si>
  <si>
    <t>378</t>
  </si>
  <si>
    <t>melon</t>
  </si>
  <si>
    <t>This fragrant melon is a sweet snack that smacks of summer.</t>
  </si>
  <si>
    <t>Melon</t>
  </si>
  <si>
    <t>379</t>
  </si>
  <si>
    <t>mince pie</t>
  </si>
  <si>
    <t>A sweet seasonal pie stuffed with dried fruit and a cavalcade of spices.</t>
  </si>
  <si>
    <t>MincePie</t>
  </si>
  <si>
    <t>380</t>
  </si>
  <si>
    <t>mint candy</t>
  </si>
  <si>
    <t>A refreshing minty punch for when your mouth needs a pick-me-up.</t>
  </si>
  <si>
    <t>MintCandy</t>
  </si>
  <si>
    <t>381</t>
  </si>
  <si>
    <t>mithai</t>
  </si>
  <si>
    <t>South Asia Tour souvenir. A variety of milk-based Indian sweets. Enjoy with chai.</t>
  </si>
  <si>
    <t>Mithai</t>
  </si>
  <si>
    <t>382</t>
  </si>
  <si>
    <t>muffin</t>
  </si>
  <si>
    <t>Positively teeming with blueberries and raspberries. Enjoy that fruity flavor.</t>
  </si>
  <si>
    <t>Muffin</t>
  </si>
  <si>
    <t>383</t>
  </si>
  <si>
    <t>napoleon cake</t>
  </si>
  <si>
    <t>Creamy cream and layers of flaky crust. Has nothing to do with that short dude.</t>
  </si>
  <si>
    <t>Millefeuille</t>
  </si>
  <si>
    <t>384</t>
  </si>
  <si>
    <t>natillas</t>
  </si>
  <si>
    <t>Creamy custard dessert. Don't inhale all that cinnamon too deeply.</t>
  </si>
  <si>
    <t>Natillas</t>
  </si>
  <si>
    <t>385</t>
  </si>
  <si>
    <t>oatmeal cookie</t>
  </si>
  <si>
    <t>The texture of oats and creamy richness of chocolate chips make for a tasty combo.</t>
  </si>
  <si>
    <t>OatmealCookies</t>
  </si>
  <si>
    <t>386</t>
  </si>
  <si>
    <t>orange</t>
  </si>
  <si>
    <t>This sweet fruit has a ton of vitamin C. Orange you glad it's not a grapefruit?</t>
  </si>
  <si>
    <t>Mikan</t>
  </si>
  <si>
    <t>387</t>
  </si>
  <si>
    <t>oriental melon</t>
  </si>
  <si>
    <t>An adorable li'l member of the melon family. Mildly sweet.</t>
  </si>
  <si>
    <t>Makuwauri</t>
  </si>
  <si>
    <t>388</t>
  </si>
  <si>
    <t>pain au chocolat</t>
  </si>
  <si>
    <t>Pro tip: heat this crispy pastry up to melt the chocolate nestled inside.</t>
  </si>
  <si>
    <t>ChocolateBread</t>
  </si>
  <si>
    <t>389</t>
  </si>
  <si>
    <t>pain aux raisins</t>
  </si>
  <si>
    <t>Called a Danish, but it's really Austrian. Regardless, it's puffy and awesome.</t>
  </si>
  <si>
    <t>PainAuxRaisins</t>
  </si>
  <si>
    <t>390</t>
  </si>
  <si>
    <t>pancakes</t>
  </si>
  <si>
    <t>Fluffy yum cakes drenched in warm maple syrup. You're welcome.</t>
  </si>
  <si>
    <t>Pancake</t>
  </si>
  <si>
    <t>391</t>
  </si>
  <si>
    <t>pandoro</t>
  </si>
  <si>
    <t>Dig into the golden peaks of this powdered-sugar-topped confection.</t>
  </si>
  <si>
    <t>Pandoro</t>
  </si>
  <si>
    <t>392</t>
  </si>
  <si>
    <t>panettone</t>
  </si>
  <si>
    <t>A rich Italian sweet bread packed with dried fruit.</t>
  </si>
  <si>
    <t>Panettone</t>
  </si>
  <si>
    <t>393</t>
  </si>
  <si>
    <t>panna cotta</t>
  </si>
  <si>
    <t>Smooth, rich cream thickened with gelatin.</t>
  </si>
  <si>
    <t>Pannacotta</t>
  </si>
  <si>
    <t>394</t>
  </si>
  <si>
    <t>pastel de nata</t>
  </si>
  <si>
    <t>Known for having a sweet eggy flavor and being impossible to resist.</t>
  </si>
  <si>
    <t>CustardPastry</t>
  </si>
  <si>
    <t>395</t>
  </si>
  <si>
    <t>peach</t>
  </si>
  <si>
    <t>Sweet and fuzzy with an adorable pink coloring. It's like nature's candy!</t>
  </si>
  <si>
    <t>Peach</t>
  </si>
  <si>
    <t>396</t>
  </si>
  <si>
    <t>peanuts</t>
  </si>
  <si>
    <t>Peanuts are nuts, right? Nope. They're actually legumes. Nutty but true!</t>
  </si>
  <si>
    <t>Peanut</t>
  </si>
  <si>
    <t>397</t>
  </si>
  <si>
    <t>pear</t>
  </si>
  <si>
    <t>Pears are like bell-shaped apples that look and taste totally different.</t>
  </si>
  <si>
    <t>Pear</t>
  </si>
  <si>
    <t>398</t>
  </si>
  <si>
    <t>persimmon</t>
  </si>
  <si>
    <t>A delightful fall fruit bursting with subtle sweetness.</t>
  </si>
  <si>
    <t>Kaki</t>
  </si>
  <si>
    <t>399</t>
  </si>
  <si>
    <t>pineapple</t>
  </si>
  <si>
    <t>Break into this tropical fruit's spiky barrier for a sweet, tart treat.</t>
  </si>
  <si>
    <t>Pineapple</t>
  </si>
  <si>
    <t>400</t>
  </si>
  <si>
    <t>pineapple cakes</t>
  </si>
  <si>
    <t>Sweet-and-tart pineapple jam hugged by soft, buttery dough.</t>
  </si>
  <si>
    <t>PineappleCake</t>
  </si>
  <si>
    <t>401</t>
  </si>
  <si>
    <t>pistachios</t>
  </si>
  <si>
    <t>The bright-green nuts inside are especially flavorful when roasted or salted!</t>
  </si>
  <si>
    <t>Pistachio</t>
  </si>
  <si>
    <t>402</t>
  </si>
  <si>
    <t>plum pudding</t>
  </si>
  <si>
    <t>A traditional English pudding. Best served on fire!</t>
  </si>
  <si>
    <t>PlumPudding</t>
  </si>
  <si>
    <t>403</t>
  </si>
  <si>
    <t>popcorn</t>
  </si>
  <si>
    <t>It's a bit corny, but movies aren't the same without this salty, buttery snack.</t>
  </si>
  <si>
    <t>PopCorn</t>
  </si>
  <si>
    <t>404</t>
  </si>
  <si>
    <t>potato chips</t>
  </si>
  <si>
    <t>So crunchy! So salty! The bad thing is that you'll never feel like stopping.</t>
  </si>
  <si>
    <t>PotatoChips</t>
  </si>
  <si>
    <t>405</t>
  </si>
  <si>
    <t>pretzel</t>
  </si>
  <si>
    <t>Follow this pretzel's lead, and do the twist. Or just, ya know, eat a pretzel.</t>
  </si>
  <si>
    <t>Pretzel</t>
  </si>
  <si>
    <t>406</t>
  </si>
  <si>
    <t>profiteroles</t>
  </si>
  <si>
    <t>Cream puffs covered in chocolate and served with ice cream?! I'll take 'em all!</t>
  </si>
  <si>
    <t>Profiteroles</t>
  </si>
  <si>
    <t>407</t>
  </si>
  <si>
    <t>pumpkin pie</t>
  </si>
  <si>
    <t>Yes (from 10/01 to 11/30)</t>
  </si>
  <si>
    <t>Delectable pie made from fresh pumpkins, spiced with A LOT of nutmeg.</t>
  </si>
  <si>
    <t>PumpkinPie</t>
  </si>
  <si>
    <t>408</t>
  </si>
  <si>
    <t>red velvet cake</t>
  </si>
  <si>
    <t>This luscious cake goes down smooth as velvet. Topped with real roux icing.</t>
  </si>
  <si>
    <t>RedVelvetCake</t>
  </si>
  <si>
    <t>409</t>
  </si>
  <si>
    <t>rice cracker</t>
  </si>
  <si>
    <t>Nothing's more satisfying than the crunch of these tasty hard-baked crackers.</t>
  </si>
  <si>
    <t>Senbei</t>
  </si>
  <si>
    <t>410</t>
  </si>
  <si>
    <t>rice pudding</t>
  </si>
  <si>
    <t>Confectionery, Rice</t>
  </si>
  <si>
    <t>A milky, sweetened porridge. Tasty and easy to eat with or without teeth.</t>
  </si>
  <si>
    <t>RicePudding</t>
  </si>
  <si>
    <t>411</t>
  </si>
  <si>
    <t>roasted chestnuts</t>
  </si>
  <si>
    <t>Sweet and freshly roasted! We mean fresh. Don't burn your tongue on these.</t>
  </si>
  <si>
    <t>YakiGuri</t>
  </si>
  <si>
    <t>412</t>
  </si>
  <si>
    <t>s'more</t>
  </si>
  <si>
    <t>This graham-cracker concoction will have you begging for s'more.</t>
  </si>
  <si>
    <t>Smores</t>
  </si>
  <si>
    <t>413</t>
  </si>
  <si>
    <t>saltine crackers</t>
  </si>
  <si>
    <t>These crackers look naked without soup to dip them in. Sad, really.</t>
  </si>
  <si>
    <t>SaltineCrackers</t>
  </si>
  <si>
    <t>414</t>
  </si>
  <si>
    <t>shaved ice</t>
  </si>
  <si>
    <t>The apex of strawberry shaved ice. Has saved many a sweaty beachgoer.</t>
  </si>
  <si>
    <t>Kakigori</t>
  </si>
  <si>
    <t>415</t>
  </si>
  <si>
    <t>soft-serve ice cream</t>
  </si>
  <si>
    <t>Sweet vanilla ice cream made with organic milk. Yum to the power of yum.</t>
  </si>
  <si>
    <t>Softcream</t>
  </si>
  <si>
    <t>416</t>
  </si>
  <si>
    <t>songpyeon</t>
  </si>
  <si>
    <t>Rice cake steamed with pine needles that comes in several yummy flavors.</t>
  </si>
  <si>
    <t>Songpyeon</t>
  </si>
  <si>
    <t>417</t>
  </si>
  <si>
    <t>soufflé</t>
  </si>
  <si>
    <t>A light and fluffy dish that will make you think you're chomping on a cloud.</t>
  </si>
  <si>
    <t>Souffle</t>
  </si>
  <si>
    <t>418</t>
  </si>
  <si>
    <t>stollen</t>
  </si>
  <si>
    <t>A classic German sweet bread dotted with dried fruits and nuts and topped with sugar.</t>
  </si>
  <si>
    <t>Stollen</t>
  </si>
  <si>
    <t>419</t>
  </si>
  <si>
    <t>strawberry</t>
  </si>
  <si>
    <t>It's the red in red-flavored stuff. Sweet, tart, and brilliant with whipped cream.</t>
  </si>
  <si>
    <t>Strawberry</t>
  </si>
  <si>
    <t>420</t>
  </si>
  <si>
    <t>strawberry shortcake</t>
  </si>
  <si>
    <t>The cake to end all cakes, overflowing with strawberries and cream.</t>
  </si>
  <si>
    <t>Cake</t>
  </si>
  <si>
    <t>421</t>
  </si>
  <si>
    <t>sunflower seeds</t>
  </si>
  <si>
    <t>Channel your inner bird by snacking down on these crackly seeds.</t>
  </si>
  <si>
    <t>SunflowerSeeds</t>
  </si>
  <si>
    <t>422</t>
  </si>
  <si>
    <t>sweet potato</t>
  </si>
  <si>
    <t>Sweet and surprisingly creamy. Who knew potatoes could be this good?</t>
  </si>
  <si>
    <t>SweetPotato</t>
  </si>
  <si>
    <t>423</t>
  </si>
  <si>
    <t>taiyaki</t>
  </si>
  <si>
    <t>These tasty little fishies are nearly bursting with red-bean-paste goodness.</t>
  </si>
  <si>
    <t>Taiyaki</t>
  </si>
  <si>
    <t>424</t>
  </si>
  <si>
    <t>tangyuan</t>
  </si>
  <si>
    <t>Yes (from 12/21 to 12/22)</t>
  </si>
  <si>
    <t>Sweet rice balls with black-sesame filling. Served warm.</t>
  </si>
  <si>
    <t>Tangyuan</t>
  </si>
  <si>
    <t>425</t>
  </si>
  <si>
    <t>tiramisu</t>
  </si>
  <si>
    <t>Tiramisu is Italian for "pull me up." It should really be "eat me up" instead.</t>
  </si>
  <si>
    <t>Tiramisu</t>
  </si>
  <si>
    <t>426</t>
  </si>
  <si>
    <t>tompouce</t>
  </si>
  <si>
    <t>Yes (from 04/26 to 04/27)</t>
  </si>
  <si>
    <t>Vanilla cream sandwiched between two puff-pastry pieces. Tasty mess guaranteed.</t>
  </si>
  <si>
    <t>Tompoes</t>
  </si>
  <si>
    <t>427</t>
  </si>
  <si>
    <t>torrijas</t>
  </si>
  <si>
    <t>A Spanish dessert similar to French toast. Served drizzled with honey.</t>
  </si>
  <si>
    <t>Torrijas</t>
  </si>
  <si>
    <t>428</t>
  </si>
  <si>
    <t>tricolor dango</t>
  </si>
  <si>
    <t>Pairs perfectly with a picnic under cherry-blossom trees.</t>
  </si>
  <si>
    <t>Dango</t>
  </si>
  <si>
    <t>429</t>
  </si>
  <si>
    <t>turrones</t>
  </si>
  <si>
    <t>Honey, sugar, meringue, and toasted almonds. Don't chip a tooth.</t>
  </si>
  <si>
    <t>Turron</t>
  </si>
  <si>
    <t>430</t>
  </si>
  <si>
    <t>waffle</t>
  </si>
  <si>
    <t>Waffles trump pancakes because they come with syrup pockets. Genius.</t>
  </si>
  <si>
    <t>Waffle</t>
  </si>
  <si>
    <t>431</t>
  </si>
  <si>
    <t>walnuts</t>
  </si>
  <si>
    <t>A nearly impossible nut to crack unless you have, well, a nutcracker.</t>
  </si>
  <si>
    <t>Walnut</t>
  </si>
  <si>
    <t>432</t>
  </si>
  <si>
    <t>watermelon</t>
  </si>
  <si>
    <t>Watery melon, sliced to perfection. Tastes like sweet summer memories.</t>
  </si>
  <si>
    <t>Suika</t>
  </si>
  <si>
    <t>433</t>
  </si>
  <si>
    <t>yogurt</t>
  </si>
  <si>
    <t>The tangy flavor and creamy texture pair criminally well with fruit.</t>
  </si>
  <si>
    <t>Yoghourt</t>
  </si>
  <si>
    <t>434</t>
  </si>
  <si>
    <t>yokan</t>
  </si>
  <si>
    <t>An elegant sweet treat that'll make you want to sip tea and gaze wistfully out a window.</t>
  </si>
  <si>
    <t>Youkan</t>
  </si>
  <si>
    <t>435</t>
  </si>
  <si>
    <t>Yule log</t>
  </si>
  <si>
    <t>Yes (from 12/24 to 12/26)</t>
  </si>
  <si>
    <t>Chocolate cake rolled into a log shape. Channel your inner lumberjack, and cut in!</t>
  </si>
  <si>
    <t>BucheDeNoel</t>
  </si>
  <si>
    <t>436</t>
  </si>
  <si>
    <t>zenzai</t>
  </si>
  <si>
    <t>Red-bean soup with white-bean dumplings. Great for warming you up in the winter!</t>
  </si>
  <si>
    <t>Zenzai</t>
  </si>
  <si>
    <t>437</t>
  </si>
  <si>
    <t>apple juice</t>
  </si>
  <si>
    <t>Drinks</t>
  </si>
  <si>
    <t>Drink, Fruit</t>
  </si>
  <si>
    <t>The only ingredient is organic, local apples. You can't beat that fresh taste.</t>
  </si>
  <si>
    <t>AppleJuice</t>
  </si>
  <si>
    <t>438</t>
  </si>
  <si>
    <t>bubble tea</t>
  </si>
  <si>
    <t>Drink</t>
  </si>
  <si>
    <t>A fruity drink full of chewy tapioca pearls. Gotta love that big straw.</t>
  </si>
  <si>
    <t>BubbleTea</t>
  </si>
  <si>
    <t>439</t>
  </si>
  <si>
    <t>cappuccino</t>
  </si>
  <si>
    <t>Frothy milk floating atop bitter coffee. Drink it for your daily moment of zen.</t>
  </si>
  <si>
    <t>Cappuccino</t>
  </si>
  <si>
    <t>440</t>
  </si>
  <si>
    <t>chamomile tea</t>
  </si>
  <si>
    <t>Relax and collect your thoughts while the honey soaks in. Divine!</t>
  </si>
  <si>
    <t>ChamomileTea</t>
  </si>
  <si>
    <t>441</t>
  </si>
  <si>
    <t>coffee</t>
  </si>
  <si>
    <t>Don't ruin this bold flavor with cream. Drink it right away while it's piping hot.</t>
  </si>
  <si>
    <t>Coffee</t>
  </si>
  <si>
    <t>442</t>
  </si>
  <si>
    <t>daechu-cha</t>
  </si>
  <si>
    <t>A robust Korean tea made from jujube dates. Often garnished with pine nuts.</t>
  </si>
  <si>
    <t>KrNatumeCha</t>
  </si>
  <si>
    <t>443</t>
  </si>
  <si>
    <t>energy drink</t>
  </si>
  <si>
    <t>For when you need a little extra oomph to get through your day.</t>
  </si>
  <si>
    <t>EiyouDrink</t>
  </si>
  <si>
    <t>444</t>
  </si>
  <si>
    <t>espresso</t>
  </si>
  <si>
    <t>There's nothing quite like the smell of fresh espresso. Or the taste!</t>
  </si>
  <si>
    <t>Espresso</t>
  </si>
  <si>
    <t>445</t>
  </si>
  <si>
    <t>green juice</t>
  </si>
  <si>
    <t>Drink, Vegetable</t>
  </si>
  <si>
    <t>You've never smelled anything so green in your life, guaranteed.</t>
  </si>
  <si>
    <t>Aoziru</t>
  </si>
  <si>
    <t>446</t>
  </si>
  <si>
    <t>green tea</t>
  </si>
  <si>
    <t>Recently picked leaves produce a tea with a color and aroma that is unmatched.</t>
  </si>
  <si>
    <t>JapaneseTea</t>
  </si>
  <si>
    <t>447</t>
  </si>
  <si>
    <t>hot chocolate</t>
  </si>
  <si>
    <t>The fastest way to ingest chocolate is to drink it. Bottoms up!</t>
  </si>
  <si>
    <t>HotChocolate</t>
  </si>
  <si>
    <t>448</t>
  </si>
  <si>
    <t>iced latte</t>
  </si>
  <si>
    <t>A classic creamy and refreshing coffee drink. Best enjoyed in a quaint café.</t>
  </si>
  <si>
    <t>AisuKaferate</t>
  </si>
  <si>
    <t>449</t>
  </si>
  <si>
    <t>lemonade</t>
  </si>
  <si>
    <t>Ideal for hot summer days. Looks a bit watery, but hey, it beats plain water!</t>
  </si>
  <si>
    <t>Lemonade</t>
  </si>
  <si>
    <t>450</t>
  </si>
  <si>
    <t>matcha</t>
  </si>
  <si>
    <t>Kyoto Tour souvenir. High-grade, freshly ground tea leaves from Kyoto.</t>
  </si>
  <si>
    <t>Matcha</t>
  </si>
  <si>
    <t>451</t>
  </si>
  <si>
    <t>milk</t>
  </si>
  <si>
    <t>Thick and frothy. Served in a glass bottle straight from Granny's youth.</t>
  </si>
  <si>
    <t>Milk</t>
  </si>
  <si>
    <t>452</t>
  </si>
  <si>
    <t>milkshake</t>
  </si>
  <si>
    <t>Confectionery, Drink</t>
  </si>
  <si>
    <t>A creamy vanilla milkshake with a whipped-cream hat. Eat the cherry first!</t>
  </si>
  <si>
    <t>Milkshake</t>
  </si>
  <si>
    <t>453</t>
  </si>
  <si>
    <t>omija-cha</t>
  </si>
  <si>
    <t>Salty, Sour, Sweet</t>
  </si>
  <si>
    <t>Omija refers to the five potential flavors in this magnolia-berry tea.</t>
  </si>
  <si>
    <t>OmijyaCha</t>
  </si>
  <si>
    <t>454</t>
  </si>
  <si>
    <t>orange juice</t>
  </si>
  <si>
    <t>100% juice from 100% oranges. 100% satisfaction guaranteed.</t>
  </si>
  <si>
    <t>OrangeJuice</t>
  </si>
  <si>
    <t>455</t>
  </si>
  <si>
    <t>protein shake</t>
  </si>
  <si>
    <t>Bodybuilders drink this like water. Get pumped and unleash your beast mode.</t>
  </si>
  <si>
    <t>Protein</t>
  </si>
  <si>
    <t>456</t>
  </si>
  <si>
    <t>root-beer float</t>
  </si>
  <si>
    <t>Whatever floats your ice cream. In this case, it's root beer.</t>
  </si>
  <si>
    <t>RootbeerFloat</t>
  </si>
  <si>
    <t>457</t>
  </si>
  <si>
    <t>smoothie</t>
  </si>
  <si>
    <t>A banana and a mango had an almond- milk swim. The result: this mellow drink.</t>
  </si>
  <si>
    <t>MixJuice</t>
  </si>
  <si>
    <t>458</t>
  </si>
  <si>
    <t>soda</t>
  </si>
  <si>
    <t>The best part of soda is popping the lid. Sorry we took that from you.</t>
  </si>
  <si>
    <t>Cola</t>
  </si>
  <si>
    <t>459</t>
  </si>
  <si>
    <t>sparkling water</t>
  </si>
  <si>
    <t>Too good for tap water, are you?</t>
  </si>
  <si>
    <t>SparklingWater</t>
  </si>
  <si>
    <t>460</t>
  </si>
  <si>
    <t>spoiled milk</t>
  </si>
  <si>
    <t>Milk so bad it's basically cheese now. Please, please don't drink this.</t>
  </si>
  <si>
    <t>OldMilk</t>
  </si>
  <si>
    <t>461</t>
  </si>
  <si>
    <t>sports drink</t>
  </si>
  <si>
    <t>It gets its power from electrolytes. It's definitely not just water. Definitely not.</t>
  </si>
  <si>
    <t>SportsDrink</t>
  </si>
  <si>
    <t>462</t>
  </si>
  <si>
    <t>tap water</t>
  </si>
  <si>
    <t>No ice?! This should be free. I mean...what a good deal?</t>
  </si>
  <si>
    <t>Water</t>
  </si>
  <si>
    <t>463</t>
  </si>
  <si>
    <t>tea</t>
  </si>
  <si>
    <t>Brewed with fresh, delicate leaves. Drink to feel all fancy and stuff.</t>
  </si>
  <si>
    <t>Tea</t>
  </si>
  <si>
    <t>464</t>
  </si>
  <si>
    <t>tomato juice</t>
  </si>
  <si>
    <t>For anyone out there who's ever wanted to drink a pizza.</t>
  </si>
  <si>
    <t>TomatoJuice</t>
  </si>
  <si>
    <t>465</t>
  </si>
  <si>
    <t>yerba maté</t>
  </si>
  <si>
    <t>A South American infusion of yerba leaves, traditionally enjoyed in a gourd.</t>
  </si>
  <si>
    <t>YerbaMate</t>
  </si>
  <si>
    <t>Type</t>
  </si>
  <si>
    <t>Attribute</t>
  </si>
  <si>
    <t>Selling price</t>
  </si>
  <si>
    <t>IsUnlocked</t>
  </si>
  <si>
    <t>Box size</t>
  </si>
  <si>
    <t>Other availability</t>
  </si>
  <si>
    <t>Wishing fountain level req.</t>
  </si>
  <si>
    <t>Ballet 101 DVD</t>
  </si>
  <si>
    <t>Levelup</t>
  </si>
  <si>
    <t>Invalid</t>
  </si>
  <si>
    <t>Channel your inner graceful swan with these ballet lessons.</t>
  </si>
  <si>
    <t>BalletSet</t>
  </si>
  <si>
    <t>baseball</t>
  </si>
  <si>
    <t>Play catch with friends! Or, y'know, with yourself. We won't judge.</t>
  </si>
  <si>
    <t>BaseBall</t>
  </si>
  <si>
    <t>bubble blower</t>
  </si>
  <si>
    <t>No one can resist the inherent joy of blowing bubbles, no matter their age!</t>
  </si>
  <si>
    <t>BubblesSet</t>
  </si>
  <si>
    <t>camera</t>
  </si>
  <si>
    <t>For the amateur photog with a passion for capturing the beauty and mundanity of life.</t>
  </si>
  <si>
    <t>Camera</t>
  </si>
  <si>
    <t>guitar</t>
  </si>
  <si>
    <t>Great for playing melancholy acoustic arrangements in the park.</t>
  </si>
  <si>
    <t>Guitar</t>
  </si>
  <si>
    <t>Jogging 101 DVD</t>
  </si>
  <si>
    <t>A nice 'n' easy intro to jogging for those aspiring marathon runners.</t>
  </si>
  <si>
    <t>JoggingSet</t>
  </si>
  <si>
    <t>Karate 101 DVD</t>
  </si>
  <si>
    <t>The secrets of karate lie within. Prepare to witness some sweet moves!</t>
  </si>
  <si>
    <t>KarateSet</t>
  </si>
  <si>
    <t>knitting set</t>
  </si>
  <si>
    <t>Best enjoyed in a comfy reclining chair with a cup of hot tea.</t>
  </si>
  <si>
    <t>KnittingSet</t>
  </si>
  <si>
    <t>laptop</t>
  </si>
  <si>
    <t>Portable access to the World Wide Web for mundane questions or status updates.</t>
  </si>
  <si>
    <t>NotePc</t>
  </si>
  <si>
    <t>maracas</t>
  </si>
  <si>
    <t>A two-handed instrument that promises endless shaking entertainment.</t>
  </si>
  <si>
    <t>Maracas</t>
  </si>
  <si>
    <t>Muscle Building 101 DVD</t>
  </si>
  <si>
    <t>Sit-ups, push-ups...other-ups! A good starter set for exercising.</t>
  </si>
  <si>
    <t>WorkoutSet</t>
  </si>
  <si>
    <t>painting set</t>
  </si>
  <si>
    <t>For the creative soul who yearns to express themselves with paint.</t>
  </si>
  <si>
    <t>Easel</t>
  </si>
  <si>
    <t>soccer ball</t>
  </si>
  <si>
    <t>Nothing feels quite as satisfying as giving a soccer ball a good ol' kick.</t>
  </si>
  <si>
    <t>SoccerBall</t>
  </si>
  <si>
    <t>Street Dancing 101 DVD</t>
  </si>
  <si>
    <t>Learn the steps to the hottest dance crazes of...whenever this DVD was released.</t>
  </si>
  <si>
    <t>StreetDanceSet</t>
  </si>
  <si>
    <t>toy sword</t>
  </si>
  <si>
    <t>Anyone would feel heroic wielding this. And it's soft enough to safely whack others with.</t>
  </si>
  <si>
    <t>ReplicaSword</t>
  </si>
  <si>
    <t>Yoga 101 DVD</t>
  </si>
  <si>
    <t>Uncrumple yourself and stretch those muscles with calming yoga poses.</t>
  </si>
  <si>
    <t>YogaSet</t>
  </si>
  <si>
    <t>Quirk name</t>
  </si>
  <si>
    <t>Quirk description</t>
  </si>
  <si>
    <t>Batch name</t>
  </si>
  <si>
    <t>Batch description</t>
  </si>
  <si>
    <t>Quirk internal name</t>
  </si>
  <si>
    <t>Batch internal name</t>
  </si>
  <si>
    <t>greets confidently</t>
  </si>
  <si>
    <t>Greets with wild abandon and confidence. Can break even the thickest ice.</t>
  </si>
  <si>
    <t>GreetingMacho</t>
  </si>
  <si>
    <t>GreetingHot</t>
  </si>
  <si>
    <t>greets eagerly</t>
  </si>
  <si>
    <t>Waves hello with BOTH hands, for maximum friendliness.</t>
  </si>
  <si>
    <t>GreetingTypeCackle</t>
  </si>
  <si>
    <t>greets energetically</t>
  </si>
  <si>
    <t>Greets everyone in a carefree way and with lots of energy!</t>
  </si>
  <si>
    <t>GreetingVitality</t>
  </si>
  <si>
    <t>greets flirtatiously</t>
  </si>
  <si>
    <t>Greets anybody and everybody in a way that's just a little too friendly.</t>
  </si>
  <si>
    <t>GreetingTypeShallow</t>
  </si>
  <si>
    <t>greets in a hyped-up style</t>
  </si>
  <si>
    <t>Puts 110 percent into saying hello. Truly a master of the art.</t>
  </si>
  <si>
    <t>GreetingAnnoying</t>
  </si>
  <si>
    <t>greets karate-style</t>
  </si>
  <si>
    <t>Greets everyone in a way befitting of a karate expert.</t>
  </si>
  <si>
    <t>GreetingOsu</t>
  </si>
  <si>
    <t>greets listlessly</t>
  </si>
  <si>
    <t>Puts in minimal effort when greeting others.</t>
  </si>
  <si>
    <t>GreetingLazy</t>
  </si>
  <si>
    <t>GreetingCool</t>
  </si>
  <si>
    <t>greets proudly</t>
  </si>
  <si>
    <t>Barely thinks you're worth greeting, and not afraid to let it show.</t>
  </si>
  <si>
    <t>GreetingTypeBig</t>
  </si>
  <si>
    <t>greets shyly</t>
  </si>
  <si>
    <t>For those who shrink at the mere thought of greeting someone.</t>
  </si>
  <si>
    <t>GreetingShy</t>
  </si>
  <si>
    <t>greets with a curtsy</t>
  </si>
  <si>
    <t>For those refined Miis who would like to deliver a proper greeting.</t>
  </si>
  <si>
    <t>GreetingCurtsy</t>
  </si>
  <si>
    <t>greets with a forward bow</t>
  </si>
  <si>
    <t>Greets everyone quite politely.</t>
  </si>
  <si>
    <t>GreetingBow</t>
  </si>
  <si>
    <t>greets with a nod</t>
  </si>
  <si>
    <t>Greets everyone with a simple nod. Life is complicated enough already.</t>
  </si>
  <si>
    <t>GreetingHeadOnly</t>
  </si>
  <si>
    <t>greets with a sweeping bow</t>
  </si>
  <si>
    <t>Greets everyone as if they were nobility.</t>
  </si>
  <si>
    <t>GreetingNoble</t>
  </si>
  <si>
    <t>won't greet others</t>
  </si>
  <si>
    <t>Doesn't greet people and ignores greetings from others.</t>
  </si>
  <si>
    <t>GreetingTypeNoting</t>
  </si>
  <si>
    <t>stands at attention</t>
  </si>
  <si>
    <t>For those who want to really look like they're paying attention.</t>
  </si>
  <si>
    <t>StandStraight</t>
  </si>
  <si>
    <t>StandCool</t>
  </si>
  <si>
    <t>stands cutely</t>
  </si>
  <si>
    <t>They try to look cute in an attempt to ward off haters.</t>
  </si>
  <si>
    <t>StandCute</t>
  </si>
  <si>
    <t>StandHot</t>
  </si>
  <si>
    <t>stands leaning forward</t>
  </si>
  <si>
    <t>Leans forward in a faultless display of poor posture.</t>
  </si>
  <si>
    <t>StandLeanForward</t>
  </si>
  <si>
    <t>stands like a rodeo rider</t>
  </si>
  <si>
    <t>For those who might have worked with cattle in a previous life. Or even this one!</t>
  </si>
  <si>
    <t>StandToeOut</t>
  </si>
  <si>
    <t>stands moving to the rhythm</t>
  </si>
  <si>
    <t>For those whose body belongs to the beat.</t>
  </si>
  <si>
    <t>StandRhythm</t>
  </si>
  <si>
    <t>stands proudly</t>
  </si>
  <si>
    <t>They stand with the confidence of a tall Mii.</t>
  </si>
  <si>
    <t>StandProudly</t>
  </si>
  <si>
    <t>stands restlessly</t>
  </si>
  <si>
    <t>Always acts like they're running late for an important meeting.</t>
  </si>
  <si>
    <t>StandRestless</t>
  </si>
  <si>
    <t>stands shyly</t>
  </si>
  <si>
    <t>For those who recognize others by their shoes.</t>
  </si>
  <si>
    <t>StandShy</t>
  </si>
  <si>
    <t>stands smugly</t>
  </si>
  <si>
    <t>Always posing. Always cool.</t>
  </si>
  <si>
    <t>StandAffected</t>
  </si>
  <si>
    <t>stands while adjusting glasses</t>
  </si>
  <si>
    <t>For those with slippery noses.</t>
  </si>
  <si>
    <t>StandPutsGlasses</t>
  </si>
  <si>
    <t>stands while shaking hips</t>
  </si>
  <si>
    <t>For those with a case of the wiggles.</t>
  </si>
  <si>
    <t>StandShakeHip</t>
  </si>
  <si>
    <t>stands while wiping sweat</t>
  </si>
  <si>
    <t>For those who are eternally nervous, warm, or both.</t>
  </si>
  <si>
    <t>StandSweatLot</t>
  </si>
  <si>
    <t>stands with arms crossed</t>
  </si>
  <si>
    <t>Keeps their arms crossed whenever possible. Never frets about what to do with their hands.</t>
  </si>
  <si>
    <t>OftenCrossArms</t>
  </si>
  <si>
    <t>stands with hands folded</t>
  </si>
  <si>
    <t>Always looks prim and proper.</t>
  </si>
  <si>
    <t>StandHandsFront</t>
  </si>
  <si>
    <t>floats instead of walking</t>
  </si>
  <si>
    <t>For those who are beyond mere walking.</t>
  </si>
  <si>
    <t>Walking styles (Reserved)</t>
  </si>
  <si>
    <t>A six-piece little quirks walking-style set for the demure living among us.</t>
  </si>
  <si>
    <t>WalkFloat</t>
  </si>
  <si>
    <t>WalkCool</t>
  </si>
  <si>
    <t>walks by bounding</t>
  </si>
  <si>
    <t>Bounds along like they're on the moon.</t>
  </si>
  <si>
    <t>Walking styles (Bold)</t>
  </si>
  <si>
    <t>A six-piece little quirks walking-style set for those who need to strut their stuff.</t>
  </si>
  <si>
    <t>WalkUnsteady</t>
  </si>
  <si>
    <t>WalkHot</t>
  </si>
  <si>
    <t>walks cutely</t>
  </si>
  <si>
    <t>Toddles along with toes pointed inward, in a walk designed for maximum cuteness.</t>
  </si>
  <si>
    <t>WalkToeIn</t>
  </si>
  <si>
    <t>walks leaning forward</t>
  </si>
  <si>
    <t>Walks hunched over.</t>
  </si>
  <si>
    <t>WalkStoop</t>
  </si>
  <si>
    <t>walks like a model</t>
  </si>
  <si>
    <t>Treats the world like it's a catwalk.</t>
  </si>
  <si>
    <t>WalkLikeModel</t>
  </si>
  <si>
    <t>walks like a robot</t>
  </si>
  <si>
    <t>Marches forward like a windup robot.</t>
  </si>
  <si>
    <t>WalkLikeRobot</t>
  </si>
  <si>
    <t>walks like a rodeo rider</t>
  </si>
  <si>
    <t>Walks as if they'd rather be riding a horse.</t>
  </si>
  <si>
    <t>WalkToeOut</t>
  </si>
  <si>
    <t>walks nervously</t>
  </si>
  <si>
    <t>Walks as if constantly expecting something to jump out at them.</t>
  </si>
  <si>
    <t>WalkUneasily</t>
  </si>
  <si>
    <t>walks with a rhythm</t>
  </si>
  <si>
    <t>You can practically hear the music when they walk by.</t>
  </si>
  <si>
    <t>WalkRhythm</t>
  </si>
  <si>
    <t>walks with a swagger</t>
  </si>
  <si>
    <t>Knows how to strut their stuff. Look at those shoulders go!</t>
  </si>
  <si>
    <t>WalkSwagger</t>
  </si>
  <si>
    <t>walks without swinging arms</t>
  </si>
  <si>
    <t>Keeps their upper body still when they walk. It looks kind of unsettling, but whatever.</t>
  </si>
  <si>
    <t>WalkNoSwinging</t>
  </si>
  <si>
    <t>walks with tiny steps</t>
  </si>
  <si>
    <t>Jogs about with the tiniest of steps.</t>
  </si>
  <si>
    <t>WalkScurry</t>
  </si>
  <si>
    <t>eats cautiously</t>
  </si>
  <si>
    <t>Gives things a good sniff test before eating.</t>
  </si>
  <si>
    <t>Eating styles (Reserved)</t>
  </si>
  <si>
    <t>A four-piece little quirks eating-style set for those who believe manners make the Mii.</t>
  </si>
  <si>
    <t>EatCarefully</t>
  </si>
  <si>
    <t>EatCool</t>
  </si>
  <si>
    <t>eats cutely</t>
  </si>
  <si>
    <t>Treats every meal like it's the best thing they've ever eaten.</t>
  </si>
  <si>
    <t>Eating styles (Bold)</t>
  </si>
  <si>
    <t>A four-piece little quirks eating-style set for those who eat with reckless abandon.</t>
  </si>
  <si>
    <t>EatCute</t>
  </si>
  <si>
    <t>EatHot</t>
  </si>
  <si>
    <t>eats gracefully</t>
  </si>
  <si>
    <t>Takes the time to savor every last bite.</t>
  </si>
  <si>
    <t>EatElegantly</t>
  </si>
  <si>
    <t>eats quickly</t>
  </si>
  <si>
    <t>Nibbles away at their food, much like a small rodent.</t>
  </si>
  <si>
    <t>EatCrisp</t>
  </si>
  <si>
    <t>eats shyly</t>
  </si>
  <si>
    <t>Doesn't like people watching them eat, so makes sure the coast is clear.</t>
  </si>
  <si>
    <t>EatSecretly</t>
  </si>
  <si>
    <t>eats voraciously</t>
  </si>
  <si>
    <t>Gobbles anything down in one big bite.</t>
  </si>
  <si>
    <t>EatMouthful</t>
  </si>
  <si>
    <t>eats while savoring</t>
  </si>
  <si>
    <t>Takes the time to enjoy the aroma before digging in.</t>
  </si>
  <si>
    <t>EatSmell</t>
  </si>
  <si>
    <t>eats with gusto</t>
  </si>
  <si>
    <t>Scarfs down food with wild abandon.</t>
  </si>
  <si>
    <t>EatWild</t>
  </si>
  <si>
    <t>big eater</t>
  </si>
  <si>
    <t>Can eat a lot without getting full.</t>
  </si>
  <si>
    <t>Appetite set</t>
  </si>
  <si>
    <t>A two-piece little quirks set for anyone with an appetite, big or small.</t>
  </si>
  <si>
    <t>StomachBig</t>
  </si>
  <si>
    <t>Stomach</t>
  </si>
  <si>
    <t>light eater</t>
  </si>
  <si>
    <t>Small portions are enough to fill them up.</t>
  </si>
  <si>
    <t>StomachSmall</t>
  </si>
  <si>
    <t>cries when angry</t>
  </si>
  <si>
    <t>Anger reduces them to a frustrated, blubbering mess.</t>
  </si>
  <si>
    <t>Anger set</t>
  </si>
  <si>
    <t>A three-piece little quirks set for those with unique methods of expressing their anger.</t>
  </si>
  <si>
    <t>GetAngryTypeRegretfulTears</t>
  </si>
  <si>
    <t>GetAngry</t>
  </si>
  <si>
    <t>flips out when angry</t>
  </si>
  <si>
    <t>Vents their anger by flailing their limbs around in an uncontrollable rage.</t>
  </si>
  <si>
    <t>GetAngryTypeHard</t>
  </si>
  <si>
    <t>smiles when angry</t>
  </si>
  <si>
    <t>Keeps their anger tightly bottled up, masked behind a strained smile.</t>
  </si>
  <si>
    <t>GetAngryTypeBrightly</t>
  </si>
  <si>
    <t>blissful</t>
  </si>
  <si>
    <t>Sometimes looks blissfully happy during conversations.</t>
  </si>
  <si>
    <t>Expressions (Bold)</t>
  </si>
  <si>
    <t>A five-piece little quirks set for expressive speakers.</t>
  </si>
  <si>
    <t>FaceBliss</t>
  </si>
  <si>
    <t>ExpressionHot</t>
  </si>
  <si>
    <t>closed eyes</t>
  </si>
  <si>
    <t>Sometimes closes their eyes during conversations.</t>
  </si>
  <si>
    <t>Expressions (Reserved)</t>
  </si>
  <si>
    <t>A four-piece little quirks set for those who aren't phased by anything.</t>
  </si>
  <si>
    <t>FaceCloseEyes</t>
  </si>
  <si>
    <t>ExpressionCool</t>
  </si>
  <si>
    <t>nonchalant</t>
  </si>
  <si>
    <t>Doesn't show their feelings on their face.</t>
  </si>
  <si>
    <t>ExpressionLess</t>
  </si>
  <si>
    <t>raised eyebrows</t>
  </si>
  <si>
    <t>Sometimes raises their eyebrows during conversations.</t>
  </si>
  <si>
    <t>FaceRaiseEyebrows</t>
  </si>
  <si>
    <t>smiley</t>
  </si>
  <si>
    <t>Sometimes smiles brightly during conversations.</t>
  </si>
  <si>
    <t>FaceSmile</t>
  </si>
  <si>
    <t>smug</t>
  </si>
  <si>
    <t>Sometimes looks smug during conversations.</t>
  </si>
  <si>
    <t>FaceSmug</t>
  </si>
  <si>
    <t>unimpressed</t>
  </si>
  <si>
    <t>Sometimes looks unimpressed during conversations.</t>
  </si>
  <si>
    <t>FaceLousy</t>
  </si>
  <si>
    <t>wide-eyed</t>
  </si>
  <si>
    <t>Sometimes goes wide-eyed with surprise during conversations.</t>
  </si>
  <si>
    <t>FaceOpenEyes</t>
  </si>
  <si>
    <t>winking</t>
  </si>
  <si>
    <t>Sometimes winks during conversations.</t>
  </si>
  <si>
    <t>FaceWink</t>
  </si>
  <si>
    <t>creepy voice</t>
  </si>
  <si>
    <t>Speaks with the kind of creepy voice you'd hear in a nightmare. Yikes.</t>
  </si>
  <si>
    <t>Voice styles</t>
  </si>
  <si>
    <t>A four-piece little quirks set for those who have a unique voice.</t>
  </si>
  <si>
    <t>VoiceGloomy</t>
  </si>
  <si>
    <t>Voice</t>
  </si>
  <si>
    <t>loud voice</t>
  </si>
  <si>
    <t>Yammers away at maximum volume.</t>
  </si>
  <si>
    <t>VoiceLoud</t>
  </si>
  <si>
    <t>quiet voice</t>
  </si>
  <si>
    <t>Speaks in a barely audible whisper. Constantly being asked, "Can you repeat your order?"</t>
  </si>
  <si>
    <t>VoiceSmall</t>
  </si>
  <si>
    <t>radiant voice</t>
  </si>
  <si>
    <t>Talks with the dreamy voice of a pop star.</t>
  </si>
  <si>
    <t>VoiceShiny</t>
  </si>
  <si>
    <t>blinks a lot</t>
  </si>
  <si>
    <t>Blinks more than the average Mii. Absolutely hopeless at staring contests.</t>
  </si>
  <si>
    <t>Random set (Reserved)</t>
  </si>
  <si>
    <t>A four-piece set of diverse little quirks. They must fit someone here...</t>
  </si>
  <si>
    <t>BlinkLot</t>
  </si>
  <si>
    <t>OtherCool</t>
  </si>
  <si>
    <t>fashionista</t>
  </si>
  <si>
    <t>Changes clothes when it suits them, mixing and matching pieces from their wardrobe.</t>
  </si>
  <si>
    <t>ChangeCloth</t>
  </si>
  <si>
    <t>night owl</t>
  </si>
  <si>
    <t>Sleeps through the day, and only gets up at sundown. Often accused of vampirism.</t>
  </si>
  <si>
    <t>LifeTimeNightOwl</t>
  </si>
  <si>
    <t>public farter</t>
  </si>
  <si>
    <t>Not afraid to let one rip, regardless of present company. Such courage...</t>
  </si>
  <si>
    <t>Random set (Bold)</t>
  </si>
  <si>
    <t>A four-piece set of diverse little quirks. Maybe you know someone who fits all four.</t>
  </si>
  <si>
    <t>BreakGas</t>
  </si>
  <si>
    <t>OtherHot</t>
  </si>
  <si>
    <t>scaredy-cat</t>
  </si>
  <si>
    <t>Lives life constantly on edge. Jumps at the slightest noise.</t>
  </si>
  <si>
    <t>Chicken</t>
  </si>
  <si>
    <t>sleeps restlessly</t>
  </si>
  <si>
    <t>Restlessly tosses and turns in their sleep.</t>
  </si>
  <si>
    <t>UntidySleeper</t>
  </si>
  <si>
    <t>snores loudly</t>
  </si>
  <si>
    <t>Snores loud enough to wake the neighbors, sending earplug sales through the roof.</t>
  </si>
  <si>
    <t>SnoreLoudly</t>
  </si>
  <si>
    <t>throws tantrums</t>
  </si>
  <si>
    <t>Takes their anger out on nearby objects when feeling frustrated. Hide your fine china!</t>
  </si>
  <si>
    <t>TakeItOutOnObject</t>
  </si>
  <si>
    <t>anonymous notebook</t>
  </si>
  <si>
    <t>Treasure</t>
  </si>
  <si>
    <t>Book</t>
  </si>
  <si>
    <t>The mysterious thrill of not knowing who it belongs to is most of the fun.</t>
  </si>
  <si>
    <t>BookSomeonesNote</t>
  </si>
  <si>
    <t>book of many riddles</t>
  </si>
  <si>
    <t>Many have gone mad attempting to decipher the riddles in this book...</t>
  </si>
  <si>
    <t>BookRiddle</t>
  </si>
  <si>
    <t>botanical guidebook</t>
  </si>
  <si>
    <t>The perfect gift for budding botanists. Includes every plant you could think of.</t>
  </si>
  <si>
    <t>BookPlant</t>
  </si>
  <si>
    <t>covered book</t>
  </si>
  <si>
    <t>Small</t>
  </si>
  <si>
    <t>Don't know what kind of book this is, but that cover sure is velvety soft.</t>
  </si>
  <si>
    <t>BookCover</t>
  </si>
  <si>
    <t>funny comic</t>
  </si>
  <si>
    <t>Full of zingers guaranteed to make even the grumpiest folks chuckle.</t>
  </si>
  <si>
    <t>BookManga</t>
  </si>
  <si>
    <t>historical document</t>
  </si>
  <si>
    <t>Intriguing but mind-numbingly dry. Good for those who want to appear smarter.</t>
  </si>
  <si>
    <t>BookhHistorical</t>
  </si>
  <si>
    <t>horror novel</t>
  </si>
  <si>
    <t>A terrifying tale once deemed "too spooky to read" by local horror enthusiasts.</t>
  </si>
  <si>
    <t>BookHorror</t>
  </si>
  <si>
    <t>love story</t>
  </si>
  <si>
    <t>An emotional roller coaster that'll have you sobbing by the end, or your money back.</t>
  </si>
  <si>
    <t>BookLove</t>
  </si>
  <si>
    <t>picture book</t>
  </si>
  <si>
    <t>A nostalgic picture book that warms hearts of all ages.</t>
  </si>
  <si>
    <t>BookPicture</t>
  </si>
  <si>
    <t>self-help book</t>
  </si>
  <si>
    <t>A bestseller. Whatever you need help with, this book says it's got the answers.</t>
  </si>
  <si>
    <t>BookSelfDevelopment</t>
  </si>
  <si>
    <t>anime-openings compilation</t>
  </si>
  <si>
    <t>CD</t>
  </si>
  <si>
    <t>Big</t>
  </si>
  <si>
    <t>Sing along to these tunes that'll have you believing in the power of friendship!</t>
  </si>
  <si>
    <t>CDAnimeSong</t>
  </si>
  <si>
    <t>children's album</t>
  </si>
  <si>
    <t>Chock-full of earworms that'll take you right back to grade school.</t>
  </si>
  <si>
    <t>CDNurseryRhyme</t>
  </si>
  <si>
    <t>classical album</t>
  </si>
  <si>
    <t>The perfect accompaniment to frantic quill scrawling by candlelight.</t>
  </si>
  <si>
    <t>CDClassic</t>
  </si>
  <si>
    <t>jazz album</t>
  </si>
  <si>
    <t>Grooves to mellow out to. Some music just never goes out of style.</t>
  </si>
  <si>
    <t>CDJazz</t>
  </si>
  <si>
    <t>J-pop album</t>
  </si>
  <si>
    <t>A viral sensation that has captured hearts worldwide. Prepare for killer vocals!</t>
  </si>
  <si>
    <t>CDIdol</t>
  </si>
  <si>
    <t>pop album</t>
  </si>
  <si>
    <t>These songs will be stuck in your head for a full calendar year whether you like it or not.</t>
  </si>
  <si>
    <t>CDPopMusic</t>
  </si>
  <si>
    <t>reggae album</t>
  </si>
  <si>
    <t>It's impossible to resist bopping along to the beats in this album.</t>
  </si>
  <si>
    <t>CDReggae</t>
  </si>
  <si>
    <t>rock album</t>
  </si>
  <si>
    <t>The music that inspired a generation of headbangers (and chiropractic bills).</t>
  </si>
  <si>
    <t>CDRock</t>
  </si>
  <si>
    <t>techno album</t>
  </si>
  <si>
    <t>All the rage online. Don't listen unless you're ready to PARTY!</t>
  </si>
  <si>
    <t>CDDance</t>
  </si>
  <si>
    <t>video-game soundtrack</t>
  </si>
  <si>
    <t>Classic 8-bit melodies that accompanied many a childhood.</t>
  </si>
  <si>
    <t>CDGameMusic</t>
  </si>
  <si>
    <t>action movie</t>
  </si>
  <si>
    <t>DVD</t>
  </si>
  <si>
    <t>Won two-and-a-half awards for its use of practical effects in the car explosion scenes.</t>
  </si>
  <si>
    <t>DVDAction</t>
  </si>
  <si>
    <t>cartoon</t>
  </si>
  <si>
    <t>Colorful, musical, and endlessly quoted by children everywhere.</t>
  </si>
  <si>
    <t>DVDAnimation</t>
  </si>
  <si>
    <t>cooking show</t>
  </si>
  <si>
    <t>Known for the hosts' cooking skills and viewers who "could totally do that too."</t>
  </si>
  <si>
    <t>DVDCooking</t>
  </si>
  <si>
    <t>horror movie</t>
  </si>
  <si>
    <t>The sheer teeth chattering caused by this film caused a worldwide sonic event.</t>
  </si>
  <si>
    <t>DVDHorror</t>
  </si>
  <si>
    <t>live-concert video</t>
  </si>
  <si>
    <t>Mortal senses can barely comprehend such crisp audio and video quality.</t>
  </si>
  <si>
    <t>DVDLive</t>
  </si>
  <si>
    <t>nature video</t>
  </si>
  <si>
    <t>Galápagos Islands Tour souvenir. A showcase of nature's beauty and wrath.</t>
  </si>
  <si>
    <t>NatureDVD</t>
  </si>
  <si>
    <t>romantic movie</t>
  </si>
  <si>
    <t>Set the box-office record for number of meet-cutes in one movie.</t>
  </si>
  <si>
    <t>DVDLove</t>
  </si>
  <si>
    <t>sci-fi movie</t>
  </si>
  <si>
    <t>The blockbuster that inspired a series of made-for-TV knockoffs.</t>
  </si>
  <si>
    <t>DVDSF</t>
  </si>
  <si>
    <t>shopping-channel show</t>
  </si>
  <si>
    <t>Somehow every product on this show becomes something you desperately need.</t>
  </si>
  <si>
    <t>DVDShopping</t>
  </si>
  <si>
    <t>sports show</t>
  </si>
  <si>
    <t>Yell along with the commentators to really get into the sporting spirit.</t>
  </si>
  <si>
    <t>DVDSports</t>
  </si>
  <si>
    <t>variety show</t>
  </si>
  <si>
    <t>A grab bag of a show; you never know what you'll get, but it'll be entertaining!</t>
  </si>
  <si>
    <t>DVDWideShow</t>
  </si>
  <si>
    <t>adventure game</t>
  </si>
  <si>
    <t>Game</t>
  </si>
  <si>
    <t>You won't emotionally recover from the twist ending for weeks. Ten outta ten.</t>
  </si>
  <si>
    <t>GameAdventure</t>
  </si>
  <si>
    <t>dancing game</t>
  </si>
  <si>
    <t>Get your groove on with this game!</t>
  </si>
  <si>
    <t>GameDance</t>
  </si>
  <si>
    <t>dating-sim game</t>
  </si>
  <si>
    <t>Find your true virtual love in this popular dating-sim game.</t>
  </si>
  <si>
    <t>GameLoveSimulation</t>
  </si>
  <si>
    <t>educational game</t>
  </si>
  <si>
    <t>Learning, now with more fun!</t>
  </si>
  <si>
    <t>GameEducation</t>
  </si>
  <si>
    <t>fighting game</t>
  </si>
  <si>
    <t>Rack up that combo count to climb the rankings! It helps to have quick thumbs.</t>
  </si>
  <si>
    <t>GameAction</t>
  </si>
  <si>
    <t>horror game</t>
  </si>
  <si>
    <t>Play while wrapped in a blanket with the lights on unless you wanna be WAY scared.</t>
  </si>
  <si>
    <t>GameHorror</t>
  </si>
  <si>
    <t>puzzle game</t>
  </si>
  <si>
    <t>You'll need to use 100% of your brain to overcome the tricky puzzles in this one.</t>
  </si>
  <si>
    <t>GamePuzzle</t>
  </si>
  <si>
    <t>racing game</t>
  </si>
  <si>
    <t>Race to your heart's content across all kinds of different courses!</t>
  </si>
  <si>
    <t>GameRacing</t>
  </si>
  <si>
    <t>role-playing game</t>
  </si>
  <si>
    <t>A classic RPG series that'll suck you in for at least 60 hours of gameplay.</t>
  </si>
  <si>
    <t>GameRoleplaying</t>
  </si>
  <si>
    <t>Tomodachi Life</t>
  </si>
  <si>
    <t>The greatest game in the Mii world, beloved by everyone, big or small!</t>
  </si>
  <si>
    <t>TomodachiCollection</t>
  </si>
  <si>
    <t>alpaca</t>
  </si>
  <si>
    <t>Pet</t>
  </si>
  <si>
    <t>A pet for a Mii! Luxuriously fluffy with an impressive spitting range.</t>
  </si>
  <si>
    <t>Alpaca</t>
  </si>
  <si>
    <t>alpha alien</t>
  </si>
  <si>
    <t>Outer Space Tour souvenir. A pet for a Mii! It followed you home.</t>
  </si>
  <si>
    <t>Alien</t>
  </si>
  <si>
    <t>axolotl</t>
  </si>
  <si>
    <t>A pet for a Mii! Just look at those beady little eyes.</t>
  </si>
  <si>
    <t>Axolotl</t>
  </si>
  <si>
    <t>bearded dragon</t>
  </si>
  <si>
    <t>A pet for a Mii! This surprisingly chill lizard may actually wave hello to you.</t>
  </si>
  <si>
    <t>BeardedDragon</t>
  </si>
  <si>
    <t>beta alien</t>
  </si>
  <si>
    <t>Alien1</t>
  </si>
  <si>
    <t>butterfly</t>
  </si>
  <si>
    <t>A pet for a Mii! It's easy to be entranced by those beautiful bluish-purple wings!</t>
  </si>
  <si>
    <t>Butterfly</t>
  </si>
  <si>
    <t>capybara</t>
  </si>
  <si>
    <t>A pet for a Mii! The dictionary definition of "chill."</t>
  </si>
  <si>
    <t>Capybara</t>
  </si>
  <si>
    <t>cat</t>
  </si>
  <si>
    <t>A pet for a Mii! Will entertain your affection only when it feels like it.</t>
  </si>
  <si>
    <t>Cat</t>
  </si>
  <si>
    <t>chick</t>
  </si>
  <si>
    <t>A pet for a Mii! No one can resist the cuteness of this tiny, fluffy friend.</t>
  </si>
  <si>
    <t>Chick</t>
  </si>
  <si>
    <t>chipmunk</t>
  </si>
  <si>
    <t>A pet for a Mii! The well-known foodie of the forest.</t>
  </si>
  <si>
    <t>Chipmunk</t>
  </si>
  <si>
    <t>clione</t>
  </si>
  <si>
    <t>A pet for a Mii! These small sea slugs are known for their...interesting feeding method.</t>
  </si>
  <si>
    <t>Clione</t>
  </si>
  <si>
    <t>clown fish</t>
  </si>
  <si>
    <t>A pet for a Mii! A classic fish that never goes out of style.</t>
  </si>
  <si>
    <t>Clownfish</t>
  </si>
  <si>
    <t>cockatoo</t>
  </si>
  <si>
    <t>A pet for a Mii! Makes a great conversation partner, but don't give it too many secrets...</t>
  </si>
  <si>
    <t>Parrot</t>
  </si>
  <si>
    <t>creature egg</t>
  </si>
  <si>
    <t>A pet for a Mii! Who knows what kind of egg it is. What do you mean it's moving?</t>
  </si>
  <si>
    <t>dog</t>
  </si>
  <si>
    <t>A pet for a Mii! About to become your bestest friend in the whole world.</t>
  </si>
  <si>
    <t>Dog</t>
  </si>
  <si>
    <t>eastern quoll</t>
  </si>
  <si>
    <t>A pet for a Mii! Don't let those big eyes fool you; this nocturnal marsupial is a hunter!</t>
  </si>
  <si>
    <t>Quoll</t>
  </si>
  <si>
    <t>flamingo</t>
  </si>
  <si>
    <t>A pet for a Mii! A striking bird that gets its pink color from the food it snacks on.</t>
  </si>
  <si>
    <t>Flamingo</t>
  </si>
  <si>
    <t>frog</t>
  </si>
  <si>
    <t>A pet for a Mii! Looks like it has a permanent smile on its face.</t>
  </si>
  <si>
    <t>Frog</t>
  </si>
  <si>
    <t>gamma alien</t>
  </si>
  <si>
    <t>Alien2</t>
  </si>
  <si>
    <t>ghost</t>
  </si>
  <si>
    <t>A pet for a Mii! A little unorthodox, but, uh... At least you won't have to feed it?</t>
  </si>
  <si>
    <t>Ghost</t>
  </si>
  <si>
    <t>goldfish</t>
  </si>
  <si>
    <t>A pet for a Mii! Low-maintenance and fun to watch swim about.</t>
  </si>
  <si>
    <t>Goldfish</t>
  </si>
  <si>
    <t>hamster</t>
  </si>
  <si>
    <t>A pet for a Mii! Irresistible even when it's up to no good.</t>
  </si>
  <si>
    <t>Hamster</t>
  </si>
  <si>
    <t>hedgehog</t>
  </si>
  <si>
    <t>A pet for a Mii! Inside of this spiny exterior is a warm and cuddly heart.</t>
  </si>
  <si>
    <t>Hedgehog</t>
  </si>
  <si>
    <t>Hercules beetle</t>
  </si>
  <si>
    <t>A pet for a Mii! One of the strongest beetles in the world. A real flex of a pet.</t>
  </si>
  <si>
    <t>Beetle</t>
  </si>
  <si>
    <t>horse</t>
  </si>
  <si>
    <t>A pet for a Mii! The classic and elegant steed.</t>
  </si>
  <si>
    <t>Horse</t>
  </si>
  <si>
    <t>jellyfish</t>
  </si>
  <si>
    <t>A pet for a Mii! Relaxing to watch float around. Please just look and don't touch.</t>
  </si>
  <si>
    <t>Jellyfish</t>
  </si>
  <si>
    <t>kangaroo</t>
  </si>
  <si>
    <t>A pet for a Mii! The iconic marsupial that carries its baby in a pouch.</t>
  </si>
  <si>
    <t>Kangaroo</t>
  </si>
  <si>
    <t>Keseran-Pasaran</t>
  </si>
  <si>
    <t>A pet for a Mii! An enigmatic creature of Japanese legend that brings good fortune.</t>
  </si>
  <si>
    <t>KeseranPasaran</t>
  </si>
  <si>
    <t>lion</t>
  </si>
  <si>
    <t>A pet for a Mii! Known as the majestic king of the jungle. Really just a big house cat.</t>
  </si>
  <si>
    <t>Lion</t>
  </si>
  <si>
    <t>octopus</t>
  </si>
  <si>
    <t>A pet for a Mii! All those suckers make it one of nature's best escape artists.</t>
  </si>
  <si>
    <t>parrot</t>
  </si>
  <si>
    <t>A pet for a Mii! An adorable brightly colored friend with an impressive vocabulary.</t>
  </si>
  <si>
    <t>Parakeet</t>
  </si>
  <si>
    <t>penguin</t>
  </si>
  <si>
    <t>A pet for a Mii! The shining, stinky star of aquariums everywhere.</t>
  </si>
  <si>
    <t>Penguin</t>
  </si>
  <si>
    <t>pig</t>
  </si>
  <si>
    <t>A pet for a Mii! Could charm the whole world with one wiggle of its li'l snout.</t>
  </si>
  <si>
    <t>Pig</t>
  </si>
  <si>
    <t>rabbit</t>
  </si>
  <si>
    <t>A pet for a Mii! Cute, fluffy, and undefeatable in a foot race.</t>
  </si>
  <si>
    <t>Rabbit</t>
  </si>
  <si>
    <t>robot</t>
  </si>
  <si>
    <t>A pet for a Mii! Can't do your homework better than you, but CAN do it faster!</t>
  </si>
  <si>
    <t>Robot</t>
  </si>
  <si>
    <t>shark</t>
  </si>
  <si>
    <t>A pet for a Mii! Not what you want to see in the ocean. This one's a sweetie though.</t>
  </si>
  <si>
    <t>BlackTipReefShark</t>
  </si>
  <si>
    <t>spirit</t>
  </si>
  <si>
    <t>A pet for a Mii! Please don't be rude by calling it a ghost.</t>
  </si>
  <si>
    <t>Spirit</t>
  </si>
  <si>
    <t>sugar glider</t>
  </si>
  <si>
    <t>A pet for a Mii! This nocturnal possum's common name comes from its sweet tooth!</t>
  </si>
  <si>
    <t>SugarGlider</t>
  </si>
  <si>
    <t>tuna</t>
  </si>
  <si>
    <t>A pet for a Mii! This glossy fish never stops swimming.</t>
  </si>
  <si>
    <t>Tuna</t>
  </si>
  <si>
    <t>turtle</t>
  </si>
  <si>
    <t>A pet for a Mii! Moseys along at its own pace.</t>
  </si>
  <si>
    <t>Turtle</t>
  </si>
  <si>
    <t>Tyrannosaurus</t>
  </si>
  <si>
    <t>A pet for a Mii! Only recommended for experienced pet owners.</t>
  </si>
  <si>
    <t>UFO</t>
  </si>
  <si>
    <t>Mysterious objects seen across the world. And yet, no one knows what they are...</t>
  </si>
  <si>
    <t>Ufo</t>
  </si>
  <si>
    <t>unicorn</t>
  </si>
  <si>
    <t>A pet for a Mii! Just galloped in from a whimsical fantasy realm.</t>
  </si>
  <si>
    <t>Unicorn</t>
  </si>
  <si>
    <t>water flea</t>
  </si>
  <si>
    <t>A pet for a Mii! Blink, and you'll miss this teeny-tiny sea creature.</t>
  </si>
  <si>
    <t>Daphnia</t>
  </si>
  <si>
    <t>9-volt battery</t>
  </si>
  <si>
    <t>Other</t>
  </si>
  <si>
    <t>Powerful enough to make other batteries feel bad about themselves.</t>
  </si>
  <si>
    <t>9VDryBattery</t>
  </si>
  <si>
    <t>alebrije</t>
  </si>
  <si>
    <t>Latin America Tour souvenir. A handcrafted animal of Mexican tradition.</t>
  </si>
  <si>
    <t>Alebrijes</t>
  </si>
  <si>
    <t>aluminum briefcase</t>
  </si>
  <si>
    <t>Made from a light yet durable material that'll keep your bribes...er, "documents"...safe.</t>
  </si>
  <si>
    <t>DuraluminCase</t>
  </si>
  <si>
    <t>amber</t>
  </si>
  <si>
    <t>Fossilized resin hardened over thousands of years. Kinda feel bad for that bug inside it...</t>
  </si>
  <si>
    <t>Amber</t>
  </si>
  <si>
    <t>amethyst</t>
  </si>
  <si>
    <t>A rare rock that's often seen as capable of bestowing good luck.</t>
  </si>
  <si>
    <t>AmethystDome</t>
  </si>
  <si>
    <t>ammonite fossil</t>
  </si>
  <si>
    <t>A remnant of simpler times...literally. It's rare to find one in such good condition!</t>
  </si>
  <si>
    <t>Ammonite</t>
  </si>
  <si>
    <t>animal-shaped planter</t>
  </si>
  <si>
    <t>The surprisingly adorable combo of turtle and plant.</t>
  </si>
  <si>
    <t>AnimalFlowerpot</t>
  </si>
  <si>
    <t>autumn leaf</t>
  </si>
  <si>
    <t>A beautifully sentimental reminder of the passage of time...</t>
  </si>
  <si>
    <t>FallenLeaves</t>
  </si>
  <si>
    <t>back scratcher</t>
  </si>
  <si>
    <t>A miraculous item for when that one spot on your back itches REALLY bad.</t>
  </si>
  <si>
    <t>GrandsonsHand</t>
  </si>
  <si>
    <t>balloon animal</t>
  </si>
  <si>
    <t>Who knew there was so much potential in a single balloon? The sky's the limit!</t>
  </si>
  <si>
    <t>BalloonArt</t>
  </si>
  <si>
    <t>bamboo box</t>
  </si>
  <si>
    <t>A breathable, old-fashioned box for storing clothes. Also good at repelling insects!</t>
  </si>
  <si>
    <t>WickerBasket</t>
  </si>
  <si>
    <t>bent spoon</t>
  </si>
  <si>
    <t>Not great for eating but great for showing your friends you have psychic abilities.</t>
  </si>
  <si>
    <t>BentSpoon</t>
  </si>
  <si>
    <t>big vase</t>
  </si>
  <si>
    <t>World Castles Tour souvenir. A vase with a lovely golden-flower motif.</t>
  </si>
  <si>
    <t>BigPot</t>
  </si>
  <si>
    <t>binoculars</t>
  </si>
  <si>
    <t>Great for looking at stuff! Just don't stare at your neighbors with them. That's rude.</t>
  </si>
  <si>
    <t>Binoculars</t>
  </si>
  <si>
    <t>bird feather</t>
  </si>
  <si>
    <t>A single, pretty feather. I wonder where its owner flew off to...</t>
  </si>
  <si>
    <t>BirdFeathers</t>
  </si>
  <si>
    <t>bird nest</t>
  </si>
  <si>
    <t>Made with carefully selected materials by a discerning bird.</t>
  </si>
  <si>
    <t>SwallowsNest</t>
  </si>
  <si>
    <t>bonsai tree</t>
  </si>
  <si>
    <t>A marvelous display of how great a team nature and humankind can be.</t>
  </si>
  <si>
    <t>Bonsai</t>
  </si>
  <si>
    <t>botijo</t>
  </si>
  <si>
    <t>A traditional jug from Spain that keeps water nice and cold.</t>
  </si>
  <si>
    <t>TraditionalSpanishWaterBottle</t>
  </si>
  <si>
    <t>bottle cap</t>
  </si>
  <si>
    <t>Just look at this quality craftsmanship. No bends or scratches or anything.</t>
  </si>
  <si>
    <t>CrownCap</t>
  </si>
  <si>
    <t>bouquet</t>
  </si>
  <si>
    <t>Bright, beautiful flowers for that special someone in your life. (Or for yourself!)</t>
  </si>
  <si>
    <t>Bouquet</t>
  </si>
  <si>
    <t>box of tissues</t>
  </si>
  <si>
    <t>Super-soft tissues that are strong enough to withstand the fiercest nose blowing.</t>
  </si>
  <si>
    <t>Tissue</t>
  </si>
  <si>
    <t>brass key</t>
  </si>
  <si>
    <t>A key full of mystery! Surely it'll open some magical door somewhere...</t>
  </si>
  <si>
    <t>RandomKey</t>
  </si>
  <si>
    <t>bun-tower figure</t>
  </si>
  <si>
    <t>A tower of steamed buns presented during a festival in Hong Kong. This is just a replica—don't attempt to eat it!</t>
  </si>
  <si>
    <t>BaoshanDecoration</t>
  </si>
  <si>
    <t>call bell</t>
  </si>
  <si>
    <t>A classic, resonant bell often used in reception areas. Ding-ding!</t>
  </si>
  <si>
    <t>CallBell</t>
  </si>
  <si>
    <t>carnation</t>
  </si>
  <si>
    <t>Symbolizes gratitude and love for the maternal presence in your life.</t>
  </si>
  <si>
    <t>Carnation</t>
  </si>
  <si>
    <t>celadon-porcelain tea set</t>
  </si>
  <si>
    <t>East Asia Tour souvenir. An exquisite tea set with a jade hue.</t>
  </si>
  <si>
    <t>CeladonTeapot</t>
  </si>
  <si>
    <t>celebrity autograph</t>
  </si>
  <si>
    <t>You can tell this person's famous by how illegible their signature is.</t>
  </si>
  <si>
    <t>Autograph</t>
  </si>
  <si>
    <t>chess piece</t>
  </si>
  <si>
    <t>One of the trickiest pieces in the game. Perhaps it can be bribed with oats...</t>
  </si>
  <si>
    <t>ChessPieces</t>
  </si>
  <si>
    <t>cicada shell</t>
  </si>
  <si>
    <t>You can see these shells all over the place come summertime. They might bring luck.</t>
  </si>
  <si>
    <t>CicadaShell</t>
  </si>
  <si>
    <t>circuit board</t>
  </si>
  <si>
    <t>The skeleton of electronic devices. What would our world be without them?</t>
  </si>
  <si>
    <t>ElectronicSubstrate</t>
  </si>
  <si>
    <t>clay figure</t>
  </si>
  <si>
    <t>A clay figure striking a unique pose. Excavated from an ancient burial mound.</t>
  </si>
  <si>
    <t>Haniwa</t>
  </si>
  <si>
    <t>coconut bowl</t>
  </si>
  <si>
    <t>Southeast Asia Tour souvenir. A shiny bowl made from a coconut shell.</t>
  </si>
  <si>
    <t>CoconutBowl</t>
  </si>
  <si>
    <t>colorful basket</t>
  </si>
  <si>
    <t>Africa Tour souvenir. A stunningly bright- patterned basket.</t>
  </si>
  <si>
    <t>ColorfulBasket</t>
  </si>
  <si>
    <t>compass</t>
  </si>
  <si>
    <t>A practical, if passive-aggressive gift for a directionally challenged pal.</t>
  </si>
  <si>
    <t>Compass</t>
  </si>
  <si>
    <t>coral</t>
  </si>
  <si>
    <t>Looks like an undersea flower in full bloom but is actually a living creature.</t>
  </si>
  <si>
    <t>Coral</t>
  </si>
  <si>
    <t>crystal</t>
  </si>
  <si>
    <t>A gorgeous, naturally occurring crystal. Some believe it to be charged with energy.</t>
  </si>
  <si>
    <t>Crystal</t>
  </si>
  <si>
    <t>crystal ball</t>
  </si>
  <si>
    <t>Peer inside to see your future... If you're a trained fortune teller, anyway.</t>
  </si>
  <si>
    <t>CrystalBall</t>
  </si>
  <si>
    <t>Daruma</t>
  </si>
  <si>
    <t>A bright-red lucky charm. Draw in an eye when your wish comes true!</t>
  </si>
  <si>
    <t>Daruma Otoshi game</t>
  </si>
  <si>
    <t>Knock the torso pieces out with the wooden mallet without letting the Daruma fall.</t>
  </si>
  <si>
    <t>DarumaDrop</t>
  </si>
  <si>
    <t>diamond</t>
  </si>
  <si>
    <t>A brilliant cut diamond with the perfect transparency and color.</t>
  </si>
  <si>
    <t>Diamond</t>
  </si>
  <si>
    <t>die</t>
  </si>
  <si>
    <t>You'll need at least two dice for most games. Wait, where'd the second one go?</t>
  </si>
  <si>
    <t>Dice</t>
  </si>
  <si>
    <t>dirty sock</t>
  </si>
  <si>
    <t>You can actually SEE the stink emanating from this thing.</t>
  </si>
  <si>
    <t>DirtySocks</t>
  </si>
  <si>
    <t>disco ball</t>
  </si>
  <si>
    <t>A dazzling disco ball! You might start seeing stars if you stare at it too long.</t>
  </si>
  <si>
    <t>MirrorBall</t>
  </si>
  <si>
    <t>dogū figure</t>
  </si>
  <si>
    <t>A clay doll crafted during the Jōmon period that remains shrouded in mystery.</t>
  </si>
  <si>
    <t>ClayFigure</t>
  </si>
  <si>
    <t>door handle</t>
  </si>
  <si>
    <t>This used to open a door somewhere... Now it's not doing much of anything.</t>
  </si>
  <si>
    <t>Knob</t>
  </si>
  <si>
    <t>embroidered decoration</t>
  </si>
  <si>
    <t>Made with love. Hang it up on your wall for an instant coziness boost.</t>
  </si>
  <si>
    <t>EmbroideryWallHanging</t>
  </si>
  <si>
    <t>embroidered handkerchief</t>
  </si>
  <si>
    <t>Central/Eastern Europe Tour souvenir. Adorned with delicate flowers.</t>
  </si>
  <si>
    <t>EmbroideredHandkerchief</t>
  </si>
  <si>
    <t>engagement ring</t>
  </si>
  <si>
    <t>A symbol of the promises of marriage. Best wishes to the happy couple!</t>
  </si>
  <si>
    <t>EngagementRing</t>
  </si>
  <si>
    <t>expensive-looking vase</t>
  </si>
  <si>
    <t>A precious heirloom passed down through generations. Break it at your own peril.</t>
  </si>
  <si>
    <t>ExpensivePot</t>
  </si>
  <si>
    <t>famous-mountains calendar</t>
  </si>
  <si>
    <t>Famous Mountains Tour souvenir. Gaze at the splendor of famous mountains.</t>
  </si>
  <si>
    <t>FamousMountainCalendar</t>
  </si>
  <si>
    <t>faucet</t>
  </si>
  <si>
    <t>Releases water when twisted. Uh, also when connected to plumbing.</t>
  </si>
  <si>
    <t>Faucet</t>
  </si>
  <si>
    <t>fishing lure</t>
  </si>
  <si>
    <t>An expert at deceiving fish. Watch out for those hooks when handling it.</t>
  </si>
  <si>
    <t>Lure</t>
  </si>
  <si>
    <t>floppy disk</t>
  </si>
  <si>
    <t>Memory media from a bygone era still desperately clinging on to relevance.</t>
  </si>
  <si>
    <t>Floppy</t>
  </si>
  <si>
    <t>flyswatter</t>
  </si>
  <si>
    <t>The weapon of choice for those looking to get revenge on the flies invading their home.</t>
  </si>
  <si>
    <t>FlySwatter</t>
  </si>
  <si>
    <t>four-leaf clover</t>
  </si>
  <si>
    <t>The four-leaf clover of legend! Said to bring luck and happiness to those who find it.</t>
  </si>
  <si>
    <t>Crover</t>
  </si>
  <si>
    <t>foxtail</t>
  </si>
  <si>
    <t>Fluffy and fluttery, just like a fox's tail.</t>
  </si>
  <si>
    <t>Nekojarashi</t>
  </si>
  <si>
    <t>gears</t>
  </si>
  <si>
    <t>Probably from a machine somewhere. Hope they're not important...</t>
  </si>
  <si>
    <t>GearParts</t>
  </si>
  <si>
    <t>glass ornament</t>
  </si>
  <si>
    <t>Every angle of this beautiful sculpture looks a bit different. Refraction sure is neat!</t>
  </si>
  <si>
    <t>GlassZaiku</t>
  </si>
  <si>
    <t>globe</t>
  </si>
  <si>
    <t>Will make you look like a real academic. Also fun to spin!</t>
  </si>
  <si>
    <t>TerrestrialGlobe</t>
  </si>
  <si>
    <t>gold bar</t>
  </si>
  <si>
    <t>Lugging this around will really make you feel the weight of wealth.</t>
  </si>
  <si>
    <t>GoldBar</t>
  </si>
  <si>
    <t>hand mirror</t>
  </si>
  <si>
    <t>Use to admire your appearance or catch someone sneaking up behind you.</t>
  </si>
  <si>
    <t>HandMirror</t>
  </si>
  <si>
    <t>Hawaiian key chain</t>
  </si>
  <si>
    <t>Hawaii Tour souvenir. A majestic yet cliché trinket.</t>
  </si>
  <si>
    <t>HawaiiKeyChain</t>
  </si>
  <si>
    <t>historical bust</t>
  </si>
  <si>
    <t>No one knows who this person is, but they were famous enough to have a statue.</t>
  </si>
  <si>
    <t>PlasterFigure</t>
  </si>
  <si>
    <t>hourglass</t>
  </si>
  <si>
    <t>This hourglass measures precisely three minutes...give or take 18 seconds.</t>
  </si>
  <si>
    <t>Sandglass</t>
  </si>
  <si>
    <t>incense burner</t>
  </si>
  <si>
    <t>An antique, finely crafted censer that can elevate any space with style and stink.</t>
  </si>
  <si>
    <t>IncenseBurner</t>
  </si>
  <si>
    <t>insect collection</t>
  </si>
  <si>
    <t>A perfect preservation of the beauty of nature. You can see even the tiniest details.</t>
  </si>
  <si>
    <t>InsectSpecimen</t>
  </si>
  <si>
    <t>jewelry box</t>
  </si>
  <si>
    <t>A box you can fill with lavish treasures! Or maybe just buttons. That's fine too.</t>
  </si>
  <si>
    <t>JewelleryBox</t>
  </si>
  <si>
    <t>Jōmon-period pottery</t>
  </si>
  <si>
    <t>Ancient earthenware that transcends the classical or antique label.</t>
  </si>
  <si>
    <t>JomonPottery</t>
  </si>
  <si>
    <t>kettle</t>
  </si>
  <si>
    <t>A lightweight kettle for all your water-boiling needs.</t>
  </si>
  <si>
    <t>Kettle</t>
  </si>
  <si>
    <t>koala plush</t>
  </si>
  <si>
    <t>Oceania Tour souvenir. A stuffed koala that looks mildly confused.</t>
  </si>
  <si>
    <t>KoalaStuffedToy</t>
  </si>
  <si>
    <t>kokeshi doll</t>
  </si>
  <si>
    <t>A traditional Japanese craft that has been passed down through many generations.</t>
  </si>
  <si>
    <t>KokeshiDoll</t>
  </si>
  <si>
    <t>light bulb</t>
  </si>
  <si>
    <t>Hold it above your head to execute a perfectly cartoonish "Aha!" moment.</t>
  </si>
  <si>
    <t>LightBulb</t>
  </si>
  <si>
    <t>lonely earbud</t>
  </si>
  <si>
    <t>The missing right earbud was last seen rolling into the couch-cushion depths.</t>
  </si>
  <si>
    <t>OneEarphoneIsMisissing</t>
  </si>
  <si>
    <t>loofah</t>
  </si>
  <si>
    <t>Scrubs away the grime of the day. And also the skin of the day.</t>
  </si>
  <si>
    <t>Loofah</t>
  </si>
  <si>
    <t>lucky cat</t>
  </si>
  <si>
    <t>A cat figure with its right paw raised to beckon economic good fortune.</t>
  </si>
  <si>
    <t>LuckyCat</t>
  </si>
  <si>
    <t>magnifying glass</t>
  </si>
  <si>
    <t>No clue will go unnoticed with this tool at your disposal! Also, you're a detective now.</t>
  </si>
  <si>
    <t>MagnifyingGlass</t>
  </si>
  <si>
    <t>mahjong tile</t>
  </si>
  <si>
    <t>A tile made traditionally from bamboo. The kanji character reads "east."</t>
  </si>
  <si>
    <t>MahjongTile</t>
  </si>
  <si>
    <t>makeup box</t>
  </si>
  <si>
    <t>A fold-out storage box for all your cosmetics, from brushes to powders.</t>
  </si>
  <si>
    <t>MakeupBox</t>
  </si>
  <si>
    <t>maple-syrup tap</t>
  </si>
  <si>
    <t>Hammered into maple trees to extract the sweet syrup within.</t>
  </si>
  <si>
    <t>MapleSyrupSamplingPort</t>
  </si>
  <si>
    <t>marble</t>
  </si>
  <si>
    <t>A classic toy with a pretty pattern. Would look neat in an aquarium.</t>
  </si>
  <si>
    <t>Marble</t>
  </si>
  <si>
    <t>marionette</t>
  </si>
  <si>
    <t>A doll operated by strings. Its movements are uncannily lifelike.</t>
  </si>
  <si>
    <t>Marionette</t>
  </si>
  <si>
    <t>martian rock</t>
  </si>
  <si>
    <t>It may look no different from a regular rock, but it's totally from outer space, honest!</t>
  </si>
  <si>
    <t>MartianStone</t>
  </si>
  <si>
    <t>message in a bottle</t>
  </si>
  <si>
    <t>Getting to the message might be a stressful exercise in not shattering the glass.</t>
  </si>
  <si>
    <t>MessageBottle</t>
  </si>
  <si>
    <t>mini car</t>
  </si>
  <si>
    <t>You're officially an antique-car collector now. What? Of course this counts!</t>
  </si>
  <si>
    <t>MiniCar</t>
  </si>
  <si>
    <t>model train</t>
  </si>
  <si>
    <t>Crafted with such attention to detail that it nearly feels like you could climb aboard.</t>
  </si>
  <si>
    <t>TrainModel</t>
  </si>
  <si>
    <t>mosquito coil</t>
  </si>
  <si>
    <t>A familiar summer sight. This reliable tool repels mosquitoes.</t>
  </si>
  <si>
    <t>MosquitoCoil</t>
  </si>
  <si>
    <t>mysterious liquid</t>
  </si>
  <si>
    <t>Nine out of ten doctors recommend not drinking mystery fluids.</t>
  </si>
  <si>
    <t>MysteriousLiquid</t>
  </si>
  <si>
    <t>nail polish</t>
  </si>
  <si>
    <t>Few things provide as big of a mood boost as applying a bright nail color!</t>
  </si>
  <si>
    <t>NailPolish</t>
  </si>
  <si>
    <t>octahedral stone</t>
  </si>
  <si>
    <t>Who knows what mysterious powers lie within... Or not. It could just be a rock.</t>
  </si>
  <si>
    <t>Octahydrone</t>
  </si>
  <si>
    <t>olive-oil soap</t>
  </si>
  <si>
    <t>Mediterranean Tour souvenir. Behold the cleansing power of olive oil.</t>
  </si>
  <si>
    <t>OliveSoap</t>
  </si>
  <si>
    <t>omamori</t>
  </si>
  <si>
    <t>From bringing good luck to warding off evil spirits, these little amulets can do it all!</t>
  </si>
  <si>
    <t>Amulet</t>
  </si>
  <si>
    <t>one-way ticket</t>
  </si>
  <si>
    <t>There's no coming back after using this (unless you buy another one-way ticket).</t>
  </si>
  <si>
    <t>Ticket</t>
  </si>
  <si>
    <t>origami crane</t>
  </si>
  <si>
    <t>How is it not magic that a single sheet of paper can become a crane?!</t>
  </si>
  <si>
    <t>PaperCrane</t>
  </si>
  <si>
    <t>paper talisman</t>
  </si>
  <si>
    <t>An old paper note of unknown origin... No one knows when or why it was made.</t>
  </si>
  <si>
    <t>Bill</t>
  </si>
  <si>
    <t>pearl</t>
  </si>
  <si>
    <t>Created over time from mollusk secretions. Gross but also pretty!</t>
  </si>
  <si>
    <t>Pearl</t>
  </si>
  <si>
    <t>pearlescent accessory case</t>
  </si>
  <si>
    <t>Skillfully crafted with iridescent materials. A beautiful case for beautiful items!</t>
  </si>
  <si>
    <t>RadenAccessoryCase</t>
  </si>
  <si>
    <t>pebble</t>
  </si>
  <si>
    <t>You may think this is just a worthless pebble, but, um...you'd be right.</t>
  </si>
  <si>
    <t>SonohenNoIshikoro</t>
  </si>
  <si>
    <t>perfume</t>
  </si>
  <si>
    <t>A sweet, floral perfume that smells lovely on everyone.</t>
  </si>
  <si>
    <t>Perfume</t>
  </si>
  <si>
    <t>picture-postcards set</t>
  </si>
  <si>
    <t>Iconic Scenery Tour souvenir. Gorgeous and iconic vistas from around the world.</t>
  </si>
  <si>
    <t>PostcardSet</t>
  </si>
  <si>
    <t>piggy bank</t>
  </si>
  <si>
    <t>This shiny pig is happy to hang on to all your coins and bills for you. What a pal!</t>
  </si>
  <si>
    <t>PigPiggyBank</t>
  </si>
  <si>
    <t>pile of documents</t>
  </si>
  <si>
    <t>Kind of hard to stop adding papers to the pile once you start.</t>
  </si>
  <si>
    <t>Document</t>
  </si>
  <si>
    <t>piñata</t>
  </si>
  <si>
    <t>Filled with candy that falls out as the piñata is smashed. We salute you, paper friend.</t>
  </si>
  <si>
    <t>Pinata</t>
  </si>
  <si>
    <t>pine cone</t>
  </si>
  <si>
    <t>Many an unsuspecting forest wanderer has been bopped on the head by one of these.</t>
  </si>
  <si>
    <t>Pinecone</t>
  </si>
  <si>
    <t>plastic-model leftovers</t>
  </si>
  <si>
    <t>You should probably toss them, but you never know when you might need them!</t>
  </si>
  <si>
    <t>PlasticModelParts</t>
  </si>
  <si>
    <t>plush panda</t>
  </si>
  <si>
    <t>A fluffy plush panda that is just begging to be named and cherished.</t>
  </si>
  <si>
    <t>StuffedToyBear</t>
  </si>
  <si>
    <t>pocket watch</t>
  </si>
  <si>
    <t>A travel-sized watch that makes a classic ticking sound. Don't forget to wind it!</t>
  </si>
  <si>
    <t>PocketWatch</t>
  </si>
  <si>
    <t>receipt</t>
  </si>
  <si>
    <t>Holds a mysterious ability to disappear right when you want to return an item.</t>
  </si>
  <si>
    <t>Receipt</t>
  </si>
  <si>
    <t>restaurant menu</t>
  </si>
  <si>
    <t>Glossy pictures of tasty-looking food. Good luck trying to choose what to order.</t>
  </si>
  <si>
    <t>RestaurantMenu</t>
  </si>
  <si>
    <t>rock collection</t>
  </si>
  <si>
    <t>World Caves Tour souvenir. All kinds of stones from around the world.</t>
  </si>
  <si>
    <t>StoneSpecimen</t>
  </si>
  <si>
    <t>roof tiles</t>
  </si>
  <si>
    <t>A pile of tiles. Would look really cool if you could punch through them.</t>
  </si>
  <si>
    <t>Tile</t>
  </si>
  <si>
    <t>rose</t>
  </si>
  <si>
    <t>A symbol of love...but also pain. Watch out for those thorns.</t>
  </si>
  <si>
    <t>Rose</t>
  </si>
  <si>
    <t>rubber ducky</t>
  </si>
  <si>
    <t>The steadfast companion of bathtubs everywhere. Squeaks when squeezed.</t>
  </si>
  <si>
    <t>DucksToy</t>
  </si>
  <si>
    <t>ruby</t>
  </si>
  <si>
    <t>A red precious gemstone that has a captivating sparkle.</t>
  </si>
  <si>
    <t>Ruby</t>
  </si>
  <si>
    <t>safe</t>
  </si>
  <si>
    <t>A fire- and robber-safe vessel for all of your precious somethings.</t>
  </si>
  <si>
    <t>Cashbox</t>
  </si>
  <si>
    <t>satellite dish</t>
  </si>
  <si>
    <t>For more TV channels! And definitely not for aliens to prank call you through.</t>
  </si>
  <si>
    <t>Antenna</t>
  </si>
  <si>
    <t>sauna whisk</t>
  </si>
  <si>
    <t>Northern Europe Tour souvenir. Made from bundled birch leaves.</t>
  </si>
  <si>
    <t>Vihta</t>
  </si>
  <si>
    <t>scented candle</t>
  </si>
  <si>
    <t>A calming scent and comforting light to help you relax after a hard day's work.</t>
  </si>
  <si>
    <t>AromaCandle</t>
  </si>
  <si>
    <t>screw</t>
  </si>
  <si>
    <t>Uh-oh, where did this come from? No one touch anything.</t>
  </si>
  <si>
    <t>Screw</t>
  </si>
  <si>
    <t>seashell</t>
  </si>
  <si>
    <t>Invokes a precious summer memory...for some. For others, it's just a shell.</t>
  </si>
  <si>
    <t>Shell</t>
  </si>
  <si>
    <t>sea-urchin skeleton</t>
  </si>
  <si>
    <t>A real softy underneath all of those spikes. It's delicate though, so handle with care!</t>
  </si>
  <si>
    <t>SeaUrchinBone</t>
  </si>
  <si>
    <t>security camera</t>
  </si>
  <si>
    <t>Provides 24-7 monitoring. Just try to burgle now, burglars!</t>
  </si>
  <si>
    <t>SecurityCamera</t>
  </si>
  <si>
    <t>shiny beads</t>
  </si>
  <si>
    <t>Great for when you want to pretend you've discovered ancient pirate treasure.</t>
  </si>
  <si>
    <t>GlitterBeads</t>
  </si>
  <si>
    <t>ship in a bottle</t>
  </si>
  <si>
    <t>Thinking too hard about how the ship got in there might give you a migraine.</t>
  </si>
  <si>
    <t>BottleShip</t>
  </si>
  <si>
    <t>shogi "king" piece</t>
  </si>
  <si>
    <t>A decorative king piece from the Japanese board game shogi that's said to bring luck.</t>
  </si>
  <si>
    <t>Ohsho</t>
  </si>
  <si>
    <t>slime</t>
  </si>
  <si>
    <t>Playing with slime is a great way to look up and realize that 10 hours have passed.</t>
  </si>
  <si>
    <t>Slime</t>
  </si>
  <si>
    <t>solar panel</t>
  </si>
  <si>
    <t>Generates electricity from sunlight. Thank you, nature!</t>
  </si>
  <si>
    <t>SolarPanel</t>
  </si>
  <si>
    <t>solid-gold cup</t>
  </si>
  <si>
    <t>Yep, 100% pure gold. Even just picking it up is a bit of a workout.</t>
  </si>
  <si>
    <t>GoldCup</t>
  </si>
  <si>
    <t>spinning top</t>
  </si>
  <si>
    <t>Fun spinning action for everyone! Kind of mesmerizing to watch...</t>
  </si>
  <si>
    <t>Top</t>
  </si>
  <si>
    <t>Statue of Liberty figurine</t>
  </si>
  <si>
    <t>USA Tour souvenir. A detailed mini version of the famous statue.</t>
  </si>
  <si>
    <t>SatueOfLiberty</t>
  </si>
  <si>
    <t>stopwatch</t>
  </si>
  <si>
    <t>Can measure up to 1/100ths of a second. Good for when you need precise timing!</t>
  </si>
  <si>
    <t>Stopwatch</t>
  </si>
  <si>
    <t>Super Scope</t>
  </si>
  <si>
    <t>An accessory for the SNES shaped like a bazooka.</t>
  </si>
  <si>
    <t>Superscope</t>
  </si>
  <si>
    <t>suspicious button</t>
  </si>
  <si>
    <t>Gives off MAJOR "don't touch" energy. But that also makes it irresistible...</t>
  </si>
  <si>
    <t>SuspiciousSwitch</t>
  </si>
  <si>
    <t>tabletop light</t>
  </si>
  <si>
    <t>Provides soft, indirect light in whatever color suits your vibe.</t>
  </si>
  <si>
    <t>MoodLight</t>
  </si>
  <si>
    <t>tanuki statue</t>
  </si>
  <si>
    <t>Often seen at the entrance of stores in Japan with its hat and bank book.</t>
  </si>
  <si>
    <t>ShigarakiWare</t>
  </si>
  <si>
    <t>tawashi scrub brush</t>
  </si>
  <si>
    <t>Say goodbye to tough stains with this scrubbing brush made from coconut fiber!</t>
  </si>
  <si>
    <t>ScrubbingBrush</t>
  </si>
  <si>
    <t>tiny terrarium</t>
  </si>
  <si>
    <t>A little biome of even littler succulent plants arranged on a rocky bed. Simply adorable.</t>
  </si>
  <si>
    <t>MiniTerrarium</t>
  </si>
  <si>
    <t>toilet paper</t>
  </si>
  <si>
    <t>Double paper for ultimate hygienic comfort. None of that single-ply nonsense.</t>
  </si>
  <si>
    <t>ToiletPaper</t>
  </si>
  <si>
    <t>toy robot</t>
  </si>
  <si>
    <t>Wind it up and watch it go! It doesn't get much more nostalgic than this.</t>
  </si>
  <si>
    <t>TinToy</t>
  </si>
  <si>
    <t>treasure map</t>
  </si>
  <si>
    <t>So old no one can read the dang thing. But maybe you'll luck out and strike it rich.</t>
  </si>
  <si>
    <t>TreasureMap</t>
  </si>
  <si>
    <t>tree branch</t>
  </si>
  <si>
    <t>You could make all kinds of things with this. Or just have a branch. That's pretty neat.</t>
  </si>
  <si>
    <t>TreeBranch</t>
  </si>
  <si>
    <t>vacuum tube</t>
  </si>
  <si>
    <t>A device that controls electric-current flow. Popular among some audio enthusiasts.</t>
  </si>
  <si>
    <t>VacuumTube</t>
  </si>
  <si>
    <t>Venetian glass</t>
  </si>
  <si>
    <t>An original work handmade by an artisan. Just look at all that ornamentation!</t>
  </si>
  <si>
    <t>VenetianGlass</t>
  </si>
  <si>
    <t>Virtual Boy</t>
  </si>
  <si>
    <t>The forerunner of 3D gaming with a sleek black-and-red design.</t>
  </si>
  <si>
    <t>VirtualBoy</t>
  </si>
  <si>
    <t>weak-looking elastic rope</t>
  </si>
  <si>
    <t>This poor thing's given all the give it could give. Now it's just kind of sad...</t>
  </si>
  <si>
    <t>RubberString</t>
  </si>
  <si>
    <t>wind-up teeth</t>
  </si>
  <si>
    <t>Toy teeth that rattle when wound up. Sadly, they do not work as real dentures.</t>
  </si>
  <si>
    <t>WindUpTeeth</t>
  </si>
  <si>
    <t>wire puzzle</t>
  </si>
  <si>
    <t>A deceptively tricky puzzle that's solved by taking the pieces apart (allegedly).</t>
  </si>
  <si>
    <t>CircleOfWisdom</t>
  </si>
  <si>
    <t>wooden bear statue</t>
  </si>
  <si>
    <t>A classic carving that's a popular souvenir when visiting Hokkaido, Japan.</t>
  </si>
  <si>
    <t>WoodenCarvingBear</t>
  </si>
  <si>
    <t>wool-felt sheep</t>
  </si>
  <si>
    <t>Pick at wool with a needle long enough, and it'll turn into a sheep! Who'd have thought.</t>
  </si>
  <si>
    <t>WoolFelt</t>
  </si>
  <si>
    <t>silver coin</t>
  </si>
  <si>
    <t>A silver coin with a wishing-fountain design. Filled with the island dwellers' gratitude.</t>
  </si>
  <si>
    <t>CoinSilver</t>
  </si>
  <si>
    <t>gold coin</t>
  </si>
  <si>
    <t>A gold coin with a wishing-fountain design. Filled with the island dwellers' gratitude.</t>
  </si>
  <si>
    <t>CoinGold</t>
  </si>
  <si>
    <t>bronze trophy</t>
  </si>
  <si>
    <t>Commemorative gift for Mii happiness increasing 10 times. Sweet of you!</t>
  </si>
  <si>
    <t>TrophyBronze</t>
  </si>
  <si>
    <t>silver trophy</t>
  </si>
  <si>
    <t>Commemorative gift for Mii happiness increasing 20 times. You're appreciated!</t>
  </si>
  <si>
    <t>TrophySilver</t>
  </si>
  <si>
    <t>gold trophy</t>
  </si>
  <si>
    <t>Commemorative gift for Mii happiness increasing 50 times. How lovely!</t>
  </si>
  <si>
    <t>TrophyGold</t>
  </si>
  <si>
    <t>platinum trophy</t>
  </si>
  <si>
    <t>Commemorative gift for Mii happiness increasing 100 times. You're the best!</t>
  </si>
  <si>
    <t>TrophyPlatinum</t>
  </si>
  <si>
    <t>bronze speech bubble</t>
  </si>
  <si>
    <t>Commemorative gift for introducing 10 types of island lingo. You chatterbox, you!</t>
  </si>
  <si>
    <t>SpeechBubbleBronze</t>
  </si>
  <si>
    <t>silver speech bubble</t>
  </si>
  <si>
    <t>Commemorative gift for introducing 20 types of island lingo. You've got skills!</t>
  </si>
  <si>
    <t>SpeechBubbleSilver</t>
  </si>
  <si>
    <t>gold speech bubble</t>
  </si>
  <si>
    <t>Commemorative gift for introducing 50 types of island lingo. The island's abuzz!</t>
  </si>
  <si>
    <t>SpeechBubbleGold</t>
  </si>
  <si>
    <t>platinum speech bubble</t>
  </si>
  <si>
    <t>Commemorative gift for introducing 100 types of island lingo. Are you a linguist?!</t>
  </si>
  <si>
    <t>SpeechBubblePlatinum</t>
  </si>
  <si>
    <t>bronze palette</t>
  </si>
  <si>
    <t>A gift for making 10 kinds of items in the Palette House workshop. Great start!</t>
  </si>
  <si>
    <t>BrushBronze</t>
  </si>
  <si>
    <t>silver palette</t>
  </si>
  <si>
    <t>A gift for making 20 kinds of items in the Palette House workshop. You're cooking!</t>
  </si>
  <si>
    <t>BrushSilver</t>
  </si>
  <si>
    <t>gold palette</t>
  </si>
  <si>
    <t>A gift for making 50 kinds of items in the Palette House workshop. Look at you go!</t>
  </si>
  <si>
    <t>BrushGold</t>
  </si>
  <si>
    <t>platinum palette</t>
  </si>
  <si>
    <t>A gift for making 100 kinds of items in the Palette House workshop. Triple digits!</t>
  </si>
  <si>
    <t>BrushPlatinum</t>
  </si>
  <si>
    <t>Icon 1</t>
  </si>
  <si>
    <t>Icon 2</t>
  </si>
  <si>
    <t>Icon 3</t>
  </si>
  <si>
    <t>Icon 4</t>
  </si>
  <si>
    <t>Icon 5</t>
  </si>
  <si>
    <t>Icon 6</t>
  </si>
  <si>
    <t>Icon 7</t>
  </si>
  <si>
    <t>Icon 8</t>
  </si>
  <si>
    <t>Gender</t>
  </si>
  <si>
    <t>Category</t>
  </si>
  <si>
    <t>Season</t>
  </si>
  <si>
    <t>Is kids</t>
  </si>
  <si>
    <t>Is dirty</t>
  </si>
  <si>
    <t>Is swimwear</t>
  </si>
  <si>
    <t>Is unreal</t>
  </si>
  <si>
    <t>Is not wear auto</t>
  </si>
  <si>
    <t>Is not for sale</t>
  </si>
  <si>
    <t>Ass. Tops</t>
  </si>
  <si>
    <t>Ass. Long Tops</t>
  </si>
  <si>
    <t>Ass. Legwear</t>
  </si>
  <si>
    <t>Ass. Headwear</t>
  </si>
  <si>
    <t>Ass. Accessory</t>
  </si>
  <si>
    <t>Ass. Socks</t>
  </si>
  <si>
    <t>Ass. Shoes</t>
  </si>
  <si>
    <t>Ass. Costume</t>
  </si>
  <si>
    <t>Typical cloth type</t>
  </si>
  <si>
    <t>Icon 9</t>
  </si>
  <si>
    <t>Icon 10</t>
  </si>
  <si>
    <t>Icon 11</t>
  </si>
  <si>
    <t>Icon 12</t>
  </si>
  <si>
    <t>Icon 13</t>
  </si>
  <si>
    <t>Icon 14</t>
  </si>
  <si>
    <t>Icon 15</t>
  </si>
  <si>
    <t>Icon 16</t>
  </si>
  <si>
    <t>Icon 17</t>
  </si>
  <si>
    <t>ABC-loungewear outfit</t>
  </si>
  <si>
    <t>-</t>
  </si>
  <si>
    <t>$25.70</t>
  </si>
  <si>
    <t>Unisex</t>
  </si>
  <si>
    <t>Pants</t>
  </si>
  <si>
    <t>All</t>
  </si>
  <si>
    <t>ABC sweatshirt</t>
  </si>
  <si>
    <t>ABC pants</t>
  </si>
  <si>
    <t>slippers</t>
  </si>
  <si>
    <t>Tops</t>
  </si>
  <si>
    <t>Coordinate0166</t>
  </si>
  <si>
    <t>aerobics outfit</t>
  </si>
  <si>
    <t>$38.90</t>
  </si>
  <si>
    <t>aerobics leotard</t>
  </si>
  <si>
    <t>no-show socks</t>
  </si>
  <si>
    <t>shoes with colorful socks</t>
  </si>
  <si>
    <t>Topslong</t>
  </si>
  <si>
    <t>Coordinate0337</t>
  </si>
  <si>
    <t>all-black outfit</t>
  </si>
  <si>
    <t>$69.70</t>
  </si>
  <si>
    <t>Winter</t>
  </si>
  <si>
    <t>asymmetric coat</t>
  </si>
  <si>
    <t>slit pants</t>
  </si>
  <si>
    <t>trilby</t>
  </si>
  <si>
    <t>plain socks</t>
  </si>
  <si>
    <t>studded dress shoes</t>
  </si>
  <si>
    <t>Coordinate0283</t>
  </si>
  <si>
    <t>all-out summer-vacay outfit</t>
  </si>
  <si>
    <t>$39.00</t>
  </si>
  <si>
    <t>Summer</t>
  </si>
  <si>
    <t>tank top</t>
  </si>
  <si>
    <t>short shorts</t>
  </si>
  <si>
    <t>straw hat</t>
  </si>
  <si>
    <t>flip-flops</t>
  </si>
  <si>
    <t>Coordinate0079</t>
  </si>
  <si>
    <t>angel costume</t>
  </si>
  <si>
    <t>$67.90</t>
  </si>
  <si>
    <t>Skirt</t>
  </si>
  <si>
    <t>chiton dress</t>
  </si>
  <si>
    <t>angel halo</t>
  </si>
  <si>
    <t>angel wings</t>
  </si>
  <si>
    <t>gladiator sandals</t>
  </si>
  <si>
    <t>Coordinate0117</t>
  </si>
  <si>
    <t>anorak-jacket outfit</t>
  </si>
  <si>
    <t>$48.60</t>
  </si>
  <si>
    <t>0x8d54163</t>
  </si>
  <si>
    <t>painter pants</t>
  </si>
  <si>
    <t>fisherman beanie</t>
  </si>
  <si>
    <t>multicolored striped socks</t>
  </si>
  <si>
    <t>bright sneakers</t>
  </si>
  <si>
    <t>Coordinate0290</t>
  </si>
  <si>
    <t>ao gam outfit</t>
  </si>
  <si>
    <t>$58.00</t>
  </si>
  <si>
    <t>ao gam</t>
  </si>
  <si>
    <t>basic wide-leg pants</t>
  </si>
  <si>
    <t>conical hat</t>
  </si>
  <si>
    <t>business shoes</t>
  </si>
  <si>
    <t>Coordinate0274</t>
  </si>
  <si>
    <t>argyle-vest outfit</t>
  </si>
  <si>
    <t>$32.80</t>
  </si>
  <si>
    <t>argyle vest</t>
  </si>
  <si>
    <t>jeans</t>
  </si>
  <si>
    <t>accented socks</t>
  </si>
  <si>
    <t>loafers</t>
  </si>
  <si>
    <t>Coordinate0023</t>
  </si>
  <si>
    <t>aristocratic-coat costume</t>
  </si>
  <si>
    <t>$1,643.10</t>
  </si>
  <si>
    <t>aristocratic clothes</t>
  </si>
  <si>
    <t>ClothBottomsPantsLongHotFishIto</t>
  </si>
  <si>
    <t>rose corsage</t>
  </si>
  <si>
    <t>tights</t>
  </si>
  <si>
    <t>buckle loafers</t>
  </si>
  <si>
    <t>Coordinate0178</t>
  </si>
  <si>
    <t>astronaut costume</t>
  </si>
  <si>
    <t>$5,000.00</t>
  </si>
  <si>
    <t>astronaut helmet</t>
  </si>
  <si>
    <t>astronaut suit</t>
  </si>
  <si>
    <t>Coordinate0123</t>
  </si>
  <si>
    <t>B-3 outfit</t>
  </si>
  <si>
    <t>$60.80</t>
  </si>
  <si>
    <t>B-3 jacket</t>
  </si>
  <si>
    <t>down pants</t>
  </si>
  <si>
    <t>trapper hat</t>
  </si>
  <si>
    <t>jacquard socks</t>
  </si>
  <si>
    <t>nubuck boots</t>
  </si>
  <si>
    <t>Coordinate0288</t>
  </si>
  <si>
    <t>baby-bird costume</t>
  </si>
  <si>
    <t>$48.00</t>
  </si>
  <si>
    <t>eggshell hat</t>
  </si>
  <si>
    <t>bird suit</t>
  </si>
  <si>
    <t>Coordinate0099</t>
  </si>
  <si>
    <t>baby-snapsuit outfit</t>
  </si>
  <si>
    <t>$46.00</t>
  </si>
  <si>
    <t>baby bonnet</t>
  </si>
  <si>
    <t>baby snapsuit</t>
  </si>
  <si>
    <t>Coordinate0165</t>
  </si>
  <si>
    <t>baji jeogori outfit</t>
  </si>
  <si>
    <t>$60.30</t>
  </si>
  <si>
    <t>baji jeogori</t>
  </si>
  <si>
    <t>ankle socks</t>
  </si>
  <si>
    <t>traditional Korean shoes</t>
  </si>
  <si>
    <t>Coordinate0293</t>
  </si>
  <si>
    <t>baseball uniform</t>
  </si>
  <si>
    <t>$60.00</t>
  </si>
  <si>
    <t>baseball attire</t>
  </si>
  <si>
    <t>baseball cap</t>
  </si>
  <si>
    <t>double-striped socks</t>
  </si>
  <si>
    <t>cleats</t>
  </si>
  <si>
    <t>Coordinate0238</t>
  </si>
  <si>
    <t>basic-dress-shirt outfit</t>
  </si>
  <si>
    <t>$33.40</t>
  </si>
  <si>
    <t>basic dress shirt</t>
  </si>
  <si>
    <t>chino pants</t>
  </si>
  <si>
    <t>Coordinate0004</t>
  </si>
  <si>
    <t>basic-pullover outfit</t>
  </si>
  <si>
    <t>$31.80</t>
  </si>
  <si>
    <t>basic pullover hoodie</t>
  </si>
  <si>
    <t>rubber-toe high-tops</t>
  </si>
  <si>
    <t>Coordinate0109</t>
  </si>
  <si>
    <t>basic-sweatshirt outfit</t>
  </si>
  <si>
    <t>$31.20</t>
  </si>
  <si>
    <t>basic sweatshirt</t>
  </si>
  <si>
    <t>cargo pants</t>
  </si>
  <si>
    <t>basic sneakers</t>
  </si>
  <si>
    <t>Coordinate0012</t>
  </si>
  <si>
    <t>basic-tee outfit</t>
  </si>
  <si>
    <t>$30.90</t>
  </si>
  <si>
    <t>basic tee</t>
  </si>
  <si>
    <t>slip-ons</t>
  </si>
  <si>
    <t>Coordinate0001</t>
  </si>
  <si>
    <t>basic-turtleneck outfit</t>
  </si>
  <si>
    <t>$31.70</t>
  </si>
  <si>
    <t>basic turtleneck</t>
  </si>
  <si>
    <t>Coordinate0164</t>
  </si>
  <si>
    <t>basketball uniform</t>
  </si>
  <si>
    <t>$35.70</t>
  </si>
  <si>
    <t>basketball tank top</t>
  </si>
  <si>
    <t>basketball shorts</t>
  </si>
  <si>
    <t>high-tops</t>
  </si>
  <si>
    <t>Coordinate0211</t>
  </si>
  <si>
    <t>bear costume</t>
  </si>
  <si>
    <t>$51.00</t>
  </si>
  <si>
    <t>bear hood</t>
  </si>
  <si>
    <t>bear suit</t>
  </si>
  <si>
    <t>Coordinate0194</t>
  </si>
  <si>
    <t>bear-ear-cap outfit</t>
  </si>
  <si>
    <t>$49.80</t>
  </si>
  <si>
    <t>heart tee</t>
  </si>
  <si>
    <t>bear-ear beanie</t>
  </si>
  <si>
    <t>0xdd8df19</t>
  </si>
  <si>
    <t>Headwear</t>
  </si>
  <si>
    <t>Coordinate0076</t>
  </si>
  <si>
    <t>bee costume</t>
  </si>
  <si>
    <t>$45.00</t>
  </si>
  <si>
    <t>bee hat</t>
  </si>
  <si>
    <t>bee suit</t>
  </si>
  <si>
    <t>Coordinate0119</t>
  </si>
  <si>
    <t>biker outfit</t>
  </si>
  <si>
    <t>$65.50</t>
  </si>
  <si>
    <t>biker jacket</t>
  </si>
  <si>
    <t>rocker jeans</t>
  </si>
  <si>
    <t>half helmet and goggles</t>
  </si>
  <si>
    <t>engineer boots</t>
  </si>
  <si>
    <t>Coordinate0133</t>
  </si>
  <si>
    <t>bird costume</t>
  </si>
  <si>
    <t>bird hood</t>
  </si>
  <si>
    <t>Coordinate0108</t>
  </si>
  <si>
    <t>blazer-with-necktie outfit</t>
  </si>
  <si>
    <t>$37.40</t>
  </si>
  <si>
    <t>blazer with necktie</t>
  </si>
  <si>
    <t>school slacks</t>
  </si>
  <si>
    <t>Coordinate0083</t>
  </si>
  <si>
    <t>bodysuit outfit</t>
  </si>
  <si>
    <t>$35.00</t>
  </si>
  <si>
    <t>bodysuit cap</t>
  </si>
  <si>
    <t>bodysuit</t>
  </si>
  <si>
    <t>Coordinate0121</t>
  </si>
  <si>
    <t>bomber-jacket outfit</t>
  </si>
  <si>
    <t>$32.30</t>
  </si>
  <si>
    <t>bomber jacket</t>
  </si>
  <si>
    <t>Coordinate0047</t>
  </si>
  <si>
    <t>breezy business outfit</t>
  </si>
  <si>
    <t>basic short-sleeve dress shirt</t>
  </si>
  <si>
    <t>slacks</t>
  </si>
  <si>
    <t>Coordinate0092</t>
  </si>
  <si>
    <t>business suit &amp; tie outfit</t>
  </si>
  <si>
    <t>$42.50</t>
  </si>
  <si>
    <t>business-suit jacket and tie</t>
  </si>
  <si>
    <t>Coordinate0019</t>
  </si>
  <si>
    <t>cardboard-box costume</t>
  </si>
  <si>
    <t>$10.00</t>
  </si>
  <si>
    <t>cardboard-box mask</t>
  </si>
  <si>
    <t>cardboard-box suit</t>
  </si>
  <si>
    <t>Coordinate0189</t>
  </si>
  <si>
    <t>cardboard-robot costume</t>
  </si>
  <si>
    <t>$12.00</t>
  </si>
  <si>
    <t>cardboard-robot suit</t>
  </si>
  <si>
    <t>Coordinate0346</t>
  </si>
  <si>
    <t>cargo-shorts outfit</t>
  </si>
  <si>
    <t>$31.50</t>
  </si>
  <si>
    <t>big-number jersey</t>
  </si>
  <si>
    <t>cargo shorts</t>
  </si>
  <si>
    <t>striped-cuff ankle socks</t>
  </si>
  <si>
    <t>Coordinate0006</t>
  </si>
  <si>
    <t>casual cardigan outfit</t>
  </si>
  <si>
    <t>dress shirt and cardigan</t>
  </si>
  <si>
    <t>Coordinate0011</t>
  </si>
  <si>
    <t>casual-kimono outfit</t>
  </si>
  <si>
    <t>$59.50</t>
  </si>
  <si>
    <t>casual kimono</t>
  </si>
  <si>
    <t>tabi socks</t>
  </si>
  <si>
    <t>Japanese sandals</t>
  </si>
  <si>
    <t>Coordinate0298</t>
  </si>
  <si>
    <t>casual vest outfit</t>
  </si>
  <si>
    <t>$53.00</t>
  </si>
  <si>
    <t>vest and tee</t>
  </si>
  <si>
    <t>colorful pants</t>
  </si>
  <si>
    <t>Coordinate0024</t>
  </si>
  <si>
    <t>catcher uniform</t>
  </si>
  <si>
    <t>$75.00</t>
  </si>
  <si>
    <t>catcher attire</t>
  </si>
  <si>
    <t>catcher's mask</t>
  </si>
  <si>
    <t>Coordinate0342</t>
  </si>
  <si>
    <t>cat costume</t>
  </si>
  <si>
    <t>$44.00</t>
  </si>
  <si>
    <t>cat hood</t>
  </si>
  <si>
    <t>cat suit</t>
  </si>
  <si>
    <t>Coordinate0125</t>
  </si>
  <si>
    <t>chef outfit</t>
  </si>
  <si>
    <t>$53.90</t>
  </si>
  <si>
    <t>chef clothing</t>
  </si>
  <si>
    <t>chef hat</t>
  </si>
  <si>
    <t>Coordinate0077</t>
  </si>
  <si>
    <t>cheongsam outfit</t>
  </si>
  <si>
    <t>cheongsam</t>
  </si>
  <si>
    <t>kung-fu shoes</t>
  </si>
  <si>
    <t>Coordinate0199</t>
  </si>
  <si>
    <t>chicken costume</t>
  </si>
  <si>
    <t>$63.00</t>
  </si>
  <si>
    <t>chicken hood</t>
  </si>
  <si>
    <t>chicken suit</t>
  </si>
  <si>
    <t>Coordinate0304</t>
  </si>
  <si>
    <t>city-walk outfit</t>
  </si>
  <si>
    <t>$49.10</t>
  </si>
  <si>
    <t>zip-up hoodie</t>
  </si>
  <si>
    <t>checkered wide-leg pants</t>
  </si>
  <si>
    <t>city backpack</t>
  </si>
  <si>
    <t>rubber-toe sneakers</t>
  </si>
  <si>
    <t>Coordinate0143</t>
  </si>
  <si>
    <t>coach-jacket outfit</t>
  </si>
  <si>
    <t>$37.10</t>
  </si>
  <si>
    <t>coach jacket</t>
  </si>
  <si>
    <t>metallic sneakers</t>
  </si>
  <si>
    <t>Coordinate0031</t>
  </si>
  <si>
    <t>collarless-coat outfit</t>
  </si>
  <si>
    <t>$44.20</t>
  </si>
  <si>
    <t>collarless coat</t>
  </si>
  <si>
    <t>corduroy pants</t>
  </si>
  <si>
    <t>retro checkered socks</t>
  </si>
  <si>
    <t>Coordinate0285</t>
  </si>
  <si>
    <t>color-blocked-tee outfit</t>
  </si>
  <si>
    <t>color-blocked tee</t>
  </si>
  <si>
    <t>Coordinate0029</t>
  </si>
  <si>
    <t>comfy sweats outfit</t>
  </si>
  <si>
    <t>$28.00</t>
  </si>
  <si>
    <t>sweatpants</t>
  </si>
  <si>
    <t>shower sandals</t>
  </si>
  <si>
    <t>Coordinate0069</t>
  </si>
  <si>
    <t>compression outfit</t>
  </si>
  <si>
    <t>compression shirt</t>
  </si>
  <si>
    <t>training pants</t>
  </si>
  <si>
    <t>workout tights</t>
  </si>
  <si>
    <t>side-stripe sneakers</t>
  </si>
  <si>
    <t>Coordinate0330</t>
  </si>
  <si>
    <t>cool leather outfit</t>
  </si>
  <si>
    <t>$57.70</t>
  </si>
  <si>
    <t>0x2a6586b</t>
  </si>
  <si>
    <t>studded leather choker</t>
  </si>
  <si>
    <t>punk boots</t>
  </si>
  <si>
    <t>Coordinate0287</t>
  </si>
  <si>
    <t>corduroy outfit</t>
  </si>
  <si>
    <t>$40.10</t>
  </si>
  <si>
    <t>corduroy jacket</t>
  </si>
  <si>
    <t>Coordinate0258</t>
  </si>
  <si>
    <t>cosmic outfit</t>
  </si>
  <si>
    <t>$56.70</t>
  </si>
  <si>
    <t>spacey sweater</t>
  </si>
  <si>
    <t>spacey shorts</t>
  </si>
  <si>
    <t>0xe06d2e6</t>
  </si>
  <si>
    <t>spacey tights</t>
  </si>
  <si>
    <t>spacey sneakers</t>
  </si>
  <si>
    <t>Coordinate0276</t>
  </si>
  <si>
    <t>country outfit</t>
  </si>
  <si>
    <t>$53.30</t>
  </si>
  <si>
    <t>overalls</t>
  </si>
  <si>
    <t>rain boots</t>
  </si>
  <si>
    <t>Coordinate0087</t>
  </si>
  <si>
    <t>cow costume</t>
  </si>
  <si>
    <t>cow hood</t>
  </si>
  <si>
    <t>cow suit</t>
  </si>
  <si>
    <t>Coordinate0207</t>
  </si>
  <si>
    <t>Cowichan-sweater outfit</t>
  </si>
  <si>
    <t>$33.30</t>
  </si>
  <si>
    <t>Cowichan sweater</t>
  </si>
  <si>
    <t>Coordinate0046</t>
  </si>
  <si>
    <t>crazy-color-shirt outfit</t>
  </si>
  <si>
    <t>$40.40</t>
  </si>
  <si>
    <t>crazy-color shirt</t>
  </si>
  <si>
    <t>Coordinate0148</t>
  </si>
  <si>
    <t>cyberpunk costume</t>
  </si>
  <si>
    <t>$188.00</t>
  </si>
  <si>
    <t>cyberpunk helmet</t>
  </si>
  <si>
    <t>cyberpunk suit</t>
  </si>
  <si>
    <t>Coordinate0172</t>
  </si>
  <si>
    <t>cycling uniform</t>
  </si>
  <si>
    <t>$65.70</t>
  </si>
  <si>
    <t>cycling attire</t>
  </si>
  <si>
    <t>bike helmet</t>
  </si>
  <si>
    <t>Coordinate0134</t>
  </si>
  <si>
    <t>denim-jacket outfit</t>
  </si>
  <si>
    <t>denim jacket</t>
  </si>
  <si>
    <t>Coordinate0153</t>
  </si>
  <si>
    <t>detective outfit</t>
  </si>
  <si>
    <t>$57.80</t>
  </si>
  <si>
    <t>trench coat</t>
  </si>
  <si>
    <t>detective hat</t>
  </si>
  <si>
    <t>Coordinate0251</t>
  </si>
  <si>
    <t>devil costume</t>
  </si>
  <si>
    <t>$58.60</t>
  </si>
  <si>
    <t>devil hood</t>
  </si>
  <si>
    <t>devil suit</t>
  </si>
  <si>
    <t>Coordinate0118</t>
  </si>
  <si>
    <t>dinosaur costume</t>
  </si>
  <si>
    <t>dinosaur hood</t>
  </si>
  <si>
    <t>0xf21c677</t>
  </si>
  <si>
    <t>Coordinate0112</t>
  </si>
  <si>
    <t>disco-star outfit</t>
  </si>
  <si>
    <t>$81.40</t>
  </si>
  <si>
    <t>disco-star jumpsuit</t>
  </si>
  <si>
    <t>sparkling stars</t>
  </si>
  <si>
    <t>leather boots</t>
  </si>
  <si>
    <t>Coordinate0171</t>
  </si>
  <si>
    <t>diving costume</t>
  </si>
  <si>
    <t>$87.00</t>
  </si>
  <si>
    <t>diving helmet</t>
  </si>
  <si>
    <t>diving suit</t>
  </si>
  <si>
    <t>Coordinate0224</t>
  </si>
  <si>
    <t>DJ outfit</t>
  </si>
  <si>
    <t>$62.40</t>
  </si>
  <si>
    <t>sleeveless hoodie</t>
  </si>
  <si>
    <t>track shorts</t>
  </si>
  <si>
    <t>backward cap</t>
  </si>
  <si>
    <t>headphones</t>
  </si>
  <si>
    <t>Coordinate0131</t>
  </si>
  <si>
    <t>dog costume</t>
  </si>
  <si>
    <t>$50.00</t>
  </si>
  <si>
    <t>dog hood</t>
  </si>
  <si>
    <t>dog suit</t>
  </si>
  <si>
    <t>Coordinate0124</t>
  </si>
  <si>
    <t>dog-logo-tracksuit outfit</t>
  </si>
  <si>
    <t>$50.50</t>
  </si>
  <si>
    <t>dog-logo jacket</t>
  </si>
  <si>
    <t>dog-logo pants</t>
  </si>
  <si>
    <t>display-only sunglasses</t>
  </si>
  <si>
    <t>Coordinate0329</t>
  </si>
  <si>
    <t>dotted-shirt outfit</t>
  </si>
  <si>
    <t>$33.60</t>
  </si>
  <si>
    <t>dotted shirt</t>
  </si>
  <si>
    <t>Coordinate0055</t>
  </si>
  <si>
    <t>down-jacket outfit</t>
  </si>
  <si>
    <t>$34.00</t>
  </si>
  <si>
    <t>down jacket</t>
  </si>
  <si>
    <t>knit pants</t>
  </si>
  <si>
    <t>Coordinate0045</t>
  </si>
  <si>
    <t>dragon costume</t>
  </si>
  <si>
    <t>$95.00</t>
  </si>
  <si>
    <t>dragon hood</t>
  </si>
  <si>
    <t>dragon suit</t>
  </si>
  <si>
    <t>Coordinate0306</t>
  </si>
  <si>
    <t>exercise outfit</t>
  </si>
  <si>
    <t>$48.50</t>
  </si>
  <si>
    <t>0xef382a3</t>
  </si>
  <si>
    <t>shorts</t>
  </si>
  <si>
    <t>spats</t>
  </si>
  <si>
    <t>Coordinate0323</t>
  </si>
  <si>
    <t>explorer outfit</t>
  </si>
  <si>
    <t>$77.60</t>
  </si>
  <si>
    <t>explorer's attire</t>
  </si>
  <si>
    <t>explorer hat</t>
  </si>
  <si>
    <t>travel bag</t>
  </si>
  <si>
    <t>Coordinate0244</t>
  </si>
  <si>
    <t>far-future costume</t>
  </si>
  <si>
    <t>0x3b94480</t>
  </si>
  <si>
    <t>far-future suit</t>
  </si>
  <si>
    <t>Coordinate0204</t>
  </si>
  <si>
    <t>figure-skating costume</t>
  </si>
  <si>
    <t>figure-skating top</t>
  </si>
  <si>
    <t>ice skates</t>
  </si>
  <si>
    <t>Coordinate0222</t>
  </si>
  <si>
    <t>firefighter outfit</t>
  </si>
  <si>
    <t>$83.50</t>
  </si>
  <si>
    <t>firefighter attire</t>
  </si>
  <si>
    <t>firefighter helmet</t>
  </si>
  <si>
    <t>Coordinate0271</t>
  </si>
  <si>
    <t>fish-folk costume</t>
  </si>
  <si>
    <t>$55.00</t>
  </si>
  <si>
    <t>fish hood</t>
  </si>
  <si>
    <t>fish-folk suit</t>
  </si>
  <si>
    <t>Coordinate0210</t>
  </si>
  <si>
    <t>flannel-shirt outfit</t>
  </si>
  <si>
    <t>$33.50</t>
  </si>
  <si>
    <t>flannel shirt</t>
  </si>
  <si>
    <t>lace-up boots</t>
  </si>
  <si>
    <t>Coordinate0032</t>
  </si>
  <si>
    <t>fleece-pullover outfit</t>
  </si>
  <si>
    <t>$48.30</t>
  </si>
  <si>
    <t>half-zip fleece pullover</t>
  </si>
  <si>
    <t>outdoor hat</t>
  </si>
  <si>
    <t>hiking shoes</t>
  </si>
  <si>
    <t>Coordinate0163</t>
  </si>
  <si>
    <t>flower costume</t>
  </si>
  <si>
    <t>flower hood</t>
  </si>
  <si>
    <t>Coordinate0190</t>
  </si>
  <si>
    <t>fly-fisher outfit</t>
  </si>
  <si>
    <t>$58.90</t>
  </si>
  <si>
    <t>waders</t>
  </si>
  <si>
    <t>0x5b20208</t>
  </si>
  <si>
    <t>Coordinate0157</t>
  </si>
  <si>
    <t>football uniform</t>
  </si>
  <si>
    <t>$69.00</t>
  </si>
  <si>
    <t>football attire</t>
  </si>
  <si>
    <t>football helmet</t>
  </si>
  <si>
    <t>Coordinate0344</t>
  </si>
  <si>
    <t>formal suspenders outfit</t>
  </si>
  <si>
    <t>$46.50</t>
  </si>
  <si>
    <t>formal suspenders getup</t>
  </si>
  <si>
    <t>Coordinate0339</t>
  </si>
  <si>
    <t>formal vest outfit</t>
  </si>
  <si>
    <t>$38.50</t>
  </si>
  <si>
    <t>dress shirt with vest</t>
  </si>
  <si>
    <t>Coordinate0162</t>
  </si>
  <si>
    <t>frog costume</t>
  </si>
  <si>
    <t>$52.60</t>
  </si>
  <si>
    <t>frog hood</t>
  </si>
  <si>
    <t>frog suit</t>
  </si>
  <si>
    <t>Coordinate0094</t>
  </si>
  <si>
    <t>fruit-print-tee outfit</t>
  </si>
  <si>
    <t>$26.50</t>
  </si>
  <si>
    <t>fruit-print tee</t>
  </si>
  <si>
    <t>hiking shorts</t>
  </si>
  <si>
    <t>Coordinate0043</t>
  </si>
  <si>
    <t>garden-gnome costume</t>
  </si>
  <si>
    <t>$56.00</t>
  </si>
  <si>
    <t>garden-gnome shirt</t>
  </si>
  <si>
    <t>suede pants</t>
  </si>
  <si>
    <t>pointed hat</t>
  </si>
  <si>
    <t>antique boots</t>
  </si>
  <si>
    <t>Coordinate0266</t>
  </si>
  <si>
    <t>gaudy-suit outfit</t>
  </si>
  <si>
    <t>$40.20</t>
  </si>
  <si>
    <t>gaudy suit jacket</t>
  </si>
  <si>
    <t>Coordinate0098</t>
  </si>
  <si>
    <t>geometric-print-tee outfit</t>
  </si>
  <si>
    <t>$51.80</t>
  </si>
  <si>
    <t>geometric-print tee</t>
  </si>
  <si>
    <t>tie-dye bucket hat</t>
  </si>
  <si>
    <t>Coordinate0056</t>
  </si>
  <si>
    <t>gingham outfit</t>
  </si>
  <si>
    <t>$33.70</t>
  </si>
  <si>
    <t>gingham shirt</t>
  </si>
  <si>
    <t>checkered-hem pants</t>
  </si>
  <si>
    <t>Coordinate0028</t>
  </si>
  <si>
    <t>gladiator costume</t>
  </si>
  <si>
    <t>$234.90</t>
  </si>
  <si>
    <t>gladiator armor</t>
  </si>
  <si>
    <t>gladiator helmet</t>
  </si>
  <si>
    <t>knight sword</t>
  </si>
  <si>
    <t>Coordinate0314</t>
  </si>
  <si>
    <t>goodnight pajama outfit</t>
  </si>
  <si>
    <t>$32.00</t>
  </si>
  <si>
    <t>pajama shirt</t>
  </si>
  <si>
    <t>pajama pants</t>
  </si>
  <si>
    <t>sleeping cap</t>
  </si>
  <si>
    <t>Coordinate0111</t>
  </si>
  <si>
    <t>gothic prince outfit</t>
  </si>
  <si>
    <t>$48.70</t>
  </si>
  <si>
    <t>frilled blouse</t>
  </si>
  <si>
    <t>basic shorts</t>
  </si>
  <si>
    <t>mini top hat</t>
  </si>
  <si>
    <t>ruffled socks</t>
  </si>
  <si>
    <t>Coordinate0025</t>
  </si>
  <si>
    <t>graduation outfit</t>
  </si>
  <si>
    <t>graduation robe</t>
  </si>
  <si>
    <t>graduate cap</t>
  </si>
  <si>
    <t>Coordinate0068</t>
  </si>
  <si>
    <t>grunge outfit</t>
  </si>
  <si>
    <t>$50.90</t>
  </si>
  <si>
    <t>short-sleeve grunge shirt</t>
  </si>
  <si>
    <t>bucket hat</t>
  </si>
  <si>
    <t>Coordinate0219</t>
  </si>
  <si>
    <t>hamster costume</t>
  </si>
  <si>
    <t>hamster hood</t>
  </si>
  <si>
    <t>hamster suit</t>
  </si>
  <si>
    <t>Coordinate0197</t>
  </si>
  <si>
    <t>heart-to-heart outfit</t>
  </si>
  <si>
    <t>$42.40</t>
  </si>
  <si>
    <t>heart-print cap</t>
  </si>
  <si>
    <t>Coordinate0155</t>
  </si>
  <si>
    <t>hemp-leaf-yukata outfit</t>
  </si>
  <si>
    <t>$45.80</t>
  </si>
  <si>
    <t>hemp-leaf yukata</t>
  </si>
  <si>
    <t>geta</t>
  </si>
  <si>
    <t>Coordinate0269</t>
  </si>
  <si>
    <t>hero costume</t>
  </si>
  <si>
    <t>$69.80</t>
  </si>
  <si>
    <t>hero helmet</t>
  </si>
  <si>
    <t>hero suit</t>
  </si>
  <si>
    <t>Coordinate0122</t>
  </si>
  <si>
    <t>hibiscus-print-shirt outfit</t>
  </si>
  <si>
    <t>$25.40</t>
  </si>
  <si>
    <t>hibiscus-print shirt</t>
  </si>
  <si>
    <t>Coordinate0042</t>
  </si>
  <si>
    <t>hiking outfit</t>
  </si>
  <si>
    <t>$33.80</t>
  </si>
  <si>
    <t>mountain parka</t>
  </si>
  <si>
    <t>Coordinate0048</t>
  </si>
  <si>
    <t>hip-hop outfit</t>
  </si>
  <si>
    <t>$83.20</t>
  </si>
  <si>
    <t>long-sleeve logo sweatshirt</t>
  </si>
  <si>
    <t>flashy medallion</t>
  </si>
  <si>
    <t>Coordinate0130</t>
  </si>
  <si>
    <t>holiday-party outfit</t>
  </si>
  <si>
    <t>$62.20</t>
  </si>
  <si>
    <t>ugly holiday sweater</t>
  </si>
  <si>
    <t>Santa hat</t>
  </si>
  <si>
    <t>bear slippers</t>
  </si>
  <si>
    <t>Coordinate0236</t>
  </si>
  <si>
    <t>holiday-tree costume</t>
  </si>
  <si>
    <t>$61.00</t>
  </si>
  <si>
    <t>holiday-tree dress</t>
  </si>
  <si>
    <t>star hood</t>
  </si>
  <si>
    <t>Coordinate0115</t>
  </si>
  <si>
    <t>horse costume</t>
  </si>
  <si>
    <t>horse hood</t>
  </si>
  <si>
    <t>horse suit</t>
  </si>
  <si>
    <t>Coordinate0320</t>
  </si>
  <si>
    <t>hot-dog costume</t>
  </si>
  <si>
    <t>hot-dog hood</t>
  </si>
  <si>
    <t>hot-dog suit</t>
  </si>
  <si>
    <t>Coordinate0100</t>
  </si>
  <si>
    <t>ice-cream-tee outfit</t>
  </si>
  <si>
    <t>ice-cream tee</t>
  </si>
  <si>
    <t>Coordinate0096</t>
  </si>
  <si>
    <t>ice-hockey uniform</t>
  </si>
  <si>
    <t>$71.00</t>
  </si>
  <si>
    <t>ice-hockey attire</t>
  </si>
  <si>
    <t>ice-hockey helmet</t>
  </si>
  <si>
    <t>Coordinate0341</t>
  </si>
  <si>
    <t>jack-o'-lantern costume</t>
  </si>
  <si>
    <t>$57.00</t>
  </si>
  <si>
    <t>Autumn</t>
  </si>
  <si>
    <t>jack-o'-lantern mask</t>
  </si>
  <si>
    <t>jack-o'-lantern suit</t>
  </si>
  <si>
    <t>Coordinate0188</t>
  </si>
  <si>
    <t>Japanese-print outfit</t>
  </si>
  <si>
    <t>$46.80</t>
  </si>
  <si>
    <t>0x999299e</t>
  </si>
  <si>
    <t>jorts</t>
  </si>
  <si>
    <t>Japanese mesh cap</t>
  </si>
  <si>
    <t>comfy backless sandals</t>
  </si>
  <si>
    <t>Coordinate0182</t>
  </si>
  <si>
    <t>jester costume</t>
  </si>
  <si>
    <t>jester hat</t>
  </si>
  <si>
    <t>jester suit</t>
  </si>
  <si>
    <t>Coordinate0213</t>
  </si>
  <si>
    <t>jockey uniform</t>
  </si>
  <si>
    <t>$57.20</t>
  </si>
  <si>
    <t>jockey attire</t>
  </si>
  <si>
    <t>jockey cap</t>
  </si>
  <si>
    <t>Coordinate0338</t>
  </si>
  <si>
    <t>jogging outfit</t>
  </si>
  <si>
    <t>jogging jacket</t>
  </si>
  <si>
    <t>running shorts</t>
  </si>
  <si>
    <t>Coordinate0179</t>
  </si>
  <si>
    <t>knight costume</t>
  </si>
  <si>
    <t>$1,070.00</t>
  </si>
  <si>
    <t>knight helmet</t>
  </si>
  <si>
    <t>suit of armor</t>
  </si>
  <si>
    <t>Coordinate0120</t>
  </si>
  <si>
    <t>koala costume</t>
  </si>
  <si>
    <t>koala hood</t>
  </si>
  <si>
    <t>koala suit</t>
  </si>
  <si>
    <t>Coordinate0265</t>
  </si>
  <si>
    <t>kung-fu uniform</t>
  </si>
  <si>
    <t>kung-fu shirt</t>
  </si>
  <si>
    <t>Coordinate0200</t>
  </si>
  <si>
    <t>kurta outfit</t>
  </si>
  <si>
    <t>kurta</t>
  </si>
  <si>
    <t>beaded slip-ons</t>
  </si>
  <si>
    <t>Coordinate0273</t>
  </si>
  <si>
    <t>lab-coat outfit</t>
  </si>
  <si>
    <t>$31.40</t>
  </si>
  <si>
    <t>lab coat</t>
  </si>
  <si>
    <t>Coordinate0132</t>
  </si>
  <si>
    <t>lettered-tee outfit</t>
  </si>
  <si>
    <t>$32.20</t>
  </si>
  <si>
    <t>lettered tee</t>
  </si>
  <si>
    <t>Coordinate0215</t>
  </si>
  <si>
    <t>lion costume</t>
  </si>
  <si>
    <t>lion hood</t>
  </si>
  <si>
    <t>lion suit</t>
  </si>
  <si>
    <t>Coordinate0193</t>
  </si>
  <si>
    <t>long-sleeve deck-striped outfit</t>
  </si>
  <si>
    <t>ClothTopsYshirtLongShirtNopooky</t>
  </si>
  <si>
    <t>block-checkered socks</t>
  </si>
  <si>
    <t>Coordinate0070</t>
  </si>
  <si>
    <t>long-sleeve striped-tee outfit</t>
  </si>
  <si>
    <t>$41.90</t>
  </si>
  <si>
    <t>long-sleeve striped tee</t>
  </si>
  <si>
    <t>basic cap</t>
  </si>
  <si>
    <t>Coordinate0003</t>
  </si>
  <si>
    <t>luchador uniform</t>
  </si>
  <si>
    <t>$64.10</t>
  </si>
  <si>
    <t>0x51b242</t>
  </si>
  <si>
    <t>luchador mask</t>
  </si>
  <si>
    <t>wrestling boots</t>
  </si>
  <si>
    <t>Coordinate0311</t>
  </si>
  <si>
    <t>marathon outfit</t>
  </si>
  <si>
    <t>$34.70</t>
  </si>
  <si>
    <t>running singlet</t>
  </si>
  <si>
    <t>Coordinate0232</t>
  </si>
  <si>
    <t>mid-shower-doorbell outfit</t>
  </si>
  <si>
    <t>bathrobe</t>
  </si>
  <si>
    <t>shampoo-bubbles hat</t>
  </si>
  <si>
    <t>Coordinate0063</t>
  </si>
  <si>
    <t>mid-shower-phone-call outfit</t>
  </si>
  <si>
    <t>$22.00</t>
  </si>
  <si>
    <t>bath towel</t>
  </si>
  <si>
    <t>Coordinate0196</t>
  </si>
  <si>
    <t>monkey costume</t>
  </si>
  <si>
    <t>monkey hood</t>
  </si>
  <si>
    <t>monkey suit</t>
  </si>
  <si>
    <t>Coordinate0176</t>
  </si>
  <si>
    <t>monster costume</t>
  </si>
  <si>
    <t>monster hood</t>
  </si>
  <si>
    <t>monster suit</t>
  </si>
  <si>
    <t>Coordinate0203</t>
  </si>
  <si>
    <t>mummy costume</t>
  </si>
  <si>
    <t>mummy hat</t>
  </si>
  <si>
    <t>mummy suit</t>
  </si>
  <si>
    <t>Coordinate0307</t>
  </si>
  <si>
    <t>mushroom costume</t>
  </si>
  <si>
    <t>mushroom hat</t>
  </si>
  <si>
    <t>mushroom suit</t>
  </si>
  <si>
    <t>Coordinate0340</t>
  </si>
  <si>
    <t>nautical outfit</t>
  </si>
  <si>
    <t>tee with nautical scarf</t>
  </si>
  <si>
    <t>sailor beret</t>
  </si>
  <si>
    <t>boat shoes</t>
  </si>
  <si>
    <t>Coordinate0261</t>
  </si>
  <si>
    <t>ninja costume</t>
  </si>
  <si>
    <t>$160.60</t>
  </si>
  <si>
    <t>ninja attire</t>
  </si>
  <si>
    <t>ninja hood</t>
  </si>
  <si>
    <t>katana</t>
  </si>
  <si>
    <t>straw sandals</t>
  </si>
  <si>
    <t>Coordinate0262</t>
  </si>
  <si>
    <t>noir-detective outfit</t>
  </si>
  <si>
    <t>$84.20</t>
  </si>
  <si>
    <t>leather coat</t>
  </si>
  <si>
    <t>stole</t>
  </si>
  <si>
    <t>Coordinate0249</t>
  </si>
  <si>
    <t>oni costume</t>
  </si>
  <si>
    <t>oni mask</t>
  </si>
  <si>
    <t>oni suit</t>
  </si>
  <si>
    <t>Coordinate0332</t>
  </si>
  <si>
    <t>open-school-uniform outfit</t>
  </si>
  <si>
    <t>$35.90</t>
  </si>
  <si>
    <t>open-school-uniform top</t>
  </si>
  <si>
    <t>checkered ankle socks</t>
  </si>
  <si>
    <t>Coordinate0318</t>
  </si>
  <si>
    <t>over-sized-tee outfit</t>
  </si>
  <si>
    <t>$51.50</t>
  </si>
  <si>
    <t>oversized tee</t>
  </si>
  <si>
    <t>Coordinate0223</t>
  </si>
  <si>
    <t>painter outfit</t>
  </si>
  <si>
    <t>$40.00</t>
  </si>
  <si>
    <t>painter coveralls</t>
  </si>
  <si>
    <t>basic bandanna</t>
  </si>
  <si>
    <t>Coordinate0097</t>
  </si>
  <si>
    <t>paisley-jacket outfit</t>
  </si>
  <si>
    <t>$34.60</t>
  </si>
  <si>
    <t>paisley jacket</t>
  </si>
  <si>
    <t>Coordinate0051</t>
  </si>
  <si>
    <t>pastel-suit outfit</t>
  </si>
  <si>
    <t>$31.90</t>
  </si>
  <si>
    <t>pastel jacket</t>
  </si>
  <si>
    <t>cropped pants</t>
  </si>
  <si>
    <t>Coordinate0206</t>
  </si>
  <si>
    <t>patterned-shirt outfit</t>
  </si>
  <si>
    <t>$29.50</t>
  </si>
  <si>
    <t>patterned shirt</t>
  </si>
  <si>
    <t>Coordinate0075</t>
  </si>
  <si>
    <t>peacoat outfit</t>
  </si>
  <si>
    <t>peacoat</t>
  </si>
  <si>
    <t>basic scarf</t>
  </si>
  <si>
    <t>Coordinate0017</t>
  </si>
  <si>
    <t>penguin costume</t>
  </si>
  <si>
    <t>penguin hood</t>
  </si>
  <si>
    <t>penguin suit</t>
  </si>
  <si>
    <t>Coordinate0270</t>
  </si>
  <si>
    <t>phantom-thief costume</t>
  </si>
  <si>
    <t>$100.00</t>
  </si>
  <si>
    <t>phantom-thief attire</t>
  </si>
  <si>
    <t>phantom-thief mask</t>
  </si>
  <si>
    <t>Coordinate0335</t>
  </si>
  <si>
    <t>pharaoh costume</t>
  </si>
  <si>
    <t>$253.90</t>
  </si>
  <si>
    <t>pharaoh attire</t>
  </si>
  <si>
    <t>pharaoh headdress</t>
  </si>
  <si>
    <t>Coordinate0315</t>
  </si>
  <si>
    <t>photo-print-tee outfit</t>
  </si>
  <si>
    <t>photo-print tee</t>
  </si>
  <si>
    <t>Coordinate0015</t>
  </si>
  <si>
    <t>pig costume</t>
  </si>
  <si>
    <t>pig hood</t>
  </si>
  <si>
    <t>pig suit</t>
  </si>
  <si>
    <t>Coordinate0308</t>
  </si>
  <si>
    <t>pilot outfit</t>
  </si>
  <si>
    <t>pilot jacket</t>
  </si>
  <si>
    <t>Coordinate0281</t>
  </si>
  <si>
    <t>pineapple costume</t>
  </si>
  <si>
    <t>$46.10</t>
  </si>
  <si>
    <t>pineapple hat</t>
  </si>
  <si>
    <t>pineapple suit</t>
  </si>
  <si>
    <t>Coordinate0255</t>
  </si>
  <si>
    <t>pirate costume</t>
  </si>
  <si>
    <t>$78.00</t>
  </si>
  <si>
    <t>pirate coat</t>
  </si>
  <si>
    <t>pirate hat</t>
  </si>
  <si>
    <t>Coordinate0090</t>
  </si>
  <si>
    <t>plaid-coat outfit</t>
  </si>
  <si>
    <t>$38.00</t>
  </si>
  <si>
    <t>plaid coat</t>
  </si>
  <si>
    <t>Coordinate0284</t>
  </si>
  <si>
    <t>plaid-flannel outfit</t>
  </si>
  <si>
    <t>$33.20</t>
  </si>
  <si>
    <t>plaid-flannel shirt</t>
  </si>
  <si>
    <t>Coordinate0009</t>
  </si>
  <si>
    <t>plaid-jacket outfit</t>
  </si>
  <si>
    <t>$73.70</t>
  </si>
  <si>
    <t>plaid jacket</t>
  </si>
  <si>
    <t>checkered slacks</t>
  </si>
  <si>
    <t>Coordinate0240</t>
  </si>
  <si>
    <t>police uniform</t>
  </si>
  <si>
    <t>$61.50</t>
  </si>
  <si>
    <t>police officer vest</t>
  </si>
  <si>
    <t>police hat</t>
  </si>
  <si>
    <t>Coordinate0214</t>
  </si>
  <si>
    <t>prince costume</t>
  </si>
  <si>
    <t>$866.00</t>
  </si>
  <si>
    <t>princely attire</t>
  </si>
  <si>
    <t>prince crown</t>
  </si>
  <si>
    <t>Coordinate0175</t>
  </si>
  <si>
    <t>punky cargo-pants outfit</t>
  </si>
  <si>
    <t>$47.70</t>
  </si>
  <si>
    <t>skull tee</t>
  </si>
  <si>
    <t>checkered cargo pants</t>
  </si>
  <si>
    <t>striped socks</t>
  </si>
  <si>
    <t>Coordinate0325</t>
  </si>
  <si>
    <t>quilted-jacket outfit</t>
  </si>
  <si>
    <t>quilted jacket</t>
  </si>
  <si>
    <t>Coordinate0095</t>
  </si>
  <si>
    <t>rabbit costume</t>
  </si>
  <si>
    <t>rabbit hood</t>
  </si>
  <si>
    <t>rabbit suit</t>
  </si>
  <si>
    <t>Coordinate0110</t>
  </si>
  <si>
    <t>racing uniform</t>
  </si>
  <si>
    <t>$77.20</t>
  </si>
  <si>
    <t>race-driver attire</t>
  </si>
  <si>
    <t>racing helmet</t>
  </si>
  <si>
    <t>Coordinate0259</t>
  </si>
  <si>
    <t>ragged outfit</t>
  </si>
  <si>
    <t>$8.00</t>
  </si>
  <si>
    <t>ragged shirt</t>
  </si>
  <si>
    <t>ragged pants</t>
  </si>
  <si>
    <t>holey socks</t>
  </si>
  <si>
    <t>Coordinate0280</t>
  </si>
  <si>
    <t>raglan-sweatshirt outfit</t>
  </si>
  <si>
    <t>raglan pullover sweatshirt</t>
  </si>
  <si>
    <t>Coordinate0139</t>
  </si>
  <si>
    <t>rainy-day outfit</t>
  </si>
  <si>
    <t>raincoat</t>
  </si>
  <si>
    <t>metro hat</t>
  </si>
  <si>
    <t>Coordinate0103</t>
  </si>
  <si>
    <t>reindeer costume</t>
  </si>
  <si>
    <t>reindeer hood</t>
  </si>
  <si>
    <t>0x2e8139d</t>
  </si>
  <si>
    <t>Coordinate0116</t>
  </si>
  <si>
    <t>retro-swimsuit outfit</t>
  </si>
  <si>
    <t>retro swimsuit</t>
  </si>
  <si>
    <t>swimming cap</t>
  </si>
  <si>
    <t>water shoes</t>
  </si>
  <si>
    <t>Coordinate0229</t>
  </si>
  <si>
    <t>RN outfit</t>
  </si>
  <si>
    <t>nurse top</t>
  </si>
  <si>
    <t>stethoscope</t>
  </si>
  <si>
    <t>Japanese bathroom sandals</t>
  </si>
  <si>
    <t>Coordinate0321</t>
  </si>
  <si>
    <t>rodeo-rider costume</t>
  </si>
  <si>
    <t>$72.40</t>
  </si>
  <si>
    <t>rodeo-rider duds</t>
  </si>
  <si>
    <t>rodeo-rider pants</t>
  </si>
  <si>
    <t>ten-gallon hat</t>
  </si>
  <si>
    <t>western boots</t>
  </si>
  <si>
    <t>Coordinate0309</t>
  </si>
  <si>
    <t>royal costume</t>
  </si>
  <si>
    <t>$3,513.10</t>
  </si>
  <si>
    <t>royal attire</t>
  </si>
  <si>
    <t>crown</t>
  </si>
  <si>
    <t>Coordinate0264</t>
  </si>
  <si>
    <t>rugby uniform</t>
  </si>
  <si>
    <t>$48.80</t>
  </si>
  <si>
    <t>0x12770a6</t>
  </si>
  <si>
    <t>leather helmet</t>
  </si>
  <si>
    <t>Coordinate0324</t>
  </si>
  <si>
    <t>sage costume</t>
  </si>
  <si>
    <t>$86.20</t>
  </si>
  <si>
    <t>robe</t>
  </si>
  <si>
    <t>0xac4aeb2</t>
  </si>
  <si>
    <t>magic staff</t>
  </si>
  <si>
    <t>Coordinate0275</t>
  </si>
  <si>
    <t>samba costume</t>
  </si>
  <si>
    <t>$101.90</t>
  </si>
  <si>
    <t>samba suit</t>
  </si>
  <si>
    <t>samba headdress</t>
  </si>
  <si>
    <t>samba feathers</t>
  </si>
  <si>
    <t>Coordinate0305</t>
  </si>
  <si>
    <t>samurai outfit</t>
  </si>
  <si>
    <t>$794.50</t>
  </si>
  <si>
    <t>ClothTopsTshirtLongSimpleGessillene</t>
  </si>
  <si>
    <t>Japanese-pattern pants</t>
  </si>
  <si>
    <t>samurai helmet</t>
  </si>
  <si>
    <t>samurai shin guards</t>
  </si>
  <si>
    <t>Coordinate0245</t>
  </si>
  <si>
    <t>Santa outfit</t>
  </si>
  <si>
    <t>$70.60</t>
  </si>
  <si>
    <t>Santa coat</t>
  </si>
  <si>
    <t>Santa pants</t>
  </si>
  <si>
    <t>Santa boots</t>
  </si>
  <si>
    <t>Coordinate0113</t>
  </si>
  <si>
    <t>school outfit</t>
  </si>
  <si>
    <t>$80.50</t>
  </si>
  <si>
    <t>retro polo shirt</t>
  </si>
  <si>
    <t>checkered shorts</t>
  </si>
  <si>
    <t>children's hat</t>
  </si>
  <si>
    <t>grade-schooler backpack</t>
  </si>
  <si>
    <t>running shoes</t>
  </si>
  <si>
    <t>Accessory</t>
  </si>
  <si>
    <t>Coordinate0327</t>
  </si>
  <si>
    <t>school-smock outfit</t>
  </si>
  <si>
    <t>$44.50</t>
  </si>
  <si>
    <t>smock</t>
  </si>
  <si>
    <t>indoor shoes</t>
  </si>
  <si>
    <t>Coordinate0080</t>
  </si>
  <si>
    <t>school uniform</t>
  </si>
  <si>
    <t>$35.50</t>
  </si>
  <si>
    <t>school-uniform top</t>
  </si>
  <si>
    <t>Coordinate0085</t>
  </si>
  <si>
    <t>sheep costume</t>
  </si>
  <si>
    <t>sheep hood</t>
  </si>
  <si>
    <t>sheep suit</t>
  </si>
  <si>
    <t>Coordinate0227</t>
  </si>
  <si>
    <t>shirt-with-necktie outfit</t>
  </si>
  <si>
    <t>$34.40</t>
  </si>
  <si>
    <t>short-sleeve shirt with necktie</t>
  </si>
  <si>
    <t>Coordinate0135</t>
  </si>
  <si>
    <t>simple-parka outfit</t>
  </si>
  <si>
    <t>$58.70</t>
  </si>
  <si>
    <t>simple parka</t>
  </si>
  <si>
    <t>skullcap</t>
  </si>
  <si>
    <t>Coordinate0256</t>
  </si>
  <si>
    <t>skeleton costume</t>
  </si>
  <si>
    <t>$42.00</t>
  </si>
  <si>
    <t>skull mask</t>
  </si>
  <si>
    <t>skeleton suit</t>
  </si>
  <si>
    <t>Coordinate0195</t>
  </si>
  <si>
    <t>skiing outfit</t>
  </si>
  <si>
    <t>$52.30</t>
  </si>
  <si>
    <t>ski jacket</t>
  </si>
  <si>
    <t>ski pants</t>
  </si>
  <si>
    <t>ski hat and goggles</t>
  </si>
  <si>
    <t>basic leggings</t>
  </si>
  <si>
    <t>snow boots</t>
  </si>
  <si>
    <t>Coordinate0167</t>
  </si>
  <si>
    <t>skull-tee outfit</t>
  </si>
  <si>
    <t>ClothBottomsPantsLongShortAcceptancy</t>
  </si>
  <si>
    <t>ring pendant</t>
  </si>
  <si>
    <t>Coordinate0235</t>
  </si>
  <si>
    <t>sleek cyberpunk outfit</t>
  </si>
  <si>
    <t>$46.60</t>
  </si>
  <si>
    <t>sleek cyberpunk jacket</t>
  </si>
  <si>
    <t>sleek cyberpunk pants</t>
  </si>
  <si>
    <t>Coordinate0246</t>
  </si>
  <si>
    <t>sleeveless-knit-top outfit</t>
  </si>
  <si>
    <t>$61.80</t>
  </si>
  <si>
    <t>sleeveless knit top</t>
  </si>
  <si>
    <t>multistriped pants</t>
  </si>
  <si>
    <t>pendant</t>
  </si>
  <si>
    <t>Coordinate0150</t>
  </si>
  <si>
    <t>sleeveless-turtleneck outfit</t>
  </si>
  <si>
    <t>sleeveless turtleneck shirt</t>
  </si>
  <si>
    <t>striped pants</t>
  </si>
  <si>
    <t>Coordinate0065</t>
  </si>
  <si>
    <t>snorkeling outfit</t>
  </si>
  <si>
    <t>wet suit</t>
  </si>
  <si>
    <t>snorkel</t>
  </si>
  <si>
    <t>oxygen tank</t>
  </si>
  <si>
    <t>flippers</t>
  </si>
  <si>
    <t>Coordinate0334</t>
  </si>
  <si>
    <t>snowman costume</t>
  </si>
  <si>
    <t>snowman hood</t>
  </si>
  <si>
    <t>0x5c200b2</t>
  </si>
  <si>
    <t>Coordinate0105</t>
  </si>
  <si>
    <t>soccer uniform</t>
  </si>
  <si>
    <t>soccer jersey</t>
  </si>
  <si>
    <t>soccer shorts</t>
  </si>
  <si>
    <t>Coordinate0239</t>
  </si>
  <si>
    <t>soft-drink costume</t>
  </si>
  <si>
    <t>$31.00</t>
  </si>
  <si>
    <t>drinking straw</t>
  </si>
  <si>
    <t>soft-drink suit</t>
  </si>
  <si>
    <t>Coordinate0319</t>
  </si>
  <si>
    <t>soft-serve costume</t>
  </si>
  <si>
    <t>$52.90</t>
  </si>
  <si>
    <t>soft-serve hat</t>
  </si>
  <si>
    <t>soft-serve suit</t>
  </si>
  <si>
    <t>Coordinate0316</t>
  </si>
  <si>
    <t>sprout costume</t>
  </si>
  <si>
    <t>sprout hat</t>
  </si>
  <si>
    <t>Coordinate0191</t>
  </si>
  <si>
    <t>stag-beetle costume</t>
  </si>
  <si>
    <t>stag-beetle hood</t>
  </si>
  <si>
    <t>Coordinate0331</t>
  </si>
  <si>
    <t>star-print-tee outfit</t>
  </si>
  <si>
    <t>star-print tee</t>
  </si>
  <si>
    <t>Coordinate0052</t>
  </si>
  <si>
    <t>steampunk-coat outfit</t>
  </si>
  <si>
    <t>$75.20</t>
  </si>
  <si>
    <t>steampunk coat</t>
  </si>
  <si>
    <t>0x2759d5f</t>
  </si>
  <si>
    <t>Coordinate0278</t>
  </si>
  <si>
    <t>store-attendant outfit</t>
  </si>
  <si>
    <t>$42.60</t>
  </si>
  <si>
    <t>apron</t>
  </si>
  <si>
    <t>name tag</t>
  </si>
  <si>
    <t>Coordinate0220</t>
  </si>
  <si>
    <t>street-style layered outfit</t>
  </si>
  <si>
    <t>layered tee</t>
  </si>
  <si>
    <t>Coordinate0021</t>
  </si>
  <si>
    <t>street-style outfit</t>
  </si>
  <si>
    <t>$82.00</t>
  </si>
  <si>
    <t>pocket tee</t>
  </si>
  <si>
    <t>slouch beanie</t>
  </si>
  <si>
    <t>Coordinate0192</t>
  </si>
  <si>
    <t>striped outfit</t>
  </si>
  <si>
    <t>border pants</t>
  </si>
  <si>
    <t>Coordinate0217</t>
  </si>
  <si>
    <t>striped-polo outfit</t>
  </si>
  <si>
    <t>$30.10</t>
  </si>
  <si>
    <t>striped polo shirt</t>
  </si>
  <si>
    <t>Coordinate0033</t>
  </si>
  <si>
    <t>striped rugby outfit</t>
  </si>
  <si>
    <t>rugby shirt</t>
  </si>
  <si>
    <t>Coordinate0026</t>
  </si>
  <si>
    <t>summer vintage-suit outfit</t>
  </si>
  <si>
    <t>Panama hat</t>
  </si>
  <si>
    <t>Coordinate0242</t>
  </si>
  <si>
    <t>sunny-side-up outfit</t>
  </si>
  <si>
    <t>sunny-side-up tee</t>
  </si>
  <si>
    <t>chino shorts</t>
  </si>
  <si>
    <t>Coordinate0027</t>
  </si>
  <si>
    <t>superfan outfit</t>
  </si>
  <si>
    <t>$66.60</t>
  </si>
  <si>
    <t>heart sunglasses</t>
  </si>
  <si>
    <t>Coordinate0260</t>
  </si>
  <si>
    <t>surveyor outfit</t>
  </si>
  <si>
    <t>$63.20</t>
  </si>
  <si>
    <t>outdoor work shirt</t>
  </si>
  <si>
    <t>safety helmet</t>
  </si>
  <si>
    <t>name-tag lanyard</t>
  </si>
  <si>
    <t>Coordinate0137</t>
  </si>
  <si>
    <t>suspenders outfit</t>
  </si>
  <si>
    <t>$62.00</t>
  </si>
  <si>
    <t>suspenders getup</t>
  </si>
  <si>
    <t>plaid newsboy cap</t>
  </si>
  <si>
    <t>Coordinate0088</t>
  </si>
  <si>
    <t>swim outfit</t>
  </si>
  <si>
    <t>$17.80</t>
  </si>
  <si>
    <t>swim top</t>
  </si>
  <si>
    <t>swim trunks</t>
  </si>
  <si>
    <t>Coordinate0180</t>
  </si>
  <si>
    <t>tailcoat outfit</t>
  </si>
  <si>
    <t>$210.40</t>
  </si>
  <si>
    <t>tailcoat</t>
  </si>
  <si>
    <t>0x2be6d70</t>
  </si>
  <si>
    <t>Coordinate0053</t>
  </si>
  <si>
    <t>tailored-jacket outfit</t>
  </si>
  <si>
    <t>tailored jacket</t>
  </si>
  <si>
    <t>side-gore ankle boots</t>
  </si>
  <si>
    <t>Coordinate0008</t>
  </si>
  <si>
    <t>tam outfit</t>
  </si>
  <si>
    <t>tam</t>
  </si>
  <si>
    <t>bolo tie</t>
  </si>
  <si>
    <t>Coordinate0243</t>
  </si>
  <si>
    <t>tennis-sweater outfit</t>
  </si>
  <si>
    <t>$35.20</t>
  </si>
  <si>
    <t>0x54f0db7</t>
  </si>
  <si>
    <t>Coordinate0067</t>
  </si>
  <si>
    <t>tidy button-down outfit</t>
  </si>
  <si>
    <t>$34.80</t>
  </si>
  <si>
    <t>collarless button-down</t>
  </si>
  <si>
    <t>Coordinate0022</t>
  </si>
  <si>
    <t>tie-dye-tee outfit</t>
  </si>
  <si>
    <t>$27.40</t>
  </si>
  <si>
    <t>tie-dye tee</t>
  </si>
  <si>
    <t>Coordinate0149</t>
  </si>
  <si>
    <t>tiger-baseball-jacket outfit</t>
  </si>
  <si>
    <t>tiger baseball jacket</t>
  </si>
  <si>
    <t>Coordinate0152</t>
  </si>
  <si>
    <t>tiger costume</t>
  </si>
  <si>
    <t>$68.00</t>
  </si>
  <si>
    <t>0x7b58adc</t>
  </si>
  <si>
    <t>0x2e3495e</t>
  </si>
  <si>
    <t>Coordinate0216</t>
  </si>
  <si>
    <t>toy-robot costume</t>
  </si>
  <si>
    <t>$64.50</t>
  </si>
  <si>
    <t>toy-robot mask</t>
  </si>
  <si>
    <t>toy-robot suit</t>
  </si>
  <si>
    <t>Coordinate0202</t>
  </si>
  <si>
    <t>tracksuit outfit</t>
  </si>
  <si>
    <t>track jacket</t>
  </si>
  <si>
    <t>track pants</t>
  </si>
  <si>
    <t>Coordinate0106</t>
  </si>
  <si>
    <t>tracksuit with shorts outfit</t>
  </si>
  <si>
    <t>Coordinate0107</t>
  </si>
  <si>
    <t>traffic-guard outfit</t>
  </si>
  <si>
    <t>$48.20</t>
  </si>
  <si>
    <t>safety vest</t>
  </si>
  <si>
    <t>Coordinate0241</t>
  </si>
  <si>
    <t>traffic-print-tee outfit</t>
  </si>
  <si>
    <t>$32.40</t>
  </si>
  <si>
    <t>traffic-print tee</t>
  </si>
  <si>
    <t>Coordinate0054</t>
  </si>
  <si>
    <t>tree costume</t>
  </si>
  <si>
    <t>$54.00</t>
  </si>
  <si>
    <t>tree hood</t>
  </si>
  <si>
    <t>tree suit</t>
  </si>
  <si>
    <t>Coordinate0272</t>
  </si>
  <si>
    <t>trench-coat outfit</t>
  </si>
  <si>
    <t>$36.00</t>
  </si>
  <si>
    <t>Coordinate0030</t>
  </si>
  <si>
    <t>turkey costume</t>
  </si>
  <si>
    <t>turkey hood</t>
  </si>
  <si>
    <t>turkey suit</t>
  </si>
  <si>
    <t>Coordinate0336</t>
  </si>
  <si>
    <t>Tyrolean-lederhosen outfit</t>
  </si>
  <si>
    <t>$70.40</t>
  </si>
  <si>
    <t>Tyrolean lederhosen</t>
  </si>
  <si>
    <t>Tyrolean hat</t>
  </si>
  <si>
    <t>Coordinate0295</t>
  </si>
  <si>
    <t>university outfit</t>
  </si>
  <si>
    <t>$35.60</t>
  </si>
  <si>
    <t>university sweatshirt</t>
  </si>
  <si>
    <t>Coordinate0218</t>
  </si>
  <si>
    <t>utility-vest outfit</t>
  </si>
  <si>
    <t>$51.20</t>
  </si>
  <si>
    <t>0xda5f4a8</t>
  </si>
  <si>
    <t>hunting cap</t>
  </si>
  <si>
    <t>Coordinate0104</t>
  </si>
  <si>
    <t>vampire costume</t>
  </si>
  <si>
    <t>$92.10</t>
  </si>
  <si>
    <t>vampire attire</t>
  </si>
  <si>
    <t>Coordinate0230</t>
  </si>
  <si>
    <t>varsity-cardigan outfit</t>
  </si>
  <si>
    <t>$34.10</t>
  </si>
  <si>
    <t>ClothTopslongSalopetteRtharidu</t>
  </si>
  <si>
    <t>Coordinate0064</t>
  </si>
  <si>
    <t>varsity-jacket outfit</t>
  </si>
  <si>
    <t>$48.10</t>
  </si>
  <si>
    <t>0xe31ecc6</t>
  </si>
  <si>
    <t>beanie</t>
  </si>
  <si>
    <t>Coordinate0184</t>
  </si>
  <si>
    <t>Viking costume</t>
  </si>
  <si>
    <t>$188.90</t>
  </si>
  <si>
    <t>Viking clothes</t>
  </si>
  <si>
    <t>Viking hat</t>
  </si>
  <si>
    <t>axe</t>
  </si>
  <si>
    <t>Coordinate0267</t>
  </si>
  <si>
    <t>waitstaff outfit</t>
  </si>
  <si>
    <t>restaurateur clothing</t>
  </si>
  <si>
    <t>Coordinate0173</t>
  </si>
  <si>
    <t>warm fleece outfit</t>
  </si>
  <si>
    <t>$60.60</t>
  </si>
  <si>
    <t>boa-fleece jacket</t>
  </si>
  <si>
    <t>earflap hat</t>
  </si>
  <si>
    <t>Coordinate0250</t>
  </si>
  <si>
    <t>wedding-suit outfit</t>
  </si>
  <si>
    <t>$221.50</t>
  </si>
  <si>
    <t>boutonniere</t>
  </si>
  <si>
    <t>Coordinate0170</t>
  </si>
  <si>
    <t>western outfit</t>
  </si>
  <si>
    <t>$64.30</t>
  </si>
  <si>
    <t>western shirt</t>
  </si>
  <si>
    <t>Coordinate0185</t>
  </si>
  <si>
    <t>windbreaker outfit</t>
  </si>
  <si>
    <t>$57.30</t>
  </si>
  <si>
    <t>windbreaker</t>
  </si>
  <si>
    <t>basic 5-panel cap</t>
  </si>
  <si>
    <t>Coordinate0286</t>
  </si>
  <si>
    <t>winter camo outfit</t>
  </si>
  <si>
    <t>camo jacket</t>
  </si>
  <si>
    <t>0xc5e87c4</t>
  </si>
  <si>
    <t>professional backpack</t>
  </si>
  <si>
    <t>Coordinate0289</t>
  </si>
  <si>
    <t>wizard costume</t>
  </si>
  <si>
    <t>$91.50</t>
  </si>
  <si>
    <t>0xe6d62a6</t>
  </si>
  <si>
    <t>wizard hat</t>
  </si>
  <si>
    <t>Coordinate0268</t>
  </si>
  <si>
    <t>work-from-home outfit</t>
  </si>
  <si>
    <t>Coordinate0128</t>
  </si>
  <si>
    <t>yoga outfit</t>
  </si>
  <si>
    <t>$25.00</t>
  </si>
  <si>
    <t>Coordinate0343</t>
  </si>
  <si>
    <t>animal-print-blouson outfit</t>
  </si>
  <si>
    <t>$54.70</t>
  </si>
  <si>
    <t>Women</t>
  </si>
  <si>
    <t>animal-print blouson</t>
  </si>
  <si>
    <t>long pencil skirt</t>
  </si>
  <si>
    <t>chain</t>
  </si>
  <si>
    <t>Coordinate0303</t>
  </si>
  <si>
    <t>ao dai outfit</t>
  </si>
  <si>
    <t>$57.50</t>
  </si>
  <si>
    <t>ao dai</t>
  </si>
  <si>
    <t>flower sandals</t>
  </si>
  <si>
    <t>Coordinate0231</t>
  </si>
  <si>
    <t>Aran outfit</t>
  </si>
  <si>
    <t>ClothTopsYshirtPuffLempard</t>
  </si>
  <si>
    <t>Aran skirt</t>
  </si>
  <si>
    <t>floral-embroidered tights</t>
  </si>
  <si>
    <t>Coordinate0254</t>
  </si>
  <si>
    <t>aristocratic-dress costume</t>
  </si>
  <si>
    <t>$2,529.10</t>
  </si>
  <si>
    <t>aristocratic dress</t>
  </si>
  <si>
    <t>scattered roses</t>
  </si>
  <si>
    <t>stockings</t>
  </si>
  <si>
    <t>basic pumps</t>
  </si>
  <si>
    <t>Coordinate0177</t>
  </si>
  <si>
    <t>ballet costume</t>
  </si>
  <si>
    <t>$213.80</t>
  </si>
  <si>
    <t>ballet dress</t>
  </si>
  <si>
    <t>tiara</t>
  </si>
  <si>
    <t>ballet shoes</t>
  </si>
  <si>
    <t>Coordinate0209</t>
  </si>
  <si>
    <t>bandanna-top outfit</t>
  </si>
  <si>
    <t>bandanna tube top</t>
  </si>
  <si>
    <t>0x7347db</t>
  </si>
  <si>
    <t>Coordinate0313</t>
  </si>
  <si>
    <t>basic-dress outfit</t>
  </si>
  <si>
    <t>$33.90</t>
  </si>
  <si>
    <t>basic dress</t>
  </si>
  <si>
    <t>Coordinate0002</t>
  </si>
  <si>
    <t>beach-vacation outfit</t>
  </si>
  <si>
    <t>$46.30</t>
  </si>
  <si>
    <t>tie-dye dress</t>
  </si>
  <si>
    <t>wide-brim straw hat</t>
  </si>
  <si>
    <t>Coordinate0102</t>
  </si>
  <si>
    <t>biker-jacket outfit</t>
  </si>
  <si>
    <t>$61.40</t>
  </si>
  <si>
    <t>leopard-print miniskirt</t>
  </si>
  <si>
    <t>beret</t>
  </si>
  <si>
    <t>studded boots</t>
  </si>
  <si>
    <t>Coordinate0234</t>
  </si>
  <si>
    <t>blazer-with-bow outfit</t>
  </si>
  <si>
    <t>blazer with bow</t>
  </si>
  <si>
    <t>school skirt</t>
  </si>
  <si>
    <t>Coordinate0084</t>
  </si>
  <si>
    <t>botanical-print-skirt outfit</t>
  </si>
  <si>
    <t>$39.20</t>
  </si>
  <si>
    <t>turtleneck sweater</t>
  </si>
  <si>
    <t>botanical-print skirt</t>
  </si>
  <si>
    <t>pearl pumps</t>
  </si>
  <si>
    <t>BottomsA</t>
  </si>
  <si>
    <t>Coordinate0039</t>
  </si>
  <si>
    <t>business-suit outfit</t>
  </si>
  <si>
    <t>$43.10</t>
  </si>
  <si>
    <t>business-suit jacket</t>
  </si>
  <si>
    <t>professional skirt</t>
  </si>
  <si>
    <t>Coordinate0020</t>
  </si>
  <si>
    <t>camisole-layered-tee outfit</t>
  </si>
  <si>
    <t>camisole-layered tee</t>
  </si>
  <si>
    <t>gaucho pants</t>
  </si>
  <si>
    <t>bow-tie pumps</t>
  </si>
  <si>
    <t>Coordinate0038</t>
  </si>
  <si>
    <t>celebrity outfit</t>
  </si>
  <si>
    <t>$74.00</t>
  </si>
  <si>
    <t>monogram-print dress</t>
  </si>
  <si>
    <t>sequin pumps</t>
  </si>
  <si>
    <t>Coordinate0226</t>
  </si>
  <si>
    <t>cheerleader uniform</t>
  </si>
  <si>
    <t>$41.00</t>
  </si>
  <si>
    <t>cheerleader attire</t>
  </si>
  <si>
    <t>Coordinate0225</t>
  </si>
  <si>
    <t>chima jeogori outfit</t>
  </si>
  <si>
    <t>chima jeogori</t>
  </si>
  <si>
    <t>Korean flower shoes</t>
  </si>
  <si>
    <t>Coordinate0292</t>
  </si>
  <si>
    <t>classical-dress outfit</t>
  </si>
  <si>
    <t>classical dress</t>
  </si>
  <si>
    <t>straw boater hat</t>
  </si>
  <si>
    <t>strappy pumps</t>
  </si>
  <si>
    <t>Coordinate0062</t>
  </si>
  <si>
    <t>classic-maid costume</t>
  </si>
  <si>
    <t>$97.90</t>
  </si>
  <si>
    <t>classic-maid attire</t>
  </si>
  <si>
    <t>maid headdress</t>
  </si>
  <si>
    <t>Coordinate0328</t>
  </si>
  <si>
    <t>coat-dress outfit</t>
  </si>
  <si>
    <t>$43.20</t>
  </si>
  <si>
    <t>coat dress</t>
  </si>
  <si>
    <t>tiny-flower pantyhose</t>
  </si>
  <si>
    <t>Coordinate0050</t>
  </si>
  <si>
    <t>colorful checkered outfit</t>
  </si>
  <si>
    <t>patchwork maxi skirt</t>
  </si>
  <si>
    <t>checkered beret</t>
  </si>
  <si>
    <t>Coordinate0296</t>
  </si>
  <si>
    <t>cozy fleece outfit</t>
  </si>
  <si>
    <t>$55.70</t>
  </si>
  <si>
    <t>mouton miniskirt</t>
  </si>
  <si>
    <t>newsboy cap</t>
  </si>
  <si>
    <t>ribbed leggings</t>
  </si>
  <si>
    <t>Coordinate0187</t>
  </si>
  <si>
    <t>dance-performance outfit</t>
  </si>
  <si>
    <t>$65.20</t>
  </si>
  <si>
    <t>0xedd6fdc</t>
  </si>
  <si>
    <t>fleece hat</t>
  </si>
  <si>
    <t>Coordinate0317</t>
  </si>
  <si>
    <t>denim-dress outfit</t>
  </si>
  <si>
    <t>$37.60</t>
  </si>
  <si>
    <t>ClothTopsYshirtLongComedianTows</t>
  </si>
  <si>
    <t>Coordinate0145</t>
  </si>
  <si>
    <t>dolly-dress outfit</t>
  </si>
  <si>
    <t>$38.70</t>
  </si>
  <si>
    <t>dolly dress</t>
  </si>
  <si>
    <t>Coordinate0041</t>
  </si>
  <si>
    <t>dolly-shirt outfit</t>
  </si>
  <si>
    <t>$56.60</t>
  </si>
  <si>
    <t>dolly shirt</t>
  </si>
  <si>
    <t>heart-buckle skirt</t>
  </si>
  <si>
    <t>ribbon</t>
  </si>
  <si>
    <t>back-ribbon socks</t>
  </si>
  <si>
    <t>Coordinate0142</t>
  </si>
  <si>
    <t>dreamy-dress outfit</t>
  </si>
  <si>
    <t>$77.70</t>
  </si>
  <si>
    <t>dreamy dress</t>
  </si>
  <si>
    <t>bunny ears</t>
  </si>
  <si>
    <t>bunny tail</t>
  </si>
  <si>
    <t>heart-print tights</t>
  </si>
  <si>
    <t>faux-fur boots</t>
  </si>
  <si>
    <t>Coordinate0345</t>
  </si>
  <si>
    <t>dreamy-jacket outfit</t>
  </si>
  <si>
    <t>$42.80</t>
  </si>
  <si>
    <t>dreamy jacket</t>
  </si>
  <si>
    <t>frilled skirt</t>
  </si>
  <si>
    <t>snap clip</t>
  </si>
  <si>
    <t>Coordinate0071</t>
  </si>
  <si>
    <t>dreamy-unicorn outfit</t>
  </si>
  <si>
    <t>$44.60</t>
  </si>
  <si>
    <t>dreamy unicorn sweatshirt</t>
  </si>
  <si>
    <t>flower hair clip</t>
  </si>
  <si>
    <t>rainbow knee-highs</t>
  </si>
  <si>
    <t>bow-tie boots</t>
  </si>
  <si>
    <t>Coordinate0212</t>
  </si>
  <si>
    <t>dress shirt &amp; sweater outfit</t>
  </si>
  <si>
    <t>dress shirt and sweater</t>
  </si>
  <si>
    <t>quad-button skirt</t>
  </si>
  <si>
    <t>basic knee-highs</t>
  </si>
  <si>
    <t>Coordinate0034</t>
  </si>
  <si>
    <t>duffle coat &amp; skirt outfit</t>
  </si>
  <si>
    <t>$58.20</t>
  </si>
  <si>
    <t>duffle coat</t>
  </si>
  <si>
    <t>denim maxi skirt</t>
  </si>
  <si>
    <t>Coordinate0018</t>
  </si>
  <si>
    <t>elegant-dress outfit</t>
  </si>
  <si>
    <t>$110.10</t>
  </si>
  <si>
    <t>elegant dress</t>
  </si>
  <si>
    <t>pearl necklace</t>
  </si>
  <si>
    <t>Coordinate0237</t>
  </si>
  <si>
    <t>energetic-skirt outfit</t>
  </si>
  <si>
    <t>raglan long-sleeve tee</t>
  </si>
  <si>
    <t>tennis skirt</t>
  </si>
  <si>
    <t>Coordinate0007</t>
  </si>
  <si>
    <t>fairy costume</t>
  </si>
  <si>
    <t>$78.90</t>
  </si>
  <si>
    <t>fairy dress</t>
  </si>
  <si>
    <t>fairy wings</t>
  </si>
  <si>
    <t>Coordinate0181</t>
  </si>
  <si>
    <t>faux-fur-coat-dress outfit</t>
  </si>
  <si>
    <t>faux-fur coat dress</t>
  </si>
  <si>
    <t>Cossack hat</t>
  </si>
  <si>
    <t>shearling boots</t>
  </si>
  <si>
    <t>Coordinate0147</t>
  </si>
  <si>
    <t>figure-skating-dress costume</t>
  </si>
  <si>
    <t>$72.10</t>
  </si>
  <si>
    <t>figure-skating dress</t>
  </si>
  <si>
    <t>Coordinate0221</t>
  </si>
  <si>
    <t>flapper-dress outfit</t>
  </si>
  <si>
    <t>flapper dress</t>
  </si>
  <si>
    <t>flapper hairpin</t>
  </si>
  <si>
    <t>Coordinate0333</t>
  </si>
  <si>
    <t>flight-attendant outfit</t>
  </si>
  <si>
    <t>flight-attendant top</t>
  </si>
  <si>
    <t>flight-attendant hat</t>
  </si>
  <si>
    <t>Coordinate0282</t>
  </si>
  <si>
    <t>floral-sweater outfit</t>
  </si>
  <si>
    <t>$36.30</t>
  </si>
  <si>
    <t>floral sweater</t>
  </si>
  <si>
    <t>Coordinate0301</t>
  </si>
  <si>
    <t>flowery outfit</t>
  </si>
  <si>
    <t>embroidered dress</t>
  </si>
  <si>
    <t>flower cap</t>
  </si>
  <si>
    <t>Coordinate0168</t>
  </si>
  <si>
    <t>fluffy loungewear outfit</t>
  </si>
  <si>
    <t>$41.60</t>
  </si>
  <si>
    <t>striped loungewear</t>
  </si>
  <si>
    <t>striped cozy shorts</t>
  </si>
  <si>
    <t>hair roller</t>
  </si>
  <si>
    <t>polka-dot leggings</t>
  </si>
  <si>
    <t>Coordinate0072</t>
  </si>
  <si>
    <t>formal-dress outfit</t>
  </si>
  <si>
    <t>formal dress with jacket</t>
  </si>
  <si>
    <t>Coordinate0159</t>
  </si>
  <si>
    <t>formal peacoat outfit</t>
  </si>
  <si>
    <t>Coordinate0129</t>
  </si>
  <si>
    <t>gaudy bubble-era outfit</t>
  </si>
  <si>
    <t>$61.70</t>
  </si>
  <si>
    <t>belted coat</t>
  </si>
  <si>
    <t>fishnet tights</t>
  </si>
  <si>
    <t>leopard-print pumps</t>
  </si>
  <si>
    <t>Coordinate0126</t>
  </si>
  <si>
    <t>geometric-skirt outfit</t>
  </si>
  <si>
    <t>$65.30</t>
  </si>
  <si>
    <t>basic camisole</t>
  </si>
  <si>
    <t>0x333a87c</t>
  </si>
  <si>
    <t>wooden-bead necklace</t>
  </si>
  <si>
    <t>Coordinate0161</t>
  </si>
  <si>
    <t>high-waist-pinafore outfit</t>
  </si>
  <si>
    <t>$61.10</t>
  </si>
  <si>
    <t>high-waist pinafore dress</t>
  </si>
  <si>
    <t>mini backpack</t>
  </si>
  <si>
    <t>Coordinate0233</t>
  </si>
  <si>
    <t>houndstooth-dress outfit</t>
  </si>
  <si>
    <t>$43.00</t>
  </si>
  <si>
    <t>houndstooth dress</t>
  </si>
  <si>
    <t>sheer dotted socks</t>
  </si>
  <si>
    <t>Coordinate0253</t>
  </si>
  <si>
    <t>jumpsuit outfit</t>
  </si>
  <si>
    <t>$50.10</t>
  </si>
  <si>
    <t>jumpsuit</t>
  </si>
  <si>
    <t>Coordinate0057</t>
  </si>
  <si>
    <t>knit-dress outfit</t>
  </si>
  <si>
    <t>$58.10</t>
  </si>
  <si>
    <t>knit dress</t>
  </si>
  <si>
    <t>Coordinate0252</t>
  </si>
  <si>
    <t>lace-overlay-dress outfit</t>
  </si>
  <si>
    <t>$87.20</t>
  </si>
  <si>
    <t>lace-overlay dress</t>
  </si>
  <si>
    <t>Coordinate0248</t>
  </si>
  <si>
    <t>lace-top outfit</t>
  </si>
  <si>
    <t>$62.90</t>
  </si>
  <si>
    <t>lace top</t>
  </si>
  <si>
    <t>Coordinate0312</t>
  </si>
  <si>
    <t>long-denim-dress outfit</t>
  </si>
  <si>
    <t>$56.10</t>
  </si>
  <si>
    <t>long denim dress</t>
  </si>
  <si>
    <t>Coordinate0146</t>
  </si>
  <si>
    <t>long-knit-cardigan outfit</t>
  </si>
  <si>
    <t>long knit cardigan</t>
  </si>
  <si>
    <t>Coordinate0300</t>
  </si>
  <si>
    <t>long-sleeve tee &amp; skirt outfit</t>
  </si>
  <si>
    <t>$44.90</t>
  </si>
  <si>
    <t>basic long-sleeve tee</t>
  </si>
  <si>
    <t>basic knit beanie</t>
  </si>
  <si>
    <t>Coordinate0005</t>
  </si>
  <si>
    <t>lovely hearts outfit</t>
  </si>
  <si>
    <t>$34.20</t>
  </si>
  <si>
    <t>ringer tee</t>
  </si>
  <si>
    <t>flared miniskirt</t>
  </si>
  <si>
    <t>Coordinate0037</t>
  </si>
  <si>
    <t>magical costume</t>
  </si>
  <si>
    <t>$106.20</t>
  </si>
  <si>
    <t>magical attire</t>
  </si>
  <si>
    <t>big ribbon</t>
  </si>
  <si>
    <t>heart staff</t>
  </si>
  <si>
    <t>Coordinate0186</t>
  </si>
  <si>
    <t>maid costume</t>
  </si>
  <si>
    <t>$89.00</t>
  </si>
  <si>
    <t>maid attire</t>
  </si>
  <si>
    <t>Coordinate0263</t>
  </si>
  <si>
    <t>morning-glory-yukata outfit</t>
  </si>
  <si>
    <t>morning-glory yukata</t>
  </si>
  <si>
    <t>Japanese hair ornament</t>
  </si>
  <si>
    <t>Coordinate0228</t>
  </si>
  <si>
    <t>multistriped-sweater outfit</t>
  </si>
  <si>
    <t>$49.30</t>
  </si>
  <si>
    <t>multistriped sweater</t>
  </si>
  <si>
    <t>Coordinate0066</t>
  </si>
  <si>
    <t>natural-fiber-dress outfit</t>
  </si>
  <si>
    <t>$96.10</t>
  </si>
  <si>
    <t>natural-fiber dress</t>
  </si>
  <si>
    <t>Coordinate0160</t>
  </si>
  <si>
    <t>Nordic-sweater outfit</t>
  </si>
  <si>
    <t>$34.90</t>
  </si>
  <si>
    <t>Nordic sweater</t>
  </si>
  <si>
    <t>accordion skirt</t>
  </si>
  <si>
    <t>Coordinate0049</t>
  </si>
  <si>
    <t>nurse outfit</t>
  </si>
  <si>
    <t>$71.50</t>
  </si>
  <si>
    <t>nurse attire</t>
  </si>
  <si>
    <t>nurse cap</t>
  </si>
  <si>
    <t>Coordinate0322</t>
  </si>
  <si>
    <t>over-the-top outfit</t>
  </si>
  <si>
    <t>$66.80</t>
  </si>
  <si>
    <t>over-the-top dress</t>
  </si>
  <si>
    <t>big lace ribbon</t>
  </si>
  <si>
    <t>bow-tie strappy pumps</t>
  </si>
  <si>
    <t>Coordinate0058</t>
  </si>
  <si>
    <t>party-dress outfit</t>
  </si>
  <si>
    <t>$88.20</t>
  </si>
  <si>
    <t>party dress</t>
  </si>
  <si>
    <t>Coordinate0061</t>
  </si>
  <si>
    <t>patchwork outfit</t>
  </si>
  <si>
    <t>$53.10</t>
  </si>
  <si>
    <t>Coordinate0060</t>
  </si>
  <si>
    <t>pinafore-dress outfit</t>
  </si>
  <si>
    <t>$61.30</t>
  </si>
  <si>
    <t>pinafore dress</t>
  </si>
  <si>
    <t>Coordinate0183</t>
  </si>
  <si>
    <t>plaid-dress outfit</t>
  </si>
  <si>
    <t>$56.90</t>
  </si>
  <si>
    <t>plaid dress</t>
  </si>
  <si>
    <t>Nordic socks</t>
  </si>
  <si>
    <t>Coordinate0208</t>
  </si>
  <si>
    <t>polka-dot-dress outfit</t>
  </si>
  <si>
    <t>polka-dot dress</t>
  </si>
  <si>
    <t>Coordinate0138</t>
  </si>
  <si>
    <t>polo-dress outfit</t>
  </si>
  <si>
    <t>$52.40</t>
  </si>
  <si>
    <t>polo dress</t>
  </si>
  <si>
    <t>Coordinate0158</t>
  </si>
  <si>
    <t>pom-pom-dress outfit</t>
  </si>
  <si>
    <t>pom-pom dress</t>
  </si>
  <si>
    <t>pom-pom knit beanie</t>
  </si>
  <si>
    <t>Coordinate0205</t>
  </si>
  <si>
    <t>pop-idol outfit</t>
  </si>
  <si>
    <t>$90.00</t>
  </si>
  <si>
    <t>pop-idol dress</t>
  </si>
  <si>
    <t>pop-idol hat</t>
  </si>
  <si>
    <t>Coordinate0277</t>
  </si>
  <si>
    <t>princess costume</t>
  </si>
  <si>
    <t>$670.10</t>
  </si>
  <si>
    <t>0x7d34c4d</t>
  </si>
  <si>
    <t>bijou necklace</t>
  </si>
  <si>
    <t>princess shoes</t>
  </si>
  <si>
    <t>Coordinate0174</t>
  </si>
  <si>
    <t>punky skirt outfit</t>
  </si>
  <si>
    <t>wraparound skirt</t>
  </si>
  <si>
    <t>shoes with striped socks</t>
  </si>
  <si>
    <t>Coordinate0326</t>
  </si>
  <si>
    <t>qipao outfit</t>
  </si>
  <si>
    <t>$55.60</t>
  </si>
  <si>
    <t>qipao</t>
  </si>
  <si>
    <t>Coordinate0198</t>
  </si>
  <si>
    <t>quilted jacket &amp; skirt outfit</t>
  </si>
  <si>
    <t>$36.50</t>
  </si>
  <si>
    <t>Coordinate0302</t>
  </si>
  <si>
    <t>refreshing lemon outfit</t>
  </si>
  <si>
    <t>$29.00</t>
  </si>
  <si>
    <t>sleeveless shirt</t>
  </si>
  <si>
    <t>lemon-print skirt</t>
  </si>
  <si>
    <t>Coordinate0127</t>
  </si>
  <si>
    <t>relaxed tunic-top outfit</t>
  </si>
  <si>
    <t>$33.00</t>
  </si>
  <si>
    <t>tunic top</t>
  </si>
  <si>
    <t>Coordinate0156</t>
  </si>
  <si>
    <t>retro bedtime outfit</t>
  </si>
  <si>
    <t>$67.00</t>
  </si>
  <si>
    <t>retro gown</t>
  </si>
  <si>
    <t>silk sleeping cap</t>
  </si>
  <si>
    <t>Coordinate0299</t>
  </si>
  <si>
    <t>retro-dress outfit</t>
  </si>
  <si>
    <t>$62.50</t>
  </si>
  <si>
    <t>retro dress</t>
  </si>
  <si>
    <t>Coordinate0089</t>
  </si>
  <si>
    <t>retro-floral-dress outfit</t>
  </si>
  <si>
    <t>$58.50</t>
  </si>
  <si>
    <t>retro floral dress</t>
  </si>
  <si>
    <t>Coordinate0082</t>
  </si>
  <si>
    <t>running outfit</t>
  </si>
  <si>
    <t>$43.70</t>
  </si>
  <si>
    <t>sports bra</t>
  </si>
  <si>
    <t>Coordinate0201</t>
  </si>
  <si>
    <t>sailor-dress outfit</t>
  </si>
  <si>
    <t>sailor dress</t>
  </si>
  <si>
    <t>Coordinate0044</t>
  </si>
  <si>
    <t>sailor school uniform</t>
  </si>
  <si>
    <t>$36.10</t>
  </si>
  <si>
    <t>sailor-uniform top</t>
  </si>
  <si>
    <t>sailor skirt</t>
  </si>
  <si>
    <t>Coordinate0086</t>
  </si>
  <si>
    <t>Santa-dress outfit</t>
  </si>
  <si>
    <t>$70.10</t>
  </si>
  <si>
    <t>Santa dress</t>
  </si>
  <si>
    <t>Coordinate0114</t>
  </si>
  <si>
    <t>sari outfit</t>
  </si>
  <si>
    <t>$89.90</t>
  </si>
  <si>
    <t>0xf1f5942</t>
  </si>
  <si>
    <t>Coordinate0291</t>
  </si>
  <si>
    <t>seaside-stroll outfit</t>
  </si>
  <si>
    <t>$49.40</t>
  </si>
  <si>
    <t>ocean-motif dress</t>
  </si>
  <si>
    <t>Coordinate0247</t>
  </si>
  <si>
    <t>semi-formal-kimono outfit</t>
  </si>
  <si>
    <t>$99.50</t>
  </si>
  <si>
    <t>semi-formal kimono</t>
  </si>
  <si>
    <t>Coordinate0297</t>
  </si>
  <si>
    <t>shirtdress outfit</t>
  </si>
  <si>
    <t>shirtdress</t>
  </si>
  <si>
    <t>Coordinate0040</t>
  </si>
  <si>
    <t>shirt-with-bow outfit</t>
  </si>
  <si>
    <t>short-sleeve shirt with bow</t>
  </si>
  <si>
    <t>Coordinate0136</t>
  </si>
  <si>
    <t>short-sleeve-cardigan outfit</t>
  </si>
  <si>
    <t>$32.90</t>
  </si>
  <si>
    <t>short-sleeve cardigan</t>
  </si>
  <si>
    <t>Coordinate0010</t>
  </si>
  <si>
    <t>silk-dress outfit</t>
  </si>
  <si>
    <t>$101.70</t>
  </si>
  <si>
    <t>silk dress</t>
  </si>
  <si>
    <t>bijou sandals</t>
  </si>
  <si>
    <t>Coordinate0154</t>
  </si>
  <si>
    <t>simple-dress outfit</t>
  </si>
  <si>
    <t>$42.30</t>
  </si>
  <si>
    <t>simple dress</t>
  </si>
  <si>
    <t>Coordinate0141</t>
  </si>
  <si>
    <t>skipper-collar-shirt outfit</t>
  </si>
  <si>
    <t>skipper-collar shirt</t>
  </si>
  <si>
    <t>Coordinate0151</t>
  </si>
  <si>
    <t>skirt &amp; down-jacket outfit</t>
  </si>
  <si>
    <t>$52.10</t>
  </si>
  <si>
    <t>checkered scarf</t>
  </si>
  <si>
    <t>Coordinate0257</t>
  </si>
  <si>
    <t>sleeveless-shirtdress outfit</t>
  </si>
  <si>
    <t>$44.10</t>
  </si>
  <si>
    <t>sleeveless shirtdress</t>
  </si>
  <si>
    <t>bow-tie sandals</t>
  </si>
  <si>
    <t>Coordinate0074</t>
  </si>
  <si>
    <t>sleeveless-shirt outfit</t>
  </si>
  <si>
    <t>sleeveless denim shirt</t>
  </si>
  <si>
    <t>tiered skirt</t>
  </si>
  <si>
    <t>Coordinate0016</t>
  </si>
  <si>
    <t>steampunk-dress outfit</t>
  </si>
  <si>
    <t>$79.00</t>
  </si>
  <si>
    <t>steampunk dress</t>
  </si>
  <si>
    <t>ribbon tights</t>
  </si>
  <si>
    <t>Coordinate0279</t>
  </si>
  <si>
    <t>stylish heart outfit</t>
  </si>
  <si>
    <t>$55.30</t>
  </si>
  <si>
    <t>layered heart tee</t>
  </si>
  <si>
    <t>strapped skirt</t>
  </si>
  <si>
    <t>heart pendant</t>
  </si>
  <si>
    <t>kid sneakers</t>
  </si>
  <si>
    <t>Coordinate0310</t>
  </si>
  <si>
    <t>summer-cardigan outfit</t>
  </si>
  <si>
    <t>summer cardigan</t>
  </si>
  <si>
    <t>Coordinate0013</t>
  </si>
  <si>
    <t>summer sailor school uniform</t>
  </si>
  <si>
    <t>$33.10</t>
  </si>
  <si>
    <t>summer-sailor-uniform top</t>
  </si>
  <si>
    <t>Coordinate0093</t>
  </si>
  <si>
    <t>sunny sunflower outfit</t>
  </si>
  <si>
    <t>$52.00</t>
  </si>
  <si>
    <t>0xaf582dd</t>
  </si>
  <si>
    <t>Coordinate0081</t>
  </si>
  <si>
    <t>sweatshirt &amp; miniskirt outfit</t>
  </si>
  <si>
    <t>Coordinate0035</t>
  </si>
  <si>
    <t>tennis uniform</t>
  </si>
  <si>
    <t>$32.50</t>
  </si>
  <si>
    <t>polo shirt</t>
  </si>
  <si>
    <t>Coordinate0036</t>
  </si>
  <si>
    <t>tropical-vacation outfit</t>
  </si>
  <si>
    <t>tropical-print maxi dress</t>
  </si>
  <si>
    <t>hibiscus hairpin</t>
  </si>
  <si>
    <t>Coordinate0073</t>
  </si>
  <si>
    <t>turtleneck-sweater outfit</t>
  </si>
  <si>
    <t>$37.80</t>
  </si>
  <si>
    <t>Coordinate0014</t>
  </si>
  <si>
    <t>tweed outfit</t>
  </si>
  <si>
    <t>$117.60</t>
  </si>
  <si>
    <t>tweed jacket</t>
  </si>
  <si>
    <t>tweed skirt</t>
  </si>
  <si>
    <t>rosette pin</t>
  </si>
  <si>
    <t>Coordinate0078</t>
  </si>
  <si>
    <t>two-toned-shirt outfit</t>
  </si>
  <si>
    <t>$54.10</t>
  </si>
  <si>
    <t>two-toned shirt</t>
  </si>
  <si>
    <t>0x6f44a14</t>
  </si>
  <si>
    <t>studded newsboy cap</t>
  </si>
  <si>
    <t>Coordinate0059</t>
  </si>
  <si>
    <t>Tyrolean-dress outfit</t>
  </si>
  <si>
    <t>Tyrolean dress</t>
  </si>
  <si>
    <t>wooden clogs</t>
  </si>
  <si>
    <t>Coordinate0294</t>
  </si>
  <si>
    <t>vintage outfit</t>
  </si>
  <si>
    <t>$59.00</t>
  </si>
  <si>
    <t>vintage dress</t>
  </si>
  <si>
    <t>cloche hat</t>
  </si>
  <si>
    <t>Coordinate0101</t>
  </si>
  <si>
    <t>wedding-dress outfit</t>
  </si>
  <si>
    <t>$1,162.10</t>
  </si>
  <si>
    <t>wedding dress</t>
  </si>
  <si>
    <t>wedding tiara</t>
  </si>
  <si>
    <t>Coordinate0169</t>
  </si>
  <si>
    <t>witch costume</t>
  </si>
  <si>
    <t>witch dress</t>
  </si>
  <si>
    <t>witch hat</t>
  </si>
  <si>
    <t>spiderweb tights</t>
  </si>
  <si>
    <t>witch shoes</t>
  </si>
  <si>
    <t>Coordinate0091</t>
  </si>
  <si>
    <t>wrap-dress outfit</t>
  </si>
  <si>
    <t>wrap dress</t>
  </si>
  <si>
    <t>Coordinate0140</t>
  </si>
  <si>
    <t>Y2K outfit</t>
  </si>
  <si>
    <t>$41.40</t>
  </si>
  <si>
    <t>tube top</t>
  </si>
  <si>
    <t>bead necklace</t>
  </si>
  <si>
    <t>Coordinate0144</t>
  </si>
  <si>
    <t>starter outfit</t>
  </si>
  <si>
    <t>$0.00</t>
  </si>
  <si>
    <t>starter top</t>
  </si>
  <si>
    <t>starter pants</t>
  </si>
  <si>
    <t>starter socks</t>
  </si>
  <si>
    <t>starter shoes</t>
  </si>
  <si>
    <t>Coordinate0000</t>
  </si>
  <si>
    <t>Headwear type</t>
  </si>
  <si>
    <t>Is free first</t>
  </si>
  <si>
    <t>Is buy once</t>
  </si>
  <si>
    <t>ClothTopsOuterLongAbc</t>
  </si>
  <si>
    <t>accent-lines polo shirt</t>
  </si>
  <si>
    <t>ClothTopsYshirtHalfLinePolo</t>
  </si>
  <si>
    <t>ClothTopsOuterLongAnimalBlouson</t>
  </si>
  <si>
    <t>animal-print graphic tee</t>
  </si>
  <si>
    <t>ClothTopsTshirtHalfAnimal</t>
  </si>
  <si>
    <t>anorak jacket</t>
  </si>
  <si>
    <t>ClothTopsOuterLongAnorak</t>
  </si>
  <si>
    <t>ClothTopsCoatLongAogam</t>
  </si>
  <si>
    <t>ClothTopsCoatLongApron</t>
  </si>
  <si>
    <t>Aran sweater</t>
  </si>
  <si>
    <t>ClothTopsOuterLongAran</t>
  </si>
  <si>
    <t>ClothTopsYshirtLongArgyleVest</t>
  </si>
  <si>
    <t>ClothTopsCoatLongNoble</t>
  </si>
  <si>
    <t>ClothTopsCoatLongAsymmetry</t>
  </si>
  <si>
    <t>ClothTopsYshirtLongB3</t>
  </si>
  <si>
    <t>baggy striped long-sleeve tee</t>
  </si>
  <si>
    <t>ClothTopsCoatLongBorder</t>
  </si>
  <si>
    <t>balmacaan coat</t>
  </si>
  <si>
    <t>ClothTopsCoatLongSoutienCollar</t>
  </si>
  <si>
    <t>baseball shirt</t>
  </si>
  <si>
    <t>ClothTopsTshirtHalfBaseball</t>
  </si>
  <si>
    <t>ClothTopsYshirtLongSimple</t>
  </si>
  <si>
    <t>ClothTopsTshirtLongSimple</t>
  </si>
  <si>
    <t>ClothTopsOuterLongParka</t>
  </si>
  <si>
    <t>ClothTopsYshirtHalfSimple</t>
  </si>
  <si>
    <t>ClothTopsOuterLongSimpleSweater</t>
  </si>
  <si>
    <t>ClothTopsTshirtHalfSimple</t>
  </si>
  <si>
    <t>ClothTopsYshirtLongHighNeck</t>
  </si>
  <si>
    <t>basic vest</t>
  </si>
  <si>
    <t>ClothTopsYshirtLongSimpleVest</t>
  </si>
  <si>
    <t>ClothTopsTshirtSleevelessBasketball</t>
  </si>
  <si>
    <t>ClothTopsTshirtHalfBigNumber</t>
  </si>
  <si>
    <t>ClothTopsTshirtLongRiders</t>
  </si>
  <si>
    <t>ClothTopsYshirtLongBlazerTie</t>
  </si>
  <si>
    <t>blouse with bow</t>
  </si>
  <si>
    <t>ClothTopsYshirtLongBowtieBlouse</t>
  </si>
  <si>
    <t>ClothTopsOuterLongBoaFleece</t>
  </si>
  <si>
    <t>ClothTopsOuterLongMA1</t>
  </si>
  <si>
    <t>box-logo tee</t>
  </si>
  <si>
    <t>ClothTopsTshirtHalfBoxLogo</t>
  </si>
  <si>
    <t>ClothTopsYshirtLongSuit</t>
  </si>
  <si>
    <t>ClothTopsOuterLongCamouflage</t>
  </si>
  <si>
    <t>ClothTopsCoatLongCook</t>
  </si>
  <si>
    <t>ClothTopsYshirtLongCoachJacket</t>
  </si>
  <si>
    <t>ClothTopsYshirtLongBandCollar</t>
  </si>
  <si>
    <t>ClothTopsCoatLongNocollar</t>
  </si>
  <si>
    <t>ClothTopsTshirtHalfSwitching</t>
  </si>
  <si>
    <t>ClothTopsCompression</t>
  </si>
  <si>
    <t>ClothTopsYshirtLongCorduroy</t>
  </si>
  <si>
    <t>ClothTopsOuterLongCowichan</t>
  </si>
  <si>
    <t>ClothTopsYshirtLongMultiColor</t>
  </si>
  <si>
    <t>cropped tank top</t>
  </si>
  <si>
    <t>ClothTopsCroppedTankTop</t>
  </si>
  <si>
    <t>cropped tee</t>
  </si>
  <si>
    <t>ClothTopsCroppedTee</t>
  </si>
  <si>
    <t>ClothTopsYshirtLongDenim</t>
  </si>
  <si>
    <t>distressed sweater</t>
  </si>
  <si>
    <t>ClothTopsOuterLongDamaged</t>
  </si>
  <si>
    <t>ClothTopsYshirtLongDogJersey</t>
  </si>
  <si>
    <t>dotera</t>
  </si>
  <si>
    <t>ClothTopsCoatLongDotera</t>
  </si>
  <si>
    <t>ClothTopsYshirtLongDot</t>
  </si>
  <si>
    <t>ClothTopsOuterLongDownJacket</t>
  </si>
  <si>
    <t>ClothTopsOuterLongYumekawaSukajan</t>
  </si>
  <si>
    <t>ClothTopsOuterLongYumekawaParka</t>
  </si>
  <si>
    <t>ClothTopsYshirtLongShirtCardigan</t>
  </si>
  <si>
    <t>ClothTopsYshirtLongShirtKnit</t>
  </si>
  <si>
    <t>ClothTopsYshirtLongGilet</t>
  </si>
  <si>
    <t>ClothTopsCoatLongDuffle</t>
  </si>
  <si>
    <t>embroidered blouse</t>
  </si>
  <si>
    <t>ClothTopsTshirtLongPeasant</t>
  </si>
  <si>
    <t>exercise tank top</t>
  </si>
  <si>
    <t>ClothTopsTshirtSleevelessTraining</t>
  </si>
  <si>
    <t>festival tee</t>
  </si>
  <si>
    <t>ClothTopsTshirtHalfFestival</t>
  </si>
  <si>
    <t>ClothTopsTshirtLongFigure</t>
  </si>
  <si>
    <t>flames tee</t>
  </si>
  <si>
    <t>ClothTopsCoatHalfFire</t>
  </si>
  <si>
    <t>ClothTopsYshirtLongFlannel</t>
  </si>
  <si>
    <t>ClothTopsOuterLongFlower</t>
  </si>
  <si>
    <t>ClothTopsTshirtLongFrilled</t>
  </si>
  <si>
    <t>ClothTopsTshirtHalfFruits</t>
  </si>
  <si>
    <t>ClothTopsCoatLongFairy</t>
  </si>
  <si>
    <t>ClothTopsYshirtLongGaudy</t>
  </si>
  <si>
    <t>ClothTopsTshirtHalfGeometric</t>
  </si>
  <si>
    <t>ClothTopsYshirtLongGinghamCheck</t>
  </si>
  <si>
    <t>ClothTopsCoatHalfGladiator</t>
  </si>
  <si>
    <t>goldfish tee</t>
  </si>
  <si>
    <t>ClothTopsTshirtHalfGoldfish</t>
  </si>
  <si>
    <t>gradient sweater</t>
  </si>
  <si>
    <t>ClothTopsOuterLongGradation</t>
  </si>
  <si>
    <t>ClothTopsCoatLongAcademic</t>
  </si>
  <si>
    <t>guayabera</t>
  </si>
  <si>
    <t>ClothTopsYshirtHalfCuba</t>
  </si>
  <si>
    <t>ClothTopsOuterLongHalfZip</t>
  </si>
  <si>
    <t>happi jacket</t>
  </si>
  <si>
    <t>ClothTopsYshirtHalfHappi</t>
  </si>
  <si>
    <t>heart-print sweater</t>
  </si>
  <si>
    <t>ClothTopsYshirtLongHeart</t>
  </si>
  <si>
    <t>heart sweater</t>
  </si>
  <si>
    <t>ClothTopsOuterLongHeart</t>
  </si>
  <si>
    <t>ClothTopsTshirtHalfHeart</t>
  </si>
  <si>
    <t>ClothTopsYshirtHalfHibiscus</t>
  </si>
  <si>
    <t>ClothTopsTshirtHalfIcecream</t>
  </si>
  <si>
    <t>ClothTopsYshirtLongJockey</t>
  </si>
  <si>
    <t>ClothTopsYshirtLongRunning</t>
  </si>
  <si>
    <t>kanji tee</t>
  </si>
  <si>
    <t>ClothTopsTshirtHalfKanji</t>
  </si>
  <si>
    <t>ClothTopsYshirtLongKungfu</t>
  </si>
  <si>
    <t>ClothTopsCoatLongKurta</t>
  </si>
  <si>
    <t>ClothTopsCoatLongDoctor</t>
  </si>
  <si>
    <t>layered button-down</t>
  </si>
  <si>
    <t>ClothTopsCoatLongLayered</t>
  </si>
  <si>
    <t>ClothTopsTshirtLongLayeredHeart</t>
  </si>
  <si>
    <t>ClothTopsTshirtLongLayered</t>
  </si>
  <si>
    <t>ClothTopsCoatLongLeather</t>
  </si>
  <si>
    <t>leopard tee</t>
  </si>
  <si>
    <t>ClothTopsCoatHalfLeopard</t>
  </si>
  <si>
    <t>ClothTopsTshirtLongAlphabet</t>
  </si>
  <si>
    <t>ClothTopsCoatLongKnitGown</t>
  </si>
  <si>
    <t>long-sleeve deck-striped tee</t>
  </si>
  <si>
    <t>ClothTopsTshirtLongPinBorder</t>
  </si>
  <si>
    <t>long-sleeve grunge shirt</t>
  </si>
  <si>
    <t>ClothTopsYshirtLongGrunge</t>
  </si>
  <si>
    <t>ClothTopsOuterLongArmPrint</t>
  </si>
  <si>
    <t>long-sleeve shirt with tie</t>
  </si>
  <si>
    <t>ClothTopsYshirtLongNecktie</t>
  </si>
  <si>
    <t>ClothTopsTshirtLongBorder</t>
  </si>
  <si>
    <t>ClothTopsOuterLongMountain</t>
  </si>
  <si>
    <t>multistriped shirt</t>
  </si>
  <si>
    <t>ClothTopsYshirtLongMultiStripe</t>
  </si>
  <si>
    <t>ClothTopsTshirtLongMultiBorderKnit</t>
  </si>
  <si>
    <t>multistriped tee</t>
  </si>
  <si>
    <t>ClothTopsTshirtHalfMultiBorder</t>
  </si>
  <si>
    <t>ClothTopsOuterLongNordicSweater</t>
  </si>
  <si>
    <t>ClothTopsYshirtHalfNurse</t>
  </si>
  <si>
    <t>open-collar shirt</t>
  </si>
  <si>
    <t>ClothTopsYshirtHalfOpenCollar</t>
  </si>
  <si>
    <t>ClothTopsYshirtLongGakuranOpen</t>
  </si>
  <si>
    <t>ClothTopsYshirtLongWork</t>
  </si>
  <si>
    <t>over-sized sweater</t>
  </si>
  <si>
    <t>ClothTopsCoatLongKnit</t>
  </si>
  <si>
    <t>ClothTopsCoatHalfBigTee</t>
  </si>
  <si>
    <t>ClothTopsTshirtLongPaisley</t>
  </si>
  <si>
    <t>ClothTopsTshirtLongPajama</t>
  </si>
  <si>
    <t>ClothTopsTshirtLongPastelJacket</t>
  </si>
  <si>
    <t>patterned fleece jacket</t>
  </si>
  <si>
    <t>ClothTopsOuterLongFleecePattern</t>
  </si>
  <si>
    <t>ClothTopsYshirtHalfPatterned</t>
  </si>
  <si>
    <t>patterned sweater</t>
  </si>
  <si>
    <t>ClothTopsOuterLongPatterned</t>
  </si>
  <si>
    <t>patterned tank top</t>
  </si>
  <si>
    <t>ClothTopsTshirtSleevelessPattern</t>
  </si>
  <si>
    <t>patterned vest</t>
  </si>
  <si>
    <t>ClothTopsTshirtLongPatternedVest</t>
  </si>
  <si>
    <t>ClothTopsCoatLongPea</t>
  </si>
  <si>
    <t>ClothTopsMantleLongPhantomThief</t>
  </si>
  <si>
    <t>ClothTopsTshirtHalfPhoto</t>
  </si>
  <si>
    <t>ClothTopsYshirtLongPilotUniform</t>
  </si>
  <si>
    <t>ClothTopsCoatLongPirate</t>
  </si>
  <si>
    <t>plaid apron</t>
  </si>
  <si>
    <t>ClothTopsCoatLongApronCheck</t>
  </si>
  <si>
    <t>ClothTopsCoatLongCheck</t>
  </si>
  <si>
    <t>ClothTopsYshirtLongRetroCheck</t>
  </si>
  <si>
    <t>ClothTopsTshirtLongCheckJacket</t>
  </si>
  <si>
    <t>ClothTopsTshirtHalfPocket</t>
  </si>
  <si>
    <t>ClothTopsYshirtHalfPolice</t>
  </si>
  <si>
    <t>ClothTopsYshirtHalfPolo</t>
  </si>
  <si>
    <t>ClothTopsMantleLongPrince</t>
  </si>
  <si>
    <t>puffy vest</t>
  </si>
  <si>
    <t>ClothTopsYshirtLongDownVest</t>
  </si>
  <si>
    <t>ClothTopsYshirtLongQuilting</t>
  </si>
  <si>
    <t>ClothTopsTshirtLongRagged</t>
  </si>
  <si>
    <t>ClothTopsTshirtLongRaglan</t>
  </si>
  <si>
    <t>ClothTopsOuterLongRaglanParka</t>
  </si>
  <si>
    <t>ClothTopsCoatLongRain</t>
  </si>
  <si>
    <t>ClothTopsCoatHalfRestaurant</t>
  </si>
  <si>
    <t>ClothTopsTshirtLongRetro</t>
  </si>
  <si>
    <t>ClothTopsTshirtHalfRinger</t>
  </si>
  <si>
    <t>rock-band tee</t>
  </si>
  <si>
    <t>ClothTopsTshirtHalfRockBand</t>
  </si>
  <si>
    <t>ClothTopsYshirtLongCowboy</t>
  </si>
  <si>
    <t>rose-patterned shirt</t>
  </si>
  <si>
    <t>ClothTopsYshirtLongUniquePattern</t>
  </si>
  <si>
    <t>rugby attire</t>
  </si>
  <si>
    <t>ClothTopsYshirtHalfRugby</t>
  </si>
  <si>
    <t>ClothTopsYshirtLongRugger</t>
  </si>
  <si>
    <t>ClothTopsTshirtSleevelessRunning</t>
  </si>
  <si>
    <t>ClothTopsYshirtLongSafetyVest</t>
  </si>
  <si>
    <t>samurai armor</t>
  </si>
  <si>
    <t>ClothTopsCoatLongSamuraiArmor</t>
  </si>
  <si>
    <t>ClothTopsCoatLongSanta</t>
  </si>
  <si>
    <t>sarashi</t>
  </si>
  <si>
    <t>ClothTopsSarashi</t>
  </si>
  <si>
    <t>ClothTopsYshirtLongGakuran</t>
  </si>
  <si>
    <t>sheer layered top</t>
  </si>
  <si>
    <t>ClothTopsTshirtLongLayer</t>
  </si>
  <si>
    <t>ClothTopsYshirtLongHalfCardigan</t>
  </si>
  <si>
    <t>ClothTopsYshirtHalfGrunge</t>
  </si>
  <si>
    <t>ClothTopsYshirtHalfNecktie</t>
  </si>
  <si>
    <t>ClothTopsCoatLongMods</t>
  </si>
  <si>
    <t>ClothTopsOuterLongSki</t>
  </si>
  <si>
    <t>ClothTopsTshirtHalfSkipper</t>
  </si>
  <si>
    <t>ClothTopsTshirtLongSkull</t>
  </si>
  <si>
    <t>ClothTopsOuterLongCyber</t>
  </si>
  <si>
    <t>ClothTopsYshirtSleevelessDenimShirt</t>
  </si>
  <si>
    <t>ClothTopsOuterSleevelessHoodie</t>
  </si>
  <si>
    <t>ClothTopsOuterSleevelessKnit</t>
  </si>
  <si>
    <t>sleeveless pullover sweatshirt</t>
  </si>
  <si>
    <t>ClothTopsOuterSleevelessParka</t>
  </si>
  <si>
    <t>ClothTopsYshirtSleevelessSimple</t>
  </si>
  <si>
    <t>sleeveless striped shirt</t>
  </si>
  <si>
    <t>ClothTopsYshirtSleevelessStripe</t>
  </si>
  <si>
    <t>ClothTopsYshirtSleevelessTurtleneckKnit</t>
  </si>
  <si>
    <t>ClothTopsTshirtLongSmock</t>
  </si>
  <si>
    <t>ClothTopsTshirtHalfSoccer</t>
  </si>
  <si>
    <t>ClothTopsOuterLongSpace</t>
  </si>
  <si>
    <t>ClothTopsTshirtHalfStar</t>
  </si>
  <si>
    <t>ClothTopsMantleLongSteamPunk</t>
  </si>
  <si>
    <t>sticker-print shirt</t>
  </si>
  <si>
    <t>ClothTopsYshirtHalfSticker</t>
  </si>
  <si>
    <t>ClothTopsYshirtLongRoomWear</t>
  </si>
  <si>
    <t>ClothTopsYshirtHalfMultiBorderPolo</t>
  </si>
  <si>
    <t>striped tank top</t>
  </si>
  <si>
    <t>ClothTopsTshirtSleevelessBorder</t>
  </si>
  <si>
    <t>ClothTopsTshirtLongSummerCardigan</t>
  </si>
  <si>
    <t>ClothTopsTshirtHalfEgg</t>
  </si>
  <si>
    <t>ClothTopsSwim</t>
  </si>
  <si>
    <t>ClothTopsMantleLongTailcoat</t>
  </si>
  <si>
    <t>ClothTopsTshirtLongTailoredJacket</t>
  </si>
  <si>
    <t>ClothTopsTshirtSleevelessTankTop</t>
  </si>
  <si>
    <t>ClothTopsTshirtHalfScarf</t>
  </si>
  <si>
    <t>tennis sweater</t>
  </si>
  <si>
    <t>ClothTopsTshirtLongTilden</t>
  </si>
  <si>
    <t>ClothTopsTshirtHalfTiedye</t>
  </si>
  <si>
    <t>ClothTopsOuterLongYokosuka</t>
  </si>
  <si>
    <t>ClothTopsYshirtLongJersey</t>
  </si>
  <si>
    <t>ClothTopsTshirtHalfCar</t>
  </si>
  <si>
    <t>ClothTopsCoatLongTrench</t>
  </si>
  <si>
    <t>ClothTopsCoatHalfTunic</t>
  </si>
  <si>
    <t>ClothTopsYshirtLongTurtleneckKnit</t>
  </si>
  <si>
    <t>ClothTopsYshirtLongBicolor</t>
  </si>
  <si>
    <t>ClothTopsOuterLongHoliday</t>
  </si>
  <si>
    <t>ClothTopsOuterLongCollege</t>
  </si>
  <si>
    <t>utility vest</t>
  </si>
  <si>
    <t>ClothTopsYshirtLongMultipulVest</t>
  </si>
  <si>
    <t>ClothTopsMantleLongVampire</t>
  </si>
  <si>
    <t>varsity cardigan</t>
  </si>
  <si>
    <t>ClothTopsYshirtLongCollege</t>
  </si>
  <si>
    <t>varsity jacket</t>
  </si>
  <si>
    <t>ClothTopsOuterLongStadium</t>
  </si>
  <si>
    <t>vertical-striped dress shirt</t>
  </si>
  <si>
    <t>ClothTopsYshirtLongStripe</t>
  </si>
  <si>
    <t>vertical-striped tee</t>
  </si>
  <si>
    <t>ClothTopsTshirtHalfStripe</t>
  </si>
  <si>
    <t>ClothTopsTshirtHalfGilet</t>
  </si>
  <si>
    <t>ClothTopsMantleLongViking</t>
  </si>
  <si>
    <t>V-neck sweater</t>
  </si>
  <si>
    <t>ClothTopsTshirtLongVneck</t>
  </si>
  <si>
    <t>V-neck tee</t>
  </si>
  <si>
    <t>ClothTopsTshirtHalfVneck</t>
  </si>
  <si>
    <t>ClothTopsYshirtLongWestern</t>
  </si>
  <si>
    <t>wide-striped shirt</t>
  </si>
  <si>
    <t>ClothTopsYshirtLongWideStripe</t>
  </si>
  <si>
    <t>ClothTopsOuterLongWindbreaker</t>
  </si>
  <si>
    <t>work shirt with patches</t>
  </si>
  <si>
    <t>ClothTopsYshirtHalfWappen</t>
  </si>
  <si>
    <t>wrinkled long-sleeve tee</t>
  </si>
  <si>
    <t>ClothTopsTshirtLongWrinkles</t>
  </si>
  <si>
    <t>ClothTopsOuterLongParkaZip</t>
  </si>
  <si>
    <t>ClothTopsBandana</t>
  </si>
  <si>
    <t>ClothTopsTshirtSleevelessSimpleCamisole</t>
  </si>
  <si>
    <t>bikini top</t>
  </si>
  <si>
    <t>ClothTopsBodyBaseBikini</t>
  </si>
  <si>
    <t>ClothTopsYshirtLongBlazerRibbon</t>
  </si>
  <si>
    <t>ClothTopsTshirtLongOffice</t>
  </si>
  <si>
    <t>ClothTopsTshirtHalfCamisoleTshirt</t>
  </si>
  <si>
    <t>cropped knit camisole</t>
  </si>
  <si>
    <t>ClothTopsKnitCamisole</t>
  </si>
  <si>
    <t>ClothTopsYshirtPuffDolly</t>
  </si>
  <si>
    <t>ClothTopsYshirtLongCA</t>
  </si>
  <si>
    <t>heart apron</t>
  </si>
  <si>
    <t>ClothTopsCoatHalfHeartApron</t>
  </si>
  <si>
    <t>ClothTopsLace</t>
  </si>
  <si>
    <t>long-sleeve crop top</t>
  </si>
  <si>
    <t>ClothTopsCropped</t>
  </si>
  <si>
    <t>office-uniform top</t>
  </si>
  <si>
    <t>ClothTopsYshirtLongOffice</t>
  </si>
  <si>
    <t>puff-sleeve blouse</t>
  </si>
  <si>
    <t>ClothTopsYshirtPuffBlouse</t>
  </si>
  <si>
    <t>ClothTopsTshirtLongSailor</t>
  </si>
  <si>
    <t>ClothTopsYshirtHalfRibbon</t>
  </si>
  <si>
    <t>smocked blouse</t>
  </si>
  <si>
    <t>ClothTopsYshirtPuffSmock</t>
  </si>
  <si>
    <t>ClothTopsSportsBra</t>
  </si>
  <si>
    <t>ClothTopsTshirtHalfSailor</t>
  </si>
  <si>
    <t>ClothTopsTubetop</t>
  </si>
  <si>
    <t>ClothTopsTshirtLongTweedJacket</t>
  </si>
  <si>
    <t>ClothTopsTshirtLongDefault</t>
  </si>
  <si>
    <t>ClothTopsUgcTshirtHalf</t>
  </si>
  <si>
    <t>ClothTopsUgcTshirtHalfEasy</t>
  </si>
  <si>
    <t>ClothTopsUgcTshirtLong</t>
  </si>
  <si>
    <t>ClothTopsUgcTshirtSleeveless</t>
  </si>
  <si>
    <t>ClothTopsUnderwear</t>
  </si>
  <si>
    <t>ClothTopslongOverallSleevelessAerobics</t>
  </si>
  <si>
    <t>ClothTopslongOverallLongBajiJeogori</t>
  </si>
  <si>
    <t>ClothTopslongOverallLongBaseball</t>
  </si>
  <si>
    <t>ClothTopslongBoxDressLongBathrobe</t>
  </si>
  <si>
    <t>ClothTopslongBoxDressSleevelessBathTowel</t>
  </si>
  <si>
    <t>biker's leathers</t>
  </si>
  <si>
    <t>ClothTopslongOverallLongRiderSuit</t>
  </si>
  <si>
    <t>casual coveralls</t>
  </si>
  <si>
    <t>ClothTopslongSalopetteLongCasual</t>
  </si>
  <si>
    <t>ClothTopslongKimonoLongKinagashi</t>
  </si>
  <si>
    <t>ClothTopslongOverallLongCatcher</t>
  </si>
  <si>
    <t>caveman attire</t>
  </si>
  <si>
    <t>ClothTopslongBoxDressSleevelessCaveman</t>
  </si>
  <si>
    <t>charro suit</t>
  </si>
  <si>
    <t>ClothTopslongOverallLongMariachi</t>
  </si>
  <si>
    <t>ClothTopslongBoxDressLongChangshan</t>
  </si>
  <si>
    <t>ClothTopslongBoxDressSleevelessAncient</t>
  </si>
  <si>
    <t>coveralls</t>
  </si>
  <si>
    <t>ClothTopslongOverallLongOverall</t>
  </si>
  <si>
    <t>ClothTopslongOverallHalfBicycle</t>
  </si>
  <si>
    <t>disco jumpsuit</t>
  </si>
  <si>
    <t>ClothTopslongSalopetteLongDisco</t>
  </si>
  <si>
    <t>ClothTopslongSalopetteLongStar</t>
  </si>
  <si>
    <t>ClothTopslongSalopetteHalfSafari</t>
  </si>
  <si>
    <t>ClothTopslongSalopetteLongFirefighter</t>
  </si>
  <si>
    <t>ClothTopslongOverallHalfAmericanFootball</t>
  </si>
  <si>
    <t>ClothTopslongSalopetteHalfSuspendersFormal</t>
  </si>
  <si>
    <t>gym attire</t>
  </si>
  <si>
    <t>ClothTopslongMuscleLongTraining</t>
  </si>
  <si>
    <t>ClothTopslongKimonoLongLinen</t>
  </si>
  <si>
    <t>ClothTopslongOverallLongIceHockey</t>
  </si>
  <si>
    <t>jinbei</t>
  </si>
  <si>
    <t>ClothTopslongSalopetteHalfJimbei</t>
  </si>
  <si>
    <t>ClothTopslongSalopetteHalfAllinOne</t>
  </si>
  <si>
    <t>kandora</t>
  </si>
  <si>
    <t>ClothTopslongBoxDressLongKandoora</t>
  </si>
  <si>
    <t>karate gi</t>
  </si>
  <si>
    <t>ClothTopslongSalopetteLongJudo</t>
  </si>
  <si>
    <t>muscle suit</t>
  </si>
  <si>
    <t>ClothTopslongMuscleLongMuscle</t>
  </si>
  <si>
    <t>ClothTopslongOverallLongNinja</t>
  </si>
  <si>
    <t>ClothTopslongOverallLongOverallDenim</t>
  </si>
  <si>
    <t>ClothTopslongSalopetteLongSplashed</t>
  </si>
  <si>
    <t>ClothTopslongBoxDressHalfPharaoh</t>
  </si>
  <si>
    <t>ClothTopslongOverallLongRacingSuit</t>
  </si>
  <si>
    <t>ragged dress</t>
  </si>
  <si>
    <t>ClothTopslongBoxDressLongRagged</t>
  </si>
  <si>
    <t>ClothTopslongOverallSleevelessSwimwear</t>
  </si>
  <si>
    <t>ClothTopslongKimonoLongRobe</t>
  </si>
  <si>
    <t>ClothTopslongAlongLongKing</t>
  </si>
  <si>
    <t>rumba suit</t>
  </si>
  <si>
    <t>ClothTopslongSalopetteLongMambo</t>
  </si>
  <si>
    <t>ClothTopslongOverallSleevelessSamba</t>
  </si>
  <si>
    <t>ClothTopslongOverallLongSuspenders</t>
  </si>
  <si>
    <t>toga</t>
  </si>
  <si>
    <t>ClothTopslongBoxDressHalfToga</t>
  </si>
  <si>
    <t>ClothTopslongOverallLongAlpinist</t>
  </si>
  <si>
    <t>ClothTopslongOverallHalfWader</t>
  </si>
  <si>
    <t>weightlifting singlet</t>
  </si>
  <si>
    <t>ClothTopslongMuscleLongSinglet</t>
  </si>
  <si>
    <t>ClothTopslongOverallLongWetSuit</t>
  </si>
  <si>
    <t>wizard robe</t>
  </si>
  <si>
    <t>ClothTopslongKimonoLongMagician</t>
  </si>
  <si>
    <t>wrestling singlet</t>
  </si>
  <si>
    <t>ClothTopslongMuscleLongProWrestling</t>
  </si>
  <si>
    <t>ClothTopslongBoxDressLongAodai</t>
  </si>
  <si>
    <t>ClothTopslongDressLongNoble</t>
  </si>
  <si>
    <t>ClothTopslongDressSleevelessBallet</t>
  </si>
  <si>
    <t>ClothTopslongAlineHalfLinen</t>
  </si>
  <si>
    <t>ClothTopslongBoxDressLongBubbly</t>
  </si>
  <si>
    <t>belted gingham dress</t>
  </si>
  <si>
    <t>ClothTopslongAlongHalfCheck</t>
  </si>
  <si>
    <t>camisole dress</t>
  </si>
  <si>
    <t>ClothTopslongBoxDressHalfCamisole</t>
  </si>
  <si>
    <t>Catrina dress</t>
  </si>
  <si>
    <t>ClothTopslongDressHalfKatrina</t>
  </si>
  <si>
    <t>ClothTopslongAlineSleevelessCheer</t>
  </si>
  <si>
    <t>ClothTopslongAlongLongChimaJeogori</t>
  </si>
  <si>
    <t>china poblana</t>
  </si>
  <si>
    <t>ClothTopslongDressHalfChinaPoblana</t>
  </si>
  <si>
    <t>ClothTopslongAlongLongClassical</t>
  </si>
  <si>
    <t>ClothTopslongDressLongMaid</t>
  </si>
  <si>
    <t>ClothTopslongAlineLongCoatDress</t>
  </si>
  <si>
    <t>colorful dress</t>
  </si>
  <si>
    <t>ClothTopslongDressSleevelessColor</t>
  </si>
  <si>
    <t>denim dress</t>
  </si>
  <si>
    <t>ClothTopslongAlineHalfJumperSkirt</t>
  </si>
  <si>
    <t>ClothTopslongDressHalfDolly</t>
  </si>
  <si>
    <t>ClothTopslongDressHalfDreamy</t>
  </si>
  <si>
    <t>ClothTopslongDressHalfSimple</t>
  </si>
  <si>
    <t>ClothTopslongAlongHalfEmbroidery</t>
  </si>
  <si>
    <t>ClothTopslongDressSleevelessFairy</t>
  </si>
  <si>
    <t>ClothTopslongAlongLongFurCoat</t>
  </si>
  <si>
    <t>ClothTopslongDressSleevelessFigure</t>
  </si>
  <si>
    <t>ClothTopslongBoxDressSleevelessFlapper</t>
  </si>
  <si>
    <t>floral dress</t>
  </si>
  <si>
    <t>ClothTopslongAlongLongFlower</t>
  </si>
  <si>
    <t>floral jumpsuit</t>
  </si>
  <si>
    <t>ClothTopslongSalopetteHalfJumpSuit</t>
  </si>
  <si>
    <t>ClothTopslongAlineLongFormal</t>
  </si>
  <si>
    <t>frilly dress</t>
  </si>
  <si>
    <t>ClothTopslongAlongLongFrilled</t>
  </si>
  <si>
    <t>gingham dress</t>
  </si>
  <si>
    <t>ClothTopslongDressHalfGingham</t>
  </si>
  <si>
    <t>gothic dress</t>
  </si>
  <si>
    <t>ClothTopslongBoxDressLongGothic</t>
  </si>
  <si>
    <t>ClothTopslongDressLongStrap</t>
  </si>
  <si>
    <t>ClothTopslongAlineSleevelessChristmas</t>
  </si>
  <si>
    <t>hoodie dress</t>
  </si>
  <si>
    <t>ClothTopslongBoxDressLongParka</t>
  </si>
  <si>
    <t>ClothTopslongBoxDressLongChidori</t>
  </si>
  <si>
    <t>ClothTopslongBoxDressLongKnit</t>
  </si>
  <si>
    <t>ClothTopslongAlongHalfLace</t>
  </si>
  <si>
    <t>ClothTopslongBoxDressLongDenim</t>
  </si>
  <si>
    <t>long pinafore dress</t>
  </si>
  <si>
    <t>ClothTopslongAlongLongJumperSkirt</t>
  </si>
  <si>
    <t>luxury coat</t>
  </si>
  <si>
    <t>ClothTopslongBoxDressLongGown</t>
  </si>
  <si>
    <t>ClothTopslongDressHalfMagical</t>
  </si>
  <si>
    <t>ClothTopslongDressHalfMaid</t>
  </si>
  <si>
    <t>mermaid dress</t>
  </si>
  <si>
    <t>ClothTopslongAlongSleevelessMermaid</t>
  </si>
  <si>
    <t>ClothTopslongAlineSleevelessMonogram</t>
  </si>
  <si>
    <t>ClothTopslongKimonoLongYukataMorningGlory</t>
  </si>
  <si>
    <t>multistriped dress</t>
  </si>
  <si>
    <t>ClothTopslongAlongSleevelessMultiStripe</t>
  </si>
  <si>
    <t>ClothTopslongAlongLongNatural</t>
  </si>
  <si>
    <t>nightgown</t>
  </si>
  <si>
    <t>ClothTopslongAlongHalfNegligee</t>
  </si>
  <si>
    <t>ClothTopslongBoxDressHalfNurse</t>
  </si>
  <si>
    <t>ClothTopslongAlineSleevelessMarine</t>
  </si>
  <si>
    <t>old-fashioned dress</t>
  </si>
  <si>
    <t>ClothTopslongDressLongClassic</t>
  </si>
  <si>
    <t>ClothTopslongDressLongLolita</t>
  </si>
  <si>
    <t>ClothTopslongAlineSleevelessParty</t>
  </si>
  <si>
    <t>ClothTopslongAlongLongPinafore</t>
  </si>
  <si>
    <t>pinafore school attire</t>
  </si>
  <si>
    <t>ClothTopslongBoxDressLongJumper</t>
  </si>
  <si>
    <t>ClothTopslongAlongLongCheck</t>
  </si>
  <si>
    <t>ClothTopslongDressHalfPolkaDot</t>
  </si>
  <si>
    <t>ClothTopslongBoxDressLongPolo</t>
  </si>
  <si>
    <t>ClothTopslongAlineLongPompon</t>
  </si>
  <si>
    <t>ClothTopslongDressHalfIdol</t>
  </si>
  <si>
    <t>princess dress</t>
  </si>
  <si>
    <t>ClothTopslongDressHalfPrincess</t>
  </si>
  <si>
    <t>ClothTopslongBoxDressHalfQipao</t>
  </si>
  <si>
    <t>ClothTopslongAlineSleevelessRetro</t>
  </si>
  <si>
    <t>ClothTopslongAlineSleevelessFlower</t>
  </si>
  <si>
    <t>ClothTopslongAlongLongVintage</t>
  </si>
  <si>
    <t>rumba dress</t>
  </si>
  <si>
    <t>ClothTopslongAlongHalfRumba</t>
  </si>
  <si>
    <t>ClothTopslongAlineHalfSailor</t>
  </si>
  <si>
    <t>ClothTopslongAlineLongSanta</t>
  </si>
  <si>
    <t>sari</t>
  </si>
  <si>
    <t>ClothTopslongAlongHalfSaree</t>
  </si>
  <si>
    <t>satin dress</t>
  </si>
  <si>
    <t>ClothTopslongDressSleevelessSatin</t>
  </si>
  <si>
    <t>ClothTopslongKimonoLongKimono</t>
  </si>
  <si>
    <t>ClothTopslongBoxDressLongShirt</t>
  </si>
  <si>
    <t>shrine maiden's garb</t>
  </si>
  <si>
    <t>ClothTopslongKimonoLongMiko</t>
  </si>
  <si>
    <t>ClothTopslongBoxDressSleevelessHalterNeck</t>
  </si>
  <si>
    <t>ClothTopslongBoxDressHalfTshirt</t>
  </si>
  <si>
    <t>ClothTopslongAlineSleevelessShirtDress</t>
  </si>
  <si>
    <t>slip dress</t>
  </si>
  <si>
    <t>ClothTopslongBoxDressSleevelessSlip</t>
  </si>
  <si>
    <t>sparkling dress</t>
  </si>
  <si>
    <t>ClothTopslongAlongLongShiny</t>
  </si>
  <si>
    <t>sports-logo dress</t>
  </si>
  <si>
    <t>ClothTopslongBoxDressLongLogo</t>
  </si>
  <si>
    <t>starry stage dress</t>
  </si>
  <si>
    <t>ClothTopslongDressHalfStar</t>
  </si>
  <si>
    <t>ClothTopslongDressLongSteamPunk</t>
  </si>
  <si>
    <t>sunflower dress</t>
  </si>
  <si>
    <t>ClothTopslongDressSleevelessSunflower</t>
  </si>
  <si>
    <t>suspender skirt with blouse</t>
  </si>
  <si>
    <t>ClothTopslongAlineHalfSalopette</t>
  </si>
  <si>
    <t>ClothTopslongAlongSleevelessTiedye</t>
  </si>
  <si>
    <t>ClothTopslongBoxDressSleevelessTropical</t>
  </si>
  <si>
    <t>ClothTopslongDressHalfAlpinist</t>
  </si>
  <si>
    <t>ClothTopslongBoxDressLongMoga</t>
  </si>
  <si>
    <t>ClothTopslongDressSleevelessWedding</t>
  </si>
  <si>
    <t>ClothTopslongDressHalfWitch</t>
  </si>
  <si>
    <t>ClothTopslongAlongHalfCachecoeur</t>
  </si>
  <si>
    <t>ClothTopslongUgcAlineLong</t>
  </si>
  <si>
    <t>ClothTopslongUgcAlineHalf</t>
  </si>
  <si>
    <t>ClothTopslongUgcAlineSleeveless</t>
  </si>
  <si>
    <t>ClothTopslongUgcDressHalf</t>
  </si>
  <si>
    <t>ClothTopslongUgcKimonoLong</t>
  </si>
  <si>
    <t>ClothBottomsPantsLongAbc</t>
  </si>
  <si>
    <t>aristocratic pants</t>
  </si>
  <si>
    <t>ClothBottomsBloomersNoble</t>
  </si>
  <si>
    <t>baggy jeans</t>
  </si>
  <si>
    <t>ClothBottomsPantsWideBaggy</t>
  </si>
  <si>
    <t>ClothBottomsPantsWideSimpleHalf</t>
  </si>
  <si>
    <t>ClothBottomsPantsWideSimple</t>
  </si>
  <si>
    <t>ClothBottomsPantsWideBasketball</t>
  </si>
  <si>
    <t>board shorts</t>
  </si>
  <si>
    <t>ClothBottomsPantsWideSurf</t>
  </si>
  <si>
    <t>ClothBottomsPantsLongBorder</t>
  </si>
  <si>
    <t>botanical-print board shorts</t>
  </si>
  <si>
    <t>ClothBottomsPantsWideBotanical</t>
  </si>
  <si>
    <t>boxing trunks</t>
  </si>
  <si>
    <t>ClothBottomsPantsWideBoxing</t>
  </si>
  <si>
    <t>camo shorts</t>
  </si>
  <si>
    <t>ClothBottomsPantsWideCamouflage</t>
  </si>
  <si>
    <t>capri pants</t>
  </si>
  <si>
    <t>ClothBottomsPantsLongCapri</t>
  </si>
  <si>
    <t>ClothBottomsPantsWideCargo</t>
  </si>
  <si>
    <t>ClothBottomsPantsWideCargoHalf</t>
  </si>
  <si>
    <t>chain cargo pants</t>
  </si>
  <si>
    <t>ClothBottomsPantsWideChain</t>
  </si>
  <si>
    <t>ClothBottomsPantsWideCheckCargo</t>
  </si>
  <si>
    <t>ClothBottomsPantsLongRollUp</t>
  </si>
  <si>
    <t>ClothBottomsPantsWideCheckHalf</t>
  </si>
  <si>
    <t>ClothBottomsPantsLongSlacksCheck</t>
  </si>
  <si>
    <t>ClothBottomsPantsWideCheck</t>
  </si>
  <si>
    <t>ClothBottomsPantsLongChino</t>
  </si>
  <si>
    <t>ClothBottomsPantsLongChinoHalf</t>
  </si>
  <si>
    <t>ClothBottomsPantsLongSimpleColor</t>
  </si>
  <si>
    <t>ClothBottomsPantsWideCorduroy</t>
  </si>
  <si>
    <t>ClothBottomsPantsLongCropped</t>
  </si>
  <si>
    <t>cropped wide-leg pants</t>
  </si>
  <si>
    <t>ClothBottomsPantsWideCropped</t>
  </si>
  <si>
    <t>dinosaur pants</t>
  </si>
  <si>
    <t>ClothBottomsPantsLongDinosaur</t>
  </si>
  <si>
    <t>disposable diaper</t>
  </si>
  <si>
    <t>ClothBottomsDiaper</t>
  </si>
  <si>
    <t>ClothBottomsPantsWideDogJersey</t>
  </si>
  <si>
    <t>dotted pumpkin pants</t>
  </si>
  <si>
    <t>ClothBottomsBloomersDot</t>
  </si>
  <si>
    <t>dotted shorts</t>
  </si>
  <si>
    <t>ClothBottomsPantsWideDotHalf</t>
  </si>
  <si>
    <t>ClothBottomsPantsLongDown</t>
  </si>
  <si>
    <t>elephant-print wide-leg pants</t>
  </si>
  <si>
    <t>ClothBottomsPantsWideElephant</t>
  </si>
  <si>
    <t>floral palazzo pants</t>
  </si>
  <si>
    <t>ClothBottomsPantsWideFlower</t>
  </si>
  <si>
    <t>ClothBottomsPantsWideGaucho</t>
  </si>
  <si>
    <t>ClothBottomsPantsWideOutdoor</t>
  </si>
  <si>
    <t>hippie pants</t>
  </si>
  <si>
    <t>ClothBottomsPantsLongMonpe</t>
  </si>
  <si>
    <t>jacquard shorts</t>
  </si>
  <si>
    <t>ClothBottomsPantsWideJacquard</t>
  </si>
  <si>
    <t>ClothBottomsPantsLongWagara</t>
  </si>
  <si>
    <t>ClothBottomsPantsLongDenim</t>
  </si>
  <si>
    <t>ClothBottomsPantsWideDenimHalf</t>
  </si>
  <si>
    <t>kneepad pants</t>
  </si>
  <si>
    <t>ClothBottomsPantsLongPatch</t>
  </si>
  <si>
    <t>ClothBottomsPantsWideKnit</t>
  </si>
  <si>
    <t>leather rocker pants</t>
  </si>
  <si>
    <t>ClothBottomsPantsLongRock</t>
  </si>
  <si>
    <t>leather shorts</t>
  </si>
  <si>
    <t>ClothBottomsPantsWideLeather</t>
  </si>
  <si>
    <t>leopard-print pants</t>
  </si>
  <si>
    <t>ClothBottomsPantsWideLeopard</t>
  </si>
  <si>
    <t>long track shorts</t>
  </si>
  <si>
    <t>ClothBottomsPantsWideKneeJersey</t>
  </si>
  <si>
    <t>mawashi</t>
  </si>
  <si>
    <t>ClothBottomsPantsLongMawashi</t>
  </si>
  <si>
    <t>metallic pants</t>
  </si>
  <si>
    <t>ClothBottomsPantsWideMetallic</t>
  </si>
  <si>
    <t>multicolored shorts</t>
  </si>
  <si>
    <t>ClothBottomsPantsWideMulticolor</t>
  </si>
  <si>
    <t>ClothBottomsPantsWideMultiStripe</t>
  </si>
  <si>
    <t>ClothBottomsPantsWidePainter</t>
  </si>
  <si>
    <t>ClothBottomsPantsWidePajama</t>
  </si>
  <si>
    <t>palm-tree shorts</t>
  </si>
  <si>
    <t>ClothBottomsPantsWidePalmTree</t>
  </si>
  <si>
    <t>patchy sweatpants</t>
  </si>
  <si>
    <t>ClothBottomsPantsWidePatch</t>
  </si>
  <si>
    <t>pumpkin pants</t>
  </si>
  <si>
    <t>ClothBottomsBloomersPumpkin</t>
  </si>
  <si>
    <t>rad jeans</t>
  </si>
  <si>
    <t>ClothBottomsPantsWideDenimPrinted</t>
  </si>
  <si>
    <t>ClothBottomsPantsLongRagged</t>
  </si>
  <si>
    <t>ClothBottomsPantsLongDenimDamaged</t>
  </si>
  <si>
    <t>ClothBottomsPantsWideCowboy</t>
  </si>
  <si>
    <t>ClothBottomsPantsLongRunning</t>
  </si>
  <si>
    <t>ClothBottomsPantsLongSanta</t>
  </si>
  <si>
    <t>ClothBottomsPantsLongSchool</t>
  </si>
  <si>
    <t>ClothBottomsPantsLongShort</t>
  </si>
  <si>
    <t>ClothBottomsPantsLongHot</t>
  </si>
  <si>
    <t>ClothBottomsPantsWideSki</t>
  </si>
  <si>
    <t>ClothBottomsPantsLongSlacks</t>
  </si>
  <si>
    <t>ClothBottomsPantsLongCyber</t>
  </si>
  <si>
    <t>ClothBottomsPantsWideSlit</t>
  </si>
  <si>
    <t>ClothBottomsPantsWideSoccor</t>
  </si>
  <si>
    <t>ClothBottomsPantsWideSpace</t>
  </si>
  <si>
    <t>straw skirt</t>
  </si>
  <si>
    <t>ClothBottomsSkirtMiniStraw</t>
  </si>
  <si>
    <t>ClothBottomsPantsLongRoomWear</t>
  </si>
  <si>
    <t>ClothBottomsPantsLongStripe</t>
  </si>
  <si>
    <t>ClothBottomsPantsLongSuede</t>
  </si>
  <si>
    <t>ClothBottomsPantsLongSweatPants</t>
  </si>
  <si>
    <t>ClothBottomsSwim</t>
  </si>
  <si>
    <t>ClothBottomsPantsLongJersey</t>
  </si>
  <si>
    <t>ClothBottomsPantsWideJerseyHalf</t>
  </si>
  <si>
    <t>ClothBottomsPantsLongSports</t>
  </si>
  <si>
    <t>ClothBottomsSkirtLongAccordion</t>
  </si>
  <si>
    <t>ClothBottomsSkirtBoxKnit</t>
  </si>
  <si>
    <t>bikini bottoms</t>
  </si>
  <si>
    <t>ClothBottomsBodyBaseBikini</t>
  </si>
  <si>
    <t>ClothBottomsSkirtBoxBotanical</t>
  </si>
  <si>
    <t>button-up skirt</t>
  </si>
  <si>
    <t>ClothBottomsSkirtBoxFrontButton</t>
  </si>
  <si>
    <t>camo skirt</t>
  </si>
  <si>
    <t>ClothBottomsSkirtBoxCamouflage</t>
  </si>
  <si>
    <t>checkered pencil skirt</t>
  </si>
  <si>
    <t>ClothBottomsSkirtBoxCheck</t>
  </si>
  <si>
    <t>ClothBottomsSkirtLongDenimMaxi</t>
  </si>
  <si>
    <t>denim miniskirt</t>
  </si>
  <si>
    <t>ClothBottomsSkirtMiniDenimMini</t>
  </si>
  <si>
    <t>denim pencil skirt</t>
  </si>
  <si>
    <t>ClothBottomsSkirtBoxDenim</t>
  </si>
  <si>
    <t>dotted skirt</t>
  </si>
  <si>
    <t>ClothBottomsSkirtLongDot</t>
  </si>
  <si>
    <t>draped skirt</t>
  </si>
  <si>
    <t>ClothBottomsSkirtLongDrape</t>
  </si>
  <si>
    <t>elephant-print maxi skirt</t>
  </si>
  <si>
    <t>ClothBottomsSkirtLongElephant</t>
  </si>
  <si>
    <t>ClothBottomsSkirtMiniFlare</t>
  </si>
  <si>
    <t>flared skirt</t>
  </si>
  <si>
    <t>ClothBottomsSkirtLongFlare</t>
  </si>
  <si>
    <t>floral skirt</t>
  </si>
  <si>
    <t>ClothBottomsSkirtLongFlower</t>
  </si>
  <si>
    <t>ClothBottomsSkirtMiniFrill</t>
  </si>
  <si>
    <t>geometric skirt</t>
  </si>
  <si>
    <t>ClothBottomsSkirtLongFolklore</t>
  </si>
  <si>
    <t>glen plaid shorts</t>
  </si>
  <si>
    <t>ClothBottomsPantsWideGlen</t>
  </si>
  <si>
    <t>Gobelin skirt</t>
  </si>
  <si>
    <t>ClothBottomsSkirtMiniGobelin</t>
  </si>
  <si>
    <t>gradation skirt</t>
  </si>
  <si>
    <t>ClothBottomsSkirtLongGradation</t>
  </si>
  <si>
    <t>ClothBottomsSkirtMiniHeartBuckle</t>
  </si>
  <si>
    <t>houndstooth skirt</t>
  </si>
  <si>
    <t>ClothBottomsSkirtBoxChidori</t>
  </si>
  <si>
    <t>lace pencil skirt</t>
  </si>
  <si>
    <t>ClothBottomsSkirtBoxLace</t>
  </si>
  <si>
    <t>leather miniskirt</t>
  </si>
  <si>
    <t>ClothBottomsSkirtMiniLeather</t>
  </si>
  <si>
    <t>ClothBottomsSkirtLongLemon</t>
  </si>
  <si>
    <t>leopard-print maxi skirt</t>
  </si>
  <si>
    <t>ClothBottomsSkirtLongLeopard</t>
  </si>
  <si>
    <t>ClothBottomsSkirtBoxLeopard</t>
  </si>
  <si>
    <t>ClothBottomsSkirtBoxLong</t>
  </si>
  <si>
    <t>long wraparound skirt</t>
  </si>
  <si>
    <t>ClothBottomsSkirtBoxWrap</t>
  </si>
  <si>
    <t>mid-length dotted skirt</t>
  </si>
  <si>
    <t>ClothBottomsSkirtLongDotMiddle</t>
  </si>
  <si>
    <t>ClothBottomsSkirtBoxMouton</t>
  </si>
  <si>
    <t>ClothBottomsSkirtLongPatchwork</t>
  </si>
  <si>
    <t>pencil miniskirt</t>
  </si>
  <si>
    <t>ClothBottomsSkirtBoxMini</t>
  </si>
  <si>
    <t>pencil skirt</t>
  </si>
  <si>
    <t>ClothBottomsSkirtBoxSimple</t>
  </si>
  <si>
    <t>pleated skirt</t>
  </si>
  <si>
    <t>ClothBottomsSkirtLongPleats</t>
  </si>
  <si>
    <t>ClothBottomsSkirtBoxOffice</t>
  </si>
  <si>
    <t>ClothBottomsSkirtMiniDoubleButton</t>
  </si>
  <si>
    <t>ClothBottomsSkirtMiniSailor</t>
  </si>
  <si>
    <t>ClothBottomsSkirtMiniSchool</t>
  </si>
  <si>
    <t>sequin skirt</t>
  </si>
  <si>
    <t>ClothBottomsSkirtMiniSequins</t>
  </si>
  <si>
    <t>ClothBottomsSkirtMiniStrap</t>
  </si>
  <si>
    <t>striped maxi skirt</t>
  </si>
  <si>
    <t>ClothBottomsSkirtLongStripe</t>
  </si>
  <si>
    <t>striped pencil skirt</t>
  </si>
  <si>
    <t>ClothBottomsSkirtBoxStripe</t>
  </si>
  <si>
    <t>sunflower skirt</t>
  </si>
  <si>
    <t>ClothBottomsSkirtMiniSunflower</t>
  </si>
  <si>
    <t>ClothBottomsSkirtMiniTennis</t>
  </si>
  <si>
    <t>ClothBottomsSkirtLongTiered</t>
  </si>
  <si>
    <t>tulle skirt</t>
  </si>
  <si>
    <t>ClothBottomsSkirtMiniTulle</t>
  </si>
  <si>
    <t>ClothBottomsSkirtBoxTweed</t>
  </si>
  <si>
    <t>ClothBottomsSkirtMiniWrap</t>
  </si>
  <si>
    <t>ClothBottomsPantsLongDefault</t>
  </si>
  <si>
    <t>ClothBottomsUgcPantsLong</t>
  </si>
  <si>
    <t>ClothBottomsUgcPantsWide</t>
  </si>
  <si>
    <t>ClothBottomsUgcSkirtLong</t>
  </si>
  <si>
    <t>ClothBottomsUgcSkirtMini</t>
  </si>
  <si>
    <t>5-panel cap</t>
  </si>
  <si>
    <t>Hat</t>
  </si>
  <si>
    <t>ClothHeadwearHatJet</t>
  </si>
  <si>
    <t>acorn knit hat</t>
  </si>
  <si>
    <t>ClothHeadwearHatAcorn</t>
  </si>
  <si>
    <t>apple hat</t>
  </si>
  <si>
    <t>ClothHeadwearHatApple</t>
  </si>
  <si>
    <t>backward beret</t>
  </si>
  <si>
    <t>ClothHeadwearHatBackHunting</t>
  </si>
  <si>
    <t>ClothHeadwearHatBackCap</t>
  </si>
  <si>
    <t>bandanna</t>
  </si>
  <si>
    <t>ClothHeadwearHatBandana</t>
  </si>
  <si>
    <t>ClothHeadwearHatBaseball</t>
  </si>
  <si>
    <t>ClothHeadwearHatJetSimple</t>
  </si>
  <si>
    <t>ClothHeadwearHatTowel</t>
  </si>
  <si>
    <t>ClothHeadwearHatSimpleCap</t>
  </si>
  <si>
    <t>ClothHeadwearHatSimpleKnit</t>
  </si>
  <si>
    <t>ClothHeadwearHatKnit</t>
  </si>
  <si>
    <t>ClothHeadwearHatBear</t>
  </si>
  <si>
    <t>ClothHeadwearHatBee</t>
  </si>
  <si>
    <t>ClothHeadwearHatBeret</t>
  </si>
  <si>
    <t>ClothHeadwearHatBicycle</t>
  </si>
  <si>
    <t>birthday hat</t>
  </si>
  <si>
    <t>ClothHeadwearHatBirthday</t>
  </si>
  <si>
    <t>botanical-print outdoor hat</t>
  </si>
  <si>
    <t>ClothHeadwearHatOutdoorBotanical</t>
  </si>
  <si>
    <t>bowler hat</t>
  </si>
  <si>
    <t>ClothHeadwearHatBowler</t>
  </si>
  <si>
    <t>bright cap</t>
  </si>
  <si>
    <t>ClothHeadwearHatColorCap</t>
  </si>
  <si>
    <t>brimmed woolly hat</t>
  </si>
  <si>
    <t>ClothHeadwearHatKnitCap</t>
  </si>
  <si>
    <t>ClothHeadwearHatBucket</t>
  </si>
  <si>
    <t>camo cap</t>
  </si>
  <si>
    <t>ClothHeadwearHatCamouflage</t>
  </si>
  <si>
    <t>cap with badges</t>
  </si>
  <si>
    <t>ClothHeadwearHatBadgesCap</t>
  </si>
  <si>
    <t>cat-ear cap</t>
  </si>
  <si>
    <t>ClothHeadwearHatCatCap</t>
  </si>
  <si>
    <t>cat-ear knit hat</t>
  </si>
  <si>
    <t>ClothHeadwearHatKnitCat</t>
  </si>
  <si>
    <t>ClothHeadwearHatBeretCheck</t>
  </si>
  <si>
    <t>ClothHeadwearHatCook</t>
  </si>
  <si>
    <t>ClothHeadwearHatSchool</t>
  </si>
  <si>
    <t>ClothHeadwearHatCloche</t>
  </si>
  <si>
    <t>combat cap</t>
  </si>
  <si>
    <t>ClothHeadwearHatWork</t>
  </si>
  <si>
    <t>ClothHeadwearHatKasa</t>
  </si>
  <si>
    <t>corduroy cap</t>
  </si>
  <si>
    <t>ClothHeadwearHatCorduroy</t>
  </si>
  <si>
    <t>ClothHeadwearHatCossack</t>
  </si>
  <si>
    <t>ClothHeadwearHatCrown</t>
  </si>
  <si>
    <t>ClothHeadwearHatDetectives</t>
  </si>
  <si>
    <t>diner hat</t>
  </si>
  <si>
    <t>ClothHeadwearHatDiner</t>
  </si>
  <si>
    <t>ClothHeadwearHatEarflaps</t>
  </si>
  <si>
    <t>ClothHeadwearHatEgg</t>
  </si>
  <si>
    <t>ClothHeadwearHatExplorer</t>
  </si>
  <si>
    <t>fancy hat</t>
  </si>
  <si>
    <t>ClothHeadwearHatDress</t>
  </si>
  <si>
    <t>ClothHeadwearHatShallow</t>
  </si>
  <si>
    <t>ClothHeadwearHatFleece</t>
  </si>
  <si>
    <t>ClothHeadwearHatCA</t>
  </si>
  <si>
    <t>ClothHeadwearHatFlowerCrown</t>
  </si>
  <si>
    <t>ClothHeadwearHatAcademic</t>
  </si>
  <si>
    <t>guapi mao</t>
  </si>
  <si>
    <t>ClothHeadwearHatGuapimao</t>
  </si>
  <si>
    <t>ClothHeadwearHatHeart</t>
  </si>
  <si>
    <t>holographic cap</t>
  </si>
  <si>
    <t>ClothHeadwearHatHologram</t>
  </si>
  <si>
    <t>ClothHeadwearHatHunting</t>
  </si>
  <si>
    <t>ClothHeadwearHatJapan</t>
  </si>
  <si>
    <t>ClothHeadwearHatPierrot</t>
  </si>
  <si>
    <t>ClothHeadwearHatJockey</t>
  </si>
  <si>
    <t>kerchief</t>
  </si>
  <si>
    <t>ClothHeadwearHatKerchief</t>
  </si>
  <si>
    <t>mesh cap</t>
  </si>
  <si>
    <t>ClothHeadwearHatMesh</t>
  </si>
  <si>
    <t>ClothHeadwearHatMetro</t>
  </si>
  <si>
    <t>ClothHeadwearHatMummy</t>
  </si>
  <si>
    <t>ClothHeadwearHatMushroom</t>
  </si>
  <si>
    <t>ClothHeadwearHatNewsboy</t>
  </si>
  <si>
    <t>ClothHeadwearHatOutdoor</t>
  </si>
  <si>
    <t>ClothHeadwearHatPanama</t>
  </si>
  <si>
    <t>party hat</t>
  </si>
  <si>
    <t>ClothHeadwearHatParty</t>
  </si>
  <si>
    <t>pillbox hat</t>
  </si>
  <si>
    <t>ClothHeadwearHatToque</t>
  </si>
  <si>
    <t>ClothHeadwearHatPineapple</t>
  </si>
  <si>
    <t>ClothHeadwearHatPirate</t>
  </si>
  <si>
    <t>ClothHeadwearHatNewsboyCheck</t>
  </si>
  <si>
    <t>ClothHeadwearHatPointy</t>
  </si>
  <si>
    <t>ClothHeadwearHatPolice</t>
  </si>
  <si>
    <t>ClothHeadwearHatKnitPompom</t>
  </si>
  <si>
    <t>pot</t>
  </si>
  <si>
    <t>ClothHeadwearHatPot</t>
  </si>
  <si>
    <t>propeller cap</t>
  </si>
  <si>
    <t>ClothHeadwearHatPropellerCap</t>
  </si>
  <si>
    <t>rhinestone cap</t>
  </si>
  <si>
    <t>ClothHeadwearHatRhinestone</t>
  </si>
  <si>
    <t>ClothHeadwearHatHelmet</t>
  </si>
  <si>
    <t>ClothHeadwearHatMarine</t>
  </si>
  <si>
    <t>sailor cap</t>
  </si>
  <si>
    <t>ClothHeadwearHatSailor</t>
  </si>
  <si>
    <t>ClothHeadwearHatSanta</t>
  </si>
  <si>
    <t>sequined hat</t>
  </si>
  <si>
    <t>ClothHeadwearHatSpangle</t>
  </si>
  <si>
    <t>ClothHeadwearHatShampoo</t>
  </si>
  <si>
    <t>skateboard helmet</t>
  </si>
  <si>
    <t>ClothHeadwearHatSkateboard</t>
  </si>
  <si>
    <t>ClothHeadwearHatSki</t>
  </si>
  <si>
    <t>ClothHeadwearHatRoll</t>
  </si>
  <si>
    <t>ClothHeadwearHatNightCap</t>
  </si>
  <si>
    <t>ClothHeadwearHatSoftcream</t>
  </si>
  <si>
    <t>sombrero</t>
  </si>
  <si>
    <t>ClothHeadwearHatSombrero</t>
  </si>
  <si>
    <t>square-motif hat</t>
  </si>
  <si>
    <t>ClothHeadwearHatSquare</t>
  </si>
  <si>
    <t>steampunk hat</t>
  </si>
  <si>
    <t>ClothHeadwearHatSteamPunk</t>
  </si>
  <si>
    <t>strawberry hat</t>
  </si>
  <si>
    <t>ClothHeadwearHatStrawberry</t>
  </si>
  <si>
    <t>ClothHeadwearHatBoater</t>
  </si>
  <si>
    <t>ClothHeadwearHatStraw</t>
  </si>
  <si>
    <t>ClothHeadwearHatStudsCasquette</t>
  </si>
  <si>
    <t>student cap</t>
  </si>
  <si>
    <t>ClothHeadwearHatStudent</t>
  </si>
  <si>
    <t>ClothHeadwearHatTam</t>
  </si>
  <si>
    <t>ClothHeadwearHatCawboy</t>
  </si>
  <si>
    <t>ClothHeadwearHatTiedye</t>
  </si>
  <si>
    <t>top hat</t>
  </si>
  <si>
    <t>ClothHeadwearHatSilk</t>
  </si>
  <si>
    <t>ClothHeadwearHatTrilby</t>
  </si>
  <si>
    <t>tulip hat</t>
  </si>
  <si>
    <t>ClothHeadwearHatTulip</t>
  </si>
  <si>
    <t>ClothHeadwearHatTyrolean</t>
  </si>
  <si>
    <t>ClothHeadwearHatViking</t>
  </si>
  <si>
    <t>wide-brim felt hat</t>
  </si>
  <si>
    <t>ClothHeadwearHatFelt</t>
  </si>
  <si>
    <t>ClothHeadwearHatStrawWide</t>
  </si>
  <si>
    <t>ClothHeadwearHatWitch</t>
  </si>
  <si>
    <t>ClothHeadwearHatMagician</t>
  </si>
  <si>
    <t>Fullface</t>
  </si>
  <si>
    <t>ClothHeadwearFullfaceAstronaut</t>
  </si>
  <si>
    <t>Costume</t>
  </si>
  <si>
    <t>ClothHeadwearCostumeBaby</t>
  </si>
  <si>
    <t>basic hood</t>
  </si>
  <si>
    <t>ClothHeadwearCostumeHood</t>
  </si>
  <si>
    <t>batting helmet</t>
  </si>
  <si>
    <t>Protector</t>
  </si>
  <si>
    <t>ClothHeadwearProtectorBatter</t>
  </si>
  <si>
    <t>ClothHeadwearCostumeBear</t>
  </si>
  <si>
    <t>ClothHeadwearCostumeBird</t>
  </si>
  <si>
    <t>Cover</t>
  </si>
  <si>
    <t>ClothHeadwearCoverBodySuit</t>
  </si>
  <si>
    <t>ClothHeadwearFullfaceCardboard</t>
  </si>
  <si>
    <t>ClothHeadwearCoverCatcher</t>
  </si>
  <si>
    <t>ClothHeadwearCostumeCat</t>
  </si>
  <si>
    <t>ClothHeadwearCostumeHen</t>
  </si>
  <si>
    <t>ClothHeadwearCostumeCow</t>
  </si>
  <si>
    <t>crab hood</t>
  </si>
  <si>
    <t>ClothHeadwearCostumeCrab</t>
  </si>
  <si>
    <t>ClothHeadwearFullfaceCyber</t>
  </si>
  <si>
    <t>ClothHeadwearCostumeDevil</t>
  </si>
  <si>
    <t>ClothHeadwearCostumeDinosaur</t>
  </si>
  <si>
    <t>ClothHeadwearFullfaceDivingHelmet</t>
  </si>
  <si>
    <t>ClothHeadwearCostumeDog</t>
  </si>
  <si>
    <t>ClothHeadwearCostumeDragon</t>
  </si>
  <si>
    <t>faux-fur hood</t>
  </si>
  <si>
    <t>ClothHeadwearCostumeFurHood</t>
  </si>
  <si>
    <t>ClothHeadwearProtectorFirefighter</t>
  </si>
  <si>
    <t>ClothHeadwearCostumeFish</t>
  </si>
  <si>
    <t>ClothHeadwearCoverFlower</t>
  </si>
  <si>
    <t>ClothHeadwearProtectorAmericanfootball</t>
  </si>
  <si>
    <t>ClothHeadwearCostumeFrog</t>
  </si>
  <si>
    <t>fruit hat</t>
  </si>
  <si>
    <t>ClothHeadwearCoverFruit</t>
  </si>
  <si>
    <t>0x8552837e</t>
  </si>
  <si>
    <t>ClothHeadwearFullmaskGladiator</t>
  </si>
  <si>
    <t>ClothHeadwearProtectorHalfHelmet</t>
  </si>
  <si>
    <t>ClothHeadwearCostumeHamster</t>
  </si>
  <si>
    <t>heart hood</t>
  </si>
  <si>
    <t>ClothHeadwearCostumeHeart</t>
  </si>
  <si>
    <t>ClothHeadwearFullmaskHero</t>
  </si>
  <si>
    <t>ClothHeadwearCostumeHorse</t>
  </si>
  <si>
    <t>ClothHeadwearCostumeHotdog</t>
  </si>
  <si>
    <t>ClothHeadwearProtectorIceHockey</t>
  </si>
  <si>
    <t>ClothHeadwearFullmaskPumpkin</t>
  </si>
  <si>
    <t>kaffiyeh and agal</t>
  </si>
  <si>
    <t>ClothHeadwearProtectorShemagh</t>
  </si>
  <si>
    <t>ClothHeadwearFullmaskArmor</t>
  </si>
  <si>
    <t>knit earflap hat</t>
  </si>
  <si>
    <t>ClothHeadwearProtectorEarflaps</t>
  </si>
  <si>
    <t>ClothHeadwearCostumeKoala</t>
  </si>
  <si>
    <t>ClothHeadwearProtectorRugby</t>
  </si>
  <si>
    <t>ClothHeadwearCostumeLion</t>
  </si>
  <si>
    <t>ClothHeadwearFullmaskLucha</t>
  </si>
  <si>
    <t>ClothHeadwearCostumeMonkey</t>
  </si>
  <si>
    <t>ClothHeadwearCostumeMonster</t>
  </si>
  <si>
    <t>ClothHeadwearCostumeNinja</t>
  </si>
  <si>
    <t>paper-bag mask</t>
  </si>
  <si>
    <t>ClothHeadwearFullmaskPaperBag</t>
  </si>
  <si>
    <t>ClothHeadwearCostumePenguin</t>
  </si>
  <si>
    <t>ClothHeadwearCoverPharaoh</t>
  </si>
  <si>
    <t>ClothHeadwearCostumePig</t>
  </si>
  <si>
    <t>ClothHeadwearCostumeRabbit</t>
  </si>
  <si>
    <t>ClothHeadwearFullfaceMotorcycle</t>
  </si>
  <si>
    <t>ClothHeadwearCostumeReindeer</t>
  </si>
  <si>
    <t>ClothHeadwearProtectorSamuraiHelmet</t>
  </si>
  <si>
    <t>ClothHeadwearCostumeSheep</t>
  </si>
  <si>
    <t>ClothHeadwearCoverNightCap</t>
  </si>
  <si>
    <t>ClothHeadwearFullmaskSkull</t>
  </si>
  <si>
    <t>ClothHeadwearCoverBeanie</t>
  </si>
  <si>
    <t>ClothHeadwearCostumeSnowman</t>
  </si>
  <si>
    <t>ClothHeadwearCostumeStagBeetle</t>
  </si>
  <si>
    <t>ClothHeadwearCostumeStar</t>
  </si>
  <si>
    <t>ClothHeadwearCoverSwim</t>
  </si>
  <si>
    <t>tiger hood</t>
  </si>
  <si>
    <t>ClothHeadwearCostumeTiger</t>
  </si>
  <si>
    <t>ClothHeadwearFullfaceRobot</t>
  </si>
  <si>
    <t>ClothHeadwearProtectorPilot</t>
  </si>
  <si>
    <t>ClothHeadwearCostumeTree</t>
  </si>
  <si>
    <t>triceratops hood</t>
  </si>
  <si>
    <t>ClothHeadwearCostumeTriceratops</t>
  </si>
  <si>
    <t>turban</t>
  </si>
  <si>
    <t>ClothHeadwearCoverTurban</t>
  </si>
  <si>
    <t>ClothHeadwearCostumeTurkey</t>
  </si>
  <si>
    <t>TV mask</t>
  </si>
  <si>
    <t>ClothHeadwearFullfaceTelevision</t>
  </si>
  <si>
    <t>3D glasses</t>
  </si>
  <si>
    <t>Glass</t>
  </si>
  <si>
    <t>ClothHeadwearGlassThreeD</t>
  </si>
  <si>
    <t>cyberpunk sunglasses</t>
  </si>
  <si>
    <t>ClothHeadwearGlassCyber</t>
  </si>
  <si>
    <t>eye mask</t>
  </si>
  <si>
    <t>ClothHeadwearGlassEyeMask</t>
  </si>
  <si>
    <t>eye patch</t>
  </si>
  <si>
    <t>ClothHeadwearGlassEyepatch</t>
  </si>
  <si>
    <t>flower sunglasses</t>
  </si>
  <si>
    <t>ClothHeadwearGlassFlower</t>
  </si>
  <si>
    <t>goggles</t>
  </si>
  <si>
    <t>ClothHeadwearGlassGoggle</t>
  </si>
  <si>
    <t>ClothHeadwearGlassHeart</t>
  </si>
  <si>
    <t>masquerade mask</t>
  </si>
  <si>
    <t>ClothHeadwearGlassMasquerade</t>
  </si>
  <si>
    <t>ClothHeadwearGlassPhantomThief</t>
  </si>
  <si>
    <t>pixel sunglasses</t>
  </si>
  <si>
    <t>ClothHeadwearGlassPixel</t>
  </si>
  <si>
    <t>pop-out glasses</t>
  </si>
  <si>
    <t>ClothHeadwearGlassEye</t>
  </si>
  <si>
    <t>rhinestone sunglasses</t>
  </si>
  <si>
    <t>ClothHeadwearGlassLineStone</t>
  </si>
  <si>
    <t>shield sunglasses</t>
  </si>
  <si>
    <t>ClothHeadwearGlassShield</t>
  </si>
  <si>
    <t>shutter shades</t>
  </si>
  <si>
    <t>ClothHeadwearGlassShutter</t>
  </si>
  <si>
    <t>ClothHeadwearGlassSnorkel</t>
  </si>
  <si>
    <t>star sunglasses</t>
  </si>
  <si>
    <t>ClothHeadwearGlassStar</t>
  </si>
  <si>
    <t>thick-lens glasses</t>
  </si>
  <si>
    <t>ClothHeadwearGlassBottomBottom</t>
  </si>
  <si>
    <t>VR headset</t>
  </si>
  <si>
    <t>ClothHeadwearGlassHMD</t>
  </si>
  <si>
    <t>animal mask</t>
  </si>
  <si>
    <t>Mask</t>
  </si>
  <si>
    <t>ClothHeadwearMaskAnimal</t>
  </si>
  <si>
    <t>basic mask</t>
  </si>
  <si>
    <t>ClothHeadwearMaskPlain</t>
  </si>
  <si>
    <t>clown mask</t>
  </si>
  <si>
    <t>ClothHeadwearMaskPierrot</t>
  </si>
  <si>
    <t>crow mask</t>
  </si>
  <si>
    <t>ClothHeadwearMaskCrow</t>
  </si>
  <si>
    <t>gas mask</t>
  </si>
  <si>
    <t>ClothHeadwearMaskGasMask</t>
  </si>
  <si>
    <t>hockey mask</t>
  </si>
  <si>
    <t>ClothHeadwearMaskHockey</t>
  </si>
  <si>
    <t>kitsune mask</t>
  </si>
  <si>
    <t>ClothHeadwearMaskFox</t>
  </si>
  <si>
    <t>medical face mask</t>
  </si>
  <si>
    <t>HalfMask</t>
  </si>
  <si>
    <t>ClothHeadwearMaskMask</t>
  </si>
  <si>
    <t>ClothHeadwearMaskOgre</t>
  </si>
  <si>
    <t>printed-design face mask</t>
  </si>
  <si>
    <t>ClothHeadwearMaskPrintMask</t>
  </si>
  <si>
    <t>sugar-skull mask</t>
  </si>
  <si>
    <t>ClothHeadwearMaskKatrina</t>
  </si>
  <si>
    <t>welding mask</t>
  </si>
  <si>
    <t>ClothHeadwearMaskWelding</t>
  </si>
  <si>
    <t>ClothHeadwearOrnamentTopAngel</t>
  </si>
  <si>
    <t>Front</t>
  </si>
  <si>
    <t>ClothHeadwearOrnamentFrontLolita</t>
  </si>
  <si>
    <t>ClothHeadwearOrnamentFrontBigRibbon</t>
  </si>
  <si>
    <t>bird's-nest hat</t>
  </si>
  <si>
    <t>ClothHeadwearOrnamentFrontNest</t>
  </si>
  <si>
    <t>bug antennae</t>
  </si>
  <si>
    <t>ClothHeadwearOrnamentTopInsect</t>
  </si>
  <si>
    <t>bunny-ear ribbon</t>
  </si>
  <si>
    <t>ClothHeadwearOrnamentFrontRabbitRibbon</t>
  </si>
  <si>
    <t>ClothHeadwearOrnamentFrontBunny</t>
  </si>
  <si>
    <t>butterfly hair clip</t>
  </si>
  <si>
    <t>Side</t>
  </si>
  <si>
    <t>ClothHeadwearOrnamentSideButterfly</t>
  </si>
  <si>
    <t>cosmic antennae</t>
  </si>
  <si>
    <t>ClothHeadwearOrnamentTopAntenna</t>
  </si>
  <si>
    <t>crossed hairpins</t>
  </si>
  <si>
    <t>ClothHeadwearOrnamentSidePinCross</t>
  </si>
  <si>
    <t>daisy hairpin</t>
  </si>
  <si>
    <t>ClothHeadwearOrnamentSideDaisy</t>
  </si>
  <si>
    <t>decorative hair clip</t>
  </si>
  <si>
    <t>ClothHeadwearOrnamentSideBijou</t>
  </si>
  <si>
    <t>ClothHeadwearOrnamentSideStraw</t>
  </si>
  <si>
    <t>ClothHeadwearOrnamentSideFlapper</t>
  </si>
  <si>
    <t>ClothHeadwearOrnamentSidePinFlower</t>
  </si>
  <si>
    <t>flower hairpin</t>
  </si>
  <si>
    <t>ClothHeadwearOrnamentSideFlower</t>
  </si>
  <si>
    <t>flower hat</t>
  </si>
  <si>
    <t>ClothHeadwearOrnamentTopFlower</t>
  </si>
  <si>
    <t>hair clip</t>
  </si>
  <si>
    <t>ClothHeadwearOrnamentSideHairClip</t>
  </si>
  <si>
    <t>ClothHeadwearOrnamentFrontHairCurler</t>
  </si>
  <si>
    <t>ClothHeadwearOrnamentSideHibiscus</t>
  </si>
  <si>
    <t>horn</t>
  </si>
  <si>
    <t>ClothHeadwearOrnamentFrontHorn</t>
  </si>
  <si>
    <t>ClothHeadwearOrnamentSideWakazari</t>
  </si>
  <si>
    <t>key ring</t>
  </si>
  <si>
    <t>ClothHeadwearOrnamentTopKeyHolder</t>
  </si>
  <si>
    <t>ClothHeadwearOrnamentFrontMaid</t>
  </si>
  <si>
    <t>marionette control bar</t>
  </si>
  <si>
    <t>ClothHeadwearOrnamentTopPuppet</t>
  </si>
  <si>
    <t>ClothHeadwearOrnamentSideMiniSilkHat</t>
  </si>
  <si>
    <t>mini-UFO hat</t>
  </si>
  <si>
    <t>ClothHeadwearOrnamentTopUfo</t>
  </si>
  <si>
    <t>ClothHeadwearOrnamentFrontNurseCap</t>
  </si>
  <si>
    <t>pearl hair clip</t>
  </si>
  <si>
    <t>ClothHeadwearOrnamentSidePearl</t>
  </si>
  <si>
    <t>ClothHeadwearOrnamentSideIdol</t>
  </si>
  <si>
    <t>price tag</t>
  </si>
  <si>
    <t>ClothHeadwearOrnamentTopTag</t>
  </si>
  <si>
    <t>ClothHeadwearOrnamentTopPrince</t>
  </si>
  <si>
    <t>ClothHeadwearOrnamentSideRibbon</t>
  </si>
  <si>
    <t>rubber-ducky hat</t>
  </si>
  <si>
    <t>ClothHeadwearOrnamentFrontDuck</t>
  </si>
  <si>
    <t>ClothHeadwearOrnamentFrontSamba</t>
  </si>
  <si>
    <t>seashell hairpin</t>
  </si>
  <si>
    <t>ClothHeadwearOrnamentSidePinSeashell</t>
  </si>
  <si>
    <t>ClothHeadwearOrnamentSidePin</t>
  </si>
  <si>
    <t>ClothHeadwearOrnamentTopLeaf</t>
  </si>
  <si>
    <t>ClothHeadwearOrnamentFrontTiara</t>
  </si>
  <si>
    <t>warning light</t>
  </si>
  <si>
    <t>ClothHeadwearOrnamentTopColorLamp</t>
  </si>
  <si>
    <t>ClothHeadwearOrnamentFrontWedding</t>
  </si>
  <si>
    <t>ClothHeadwearHatUgcBoater</t>
  </si>
  <si>
    <t>ClothHeadwearGlassDemoMiiGlass15</t>
  </si>
  <si>
    <t>ClothHeadwearHatUgcCap</t>
  </si>
  <si>
    <t>ClothHeadwearHatUgcKnit</t>
  </si>
  <si>
    <t>ClothAccessoryNeckAcrylic</t>
  </si>
  <si>
    <t>ClothAccessoryNeckBijou</t>
  </si>
  <si>
    <t>ClothAccessoryNeckLoopTie</t>
  </si>
  <si>
    <t>bow tie</t>
  </si>
  <si>
    <t>ClothAccessoryNeckBowTie</t>
  </si>
  <si>
    <t>bright-bead necklace</t>
  </si>
  <si>
    <t>ClothAccessoryNeckColorBeads</t>
  </si>
  <si>
    <t>ClothAccessoryNeckChain</t>
  </si>
  <si>
    <t>ClothAccessoryNeckSunglasses</t>
  </si>
  <si>
    <t>DSLR camera</t>
  </si>
  <si>
    <t>ClothAccessoryNeckCamera</t>
  </si>
  <si>
    <t>ClothAccessoryNeckCoin</t>
  </si>
  <si>
    <t>flower necklace</t>
  </si>
  <si>
    <t>ClothAccessoryNeckFlower</t>
  </si>
  <si>
    <t>ClothAccessoryNeckHeart</t>
  </si>
  <si>
    <t>magical pendant</t>
  </si>
  <si>
    <t>ClothAccessoryNeckShiningPendant</t>
  </si>
  <si>
    <t>medal</t>
  </si>
  <si>
    <t>ClothAccessoryNeckMedal</t>
  </si>
  <si>
    <t>ClothAccessoryNeckNameplate</t>
  </si>
  <si>
    <t>neck pouch</t>
  </si>
  <si>
    <t>ClothAccessoryNeckPouch</t>
  </si>
  <si>
    <t>ClothAccessoryNeckPearl</t>
  </si>
  <si>
    <t>ClothAccessoryNeckPendant</t>
  </si>
  <si>
    <t>ClothAccessoryNeckRing</t>
  </si>
  <si>
    <t>shoulder-wrap cardigan</t>
  </si>
  <si>
    <t>ClothAccessoryNeckCardigan</t>
  </si>
  <si>
    <t>skull necklace</t>
  </si>
  <si>
    <t>ClothAccessoryNeckSkull</t>
  </si>
  <si>
    <t>star pendant</t>
  </si>
  <si>
    <t>ClothAccessoryNeckToy</t>
  </si>
  <si>
    <t>ClothAccessoryNeckStethoscope</t>
  </si>
  <si>
    <t>ClothAccessoryNeckLeatherChoker</t>
  </si>
  <si>
    <t>triple chain</t>
  </si>
  <si>
    <t>ClothAccessoryNeckTripleChain</t>
  </si>
  <si>
    <t>whistle</t>
  </si>
  <si>
    <t>ClothAccessoryNeckWhistle</t>
  </si>
  <si>
    <t>ClothAccessoryNeckWoodBeads</t>
  </si>
  <si>
    <t>ClothAccessoryMufflerSimple</t>
  </si>
  <si>
    <t>ClothAccessoryMufflerCheck</t>
  </si>
  <si>
    <t>faux-fur muffler</t>
  </si>
  <si>
    <t>ClothAccessoryMufflerFur</t>
  </si>
  <si>
    <t>flower garland</t>
  </si>
  <si>
    <t>ClothAccessoryMufflerFlower</t>
  </si>
  <si>
    <t>ClothAccessoryMufflerHeadphone</t>
  </si>
  <si>
    <t>hero scarf</t>
  </si>
  <si>
    <t>ClothAccessoryMufflerHero</t>
  </si>
  <si>
    <t>neck towel</t>
  </si>
  <si>
    <t>ClothAccessoryMufflerTowel</t>
  </si>
  <si>
    <t>scarf with fringe</t>
  </si>
  <si>
    <t>ClothAccessoryMufflerFringeStole</t>
  </si>
  <si>
    <t>silk scarf</t>
  </si>
  <si>
    <t>ClothAccessoryMufflerScarf</t>
  </si>
  <si>
    <t>snood</t>
  </si>
  <si>
    <t>ClothAccessoryMufflerSnood</t>
  </si>
  <si>
    <t>ClothAccessoryMufflerStole</t>
  </si>
  <si>
    <t>animal badge</t>
  </si>
  <si>
    <t>ClothAccessoryChestBadgeAnimal</t>
  </si>
  <si>
    <t>antique brooch</t>
  </si>
  <si>
    <t>ClothAccessoryChestAntique</t>
  </si>
  <si>
    <t>bird brooch</t>
  </si>
  <si>
    <t>ClothAccessoryChestBird</t>
  </si>
  <si>
    <t>ClothAccessoryChestBoutonniere</t>
  </si>
  <si>
    <t>cameo brooch</t>
  </si>
  <si>
    <t>ClothAccessoryChestCameo</t>
  </si>
  <si>
    <t>cute badge</t>
  </si>
  <si>
    <t>ClothAccessoryChestBadgeCute</t>
  </si>
  <si>
    <t>feather brooch</t>
  </si>
  <si>
    <t>ClothAccessoryChestFeather</t>
  </si>
  <si>
    <t>ClothAccessoryChestNameTag</t>
  </si>
  <si>
    <t>pearl brooch</t>
  </si>
  <si>
    <t>ClothAccessoryChestPearl</t>
  </si>
  <si>
    <t>ClothAccessoryChestRose</t>
  </si>
  <si>
    <t>rosette</t>
  </si>
  <si>
    <t>ClothAccessoryChestRosette</t>
  </si>
  <si>
    <t>ClothAccessoryChestCorsage</t>
  </si>
  <si>
    <t>text badge</t>
  </si>
  <si>
    <t>ClothAccessoryChestBadgeText</t>
  </si>
  <si>
    <t>bear tail</t>
  </si>
  <si>
    <t>ClothAccessoryWaistBear</t>
  </si>
  <si>
    <t>bee stinger</t>
  </si>
  <si>
    <t>ClothAccessoryWaistBee</t>
  </si>
  <si>
    <t>ClothAccessoryWaistRabbit</t>
  </si>
  <si>
    <t>cat tail</t>
  </si>
  <si>
    <t>ClothAccessoryWaistCat</t>
  </si>
  <si>
    <t>chicken tail</t>
  </si>
  <si>
    <t>ClothAccessoryWaistHen</t>
  </si>
  <si>
    <t>cow tail</t>
  </si>
  <si>
    <t>ClothAccessoryWaistCow</t>
  </si>
  <si>
    <t>devil tail</t>
  </si>
  <si>
    <t>ClothAccessoryWaistDevil</t>
  </si>
  <si>
    <t>dinosaur tail</t>
  </si>
  <si>
    <t>ClothAccessoryWaistDinosaur</t>
  </si>
  <si>
    <t>dog tail</t>
  </si>
  <si>
    <t>ClothAccessoryWaistDog</t>
  </si>
  <si>
    <t>dragon tail</t>
  </si>
  <si>
    <t>ClothAccessoryWaistDragon</t>
  </si>
  <si>
    <t>horse tail</t>
  </si>
  <si>
    <t>ClothAccessoryWaistHorse</t>
  </si>
  <si>
    <t>monkey tail</t>
  </si>
  <si>
    <t>ClothAccessoryWaistMonkey</t>
  </si>
  <si>
    <t>monster tail</t>
  </si>
  <si>
    <t>ClothAccessoryWaistMonster</t>
  </si>
  <si>
    <t>pig tail</t>
  </si>
  <si>
    <t>ClothAccessoryWaistPig</t>
  </si>
  <si>
    <t>shrimp tail</t>
  </si>
  <si>
    <t>ClothAccessoryWaistShrimp</t>
  </si>
  <si>
    <t>tiger tail</t>
  </si>
  <si>
    <t>ClothAccessoryWaistTiger</t>
  </si>
  <si>
    <t>turkey tail</t>
  </si>
  <si>
    <t>ClothAccessoryWaistTurkey</t>
  </si>
  <si>
    <t>bear backpack</t>
  </si>
  <si>
    <t>ClothAccessoryBagBear</t>
  </si>
  <si>
    <t>butterfly backpack</t>
  </si>
  <si>
    <t>ClothAccessoryBagButterfly</t>
  </si>
  <si>
    <t>ClothAccessoryBagTown</t>
  </si>
  <si>
    <t>dinosaur backpack</t>
  </si>
  <si>
    <t>ClothAccessoryBagDinosaur</t>
  </si>
  <si>
    <t>ClothAccessoryBagSchool</t>
  </si>
  <si>
    <t>knapsack</t>
  </si>
  <si>
    <t>ClothAccessoryBagKnapsack</t>
  </si>
  <si>
    <t>ClothAccessoryBagMini</t>
  </si>
  <si>
    <t>outdoorsy backpack</t>
  </si>
  <si>
    <t>ClothAccessoryBagOutdoor</t>
  </si>
  <si>
    <t>ClothAccessoryBagBusiness</t>
  </si>
  <si>
    <t>satchel</t>
  </si>
  <si>
    <t>ClothAccessoryBagSatchel</t>
  </si>
  <si>
    <t>studded backpack</t>
  </si>
  <si>
    <t>ClothAccessoryBagStuds</t>
  </si>
  <si>
    <t>ClothAccessoryBagTravel</t>
  </si>
  <si>
    <t>ClothAccessoryBackAngel</t>
  </si>
  <si>
    <t>bee wings</t>
  </si>
  <si>
    <t>ClothAccessoryBackBee</t>
  </si>
  <si>
    <t>butterfly wings</t>
  </si>
  <si>
    <t>ClothAccessoryBackButterfly</t>
  </si>
  <si>
    <t>cyberpunk wings</t>
  </si>
  <si>
    <t>ClothAccessoryBackCyberWing</t>
  </si>
  <si>
    <t>devil wings</t>
  </si>
  <si>
    <t>ClothAccessoryBackDevil</t>
  </si>
  <si>
    <t>dragon wings</t>
  </si>
  <si>
    <t>ClothAccessoryBackDragon</t>
  </si>
  <si>
    <t>ClothAccessoryBackFairy</t>
  </si>
  <si>
    <t>jet pack</t>
  </si>
  <si>
    <t>ClothAccessoryBackJetpack</t>
  </si>
  <si>
    <t>turtle shell</t>
  </si>
  <si>
    <t>ClothAccessoryBackTurtle</t>
  </si>
  <si>
    <t>celestial lights</t>
  </si>
  <si>
    <t>ClothAccessoryBackLight</t>
  </si>
  <si>
    <t>floating feathers</t>
  </si>
  <si>
    <t>ClothAccessoryBackFeather</t>
  </si>
  <si>
    <t>happy flowers</t>
  </si>
  <si>
    <t>ClothAccessoryBackFlower</t>
  </si>
  <si>
    <t>happy hearts</t>
  </si>
  <si>
    <t>ClothAccessoryBackHeart</t>
  </si>
  <si>
    <t>magic symbol</t>
  </si>
  <si>
    <t>ClothAccessoryBackMagicCircle</t>
  </si>
  <si>
    <t>musical notes</t>
  </si>
  <si>
    <t>ClothAccessoryBackMusicalNote</t>
  </si>
  <si>
    <t>ClothAccessoryBackRose</t>
  </si>
  <si>
    <t>ClothAccessoryBackStar</t>
  </si>
  <si>
    <t>ClothAccessoryBackAxe</t>
  </si>
  <si>
    <t>bow</t>
  </si>
  <si>
    <t>ClothAccessoryBackBow</t>
  </si>
  <si>
    <t>giant sword</t>
  </si>
  <si>
    <t>ClothAccessoryBackBigSword</t>
  </si>
  <si>
    <t>guitar case</t>
  </si>
  <si>
    <t>ClothAccessoryBackGuitarCase</t>
  </si>
  <si>
    <t>ClothAccessoryBackMagicalStick</t>
  </si>
  <si>
    <t>ClothAccessoryBackKatana</t>
  </si>
  <si>
    <t>ClothAccessoryBackSword</t>
  </si>
  <si>
    <t>ClothAccessoryBackStaff</t>
  </si>
  <si>
    <t>scythe</t>
  </si>
  <si>
    <t>ClothAccessoryBackScythe</t>
  </si>
  <si>
    <t>shuriken</t>
  </si>
  <si>
    <t>ClothAccessoryBackShuriken</t>
  </si>
  <si>
    <t>tennis-racket bag</t>
  </si>
  <si>
    <t>ClothAccessoryBackTennisRacketCase</t>
  </si>
  <si>
    <t>coin slot</t>
  </si>
  <si>
    <t>ClothAccessoryBackCoin</t>
  </si>
  <si>
    <t>emergency button</t>
  </si>
  <si>
    <t>ClothAccessoryBackEmergencyButton</t>
  </si>
  <si>
    <t>ClothAccessoryBackOxygen</t>
  </si>
  <si>
    <t>ClothAccessoryBackSamba</t>
  </si>
  <si>
    <t>windup key</t>
  </si>
  <si>
    <t>ClothAccessoryBackClockwork</t>
  </si>
  <si>
    <t>zipper</t>
  </si>
  <si>
    <t>ClothAccessoryBackZipper</t>
  </si>
  <si>
    <t>BottomsB</t>
  </si>
  <si>
    <t>ClothSocksOnePoint</t>
  </si>
  <si>
    <t>ClothSocksShort</t>
  </si>
  <si>
    <t>argyle socks</t>
  </si>
  <si>
    <t>ClothSocksArgyle</t>
  </si>
  <si>
    <t>ClothSocksLeggings</t>
  </si>
  <si>
    <t>ClothSocksBlockCheck</t>
  </si>
  <si>
    <t>ClothSocksCheckShort</t>
  </si>
  <si>
    <t>colored tights</t>
  </si>
  <si>
    <t>ClothSocksTightsColor</t>
  </si>
  <si>
    <t>distressed tights</t>
  </si>
  <si>
    <t>ClothSocksDamage</t>
  </si>
  <si>
    <t>ClothSocksTowLine</t>
  </si>
  <si>
    <t>ClothSocksHoled</t>
  </si>
  <si>
    <t>ClothSocksJacquard</t>
  </si>
  <si>
    <t>knee guards</t>
  </si>
  <si>
    <t>ClothSocksKneeSleeve</t>
  </si>
  <si>
    <t>monster socks</t>
  </si>
  <si>
    <t>ClothSocksMonster</t>
  </si>
  <si>
    <t>ClothSocksMultiBorder</t>
  </si>
  <si>
    <t>ClothSocksNordic</t>
  </si>
  <si>
    <t>ClothSocksAnkle</t>
  </si>
  <si>
    <t>ClothSocksSocks</t>
  </si>
  <si>
    <t>ClothSocksLeggingsDot</t>
  </si>
  <si>
    <t>ClothSocksRetroCheck</t>
  </si>
  <si>
    <t>ClothSocksRib</t>
  </si>
  <si>
    <t>ClothSocksSpaceTights</t>
  </si>
  <si>
    <t>ClothSocksShortLeggings</t>
  </si>
  <si>
    <t>ClothSocksSpider</t>
  </si>
  <si>
    <t>starry leggings</t>
  </si>
  <si>
    <t>ClothSocksStarLeggings</t>
  </si>
  <si>
    <t>starry socks</t>
  </si>
  <si>
    <t>ClothSocksStar</t>
  </si>
  <si>
    <t>ClothSocksTwoLineShort</t>
  </si>
  <si>
    <t>striped leggings</t>
  </si>
  <si>
    <t>ClothSocksLeggingsBorder</t>
  </si>
  <si>
    <t>ClothSocksBorder</t>
  </si>
  <si>
    <t>sushi socks</t>
  </si>
  <si>
    <t>ClothSocksSushi</t>
  </si>
  <si>
    <t>ClothSocksTabi</t>
  </si>
  <si>
    <t>tie-dye socks</t>
  </si>
  <si>
    <t>ClothSocksTiedye</t>
  </si>
  <si>
    <t>ClothSocksTights</t>
  </si>
  <si>
    <t>two-tone tights</t>
  </si>
  <si>
    <t>ClothSocksBicolor</t>
  </si>
  <si>
    <t>ClothSocksRunning</t>
  </si>
  <si>
    <t>ClothSocksBackRibbon</t>
  </si>
  <si>
    <t>ClothSocksKneeSocks</t>
  </si>
  <si>
    <t>cat knee-highs</t>
  </si>
  <si>
    <t>ClothSocksCat</t>
  </si>
  <si>
    <t>ClothSocksFishnet</t>
  </si>
  <si>
    <t>ClothSocksEmbroidery</t>
  </si>
  <si>
    <t>floral leggings</t>
  </si>
  <si>
    <t>ClothSocksFlower</t>
  </si>
  <si>
    <t>ClothSocksHeart</t>
  </si>
  <si>
    <t>lacy socks</t>
  </si>
  <si>
    <t>ClothSocksWholeLace</t>
  </si>
  <si>
    <t>lacy stockings</t>
  </si>
  <si>
    <t>ClothSocksLaceStocking</t>
  </si>
  <si>
    <t>ClothSocksKneeSocksRainbow</t>
  </si>
  <si>
    <t>ClothSocksRibbon</t>
  </si>
  <si>
    <t>ClothSocksFrilled</t>
  </si>
  <si>
    <t>ClothSocksSeethroughDot</t>
  </si>
  <si>
    <t>ClothSocksStocking</t>
  </si>
  <si>
    <t>striped knee-highs</t>
  </si>
  <si>
    <t>ClothSocksKneeSocksBorder</t>
  </si>
  <si>
    <t>ClothSocksPedicel</t>
  </si>
  <si>
    <t>ClothSocksDefault</t>
  </si>
  <si>
    <t>animal shoes</t>
  </si>
  <si>
    <t>Shoes</t>
  </si>
  <si>
    <t>ClothShoesAnimalAnimalSlipper</t>
  </si>
  <si>
    <t>ClothShoesBootsLongAntique</t>
  </si>
  <si>
    <t>ClothShoesSneakerSimple</t>
  </si>
  <si>
    <t>ClothShoesSandalBeads</t>
  </si>
  <si>
    <t>ClothShoesSandalBear</t>
  </si>
  <si>
    <t>ClothShoesStandardDeck</t>
  </si>
  <si>
    <t>botanical-print slip-ons</t>
  </si>
  <si>
    <t>ClothShoesStandardBotanicalSlipon</t>
  </si>
  <si>
    <t>ClothShoesSneakerHighTec</t>
  </si>
  <si>
    <t>ClothShoesLoaferBuckle</t>
  </si>
  <si>
    <t>ClothShoesPointedBusiness</t>
  </si>
  <si>
    <t>ClothShoesSneakerSpike</t>
  </si>
  <si>
    <t>ClothShoesSandalComfort</t>
  </si>
  <si>
    <t>down boots</t>
  </si>
  <si>
    <t>ClothShoesThickDown</t>
  </si>
  <si>
    <t>ClothShoesBootsLongEngineer</t>
  </si>
  <si>
    <t>ClothShoesThickFur</t>
  </si>
  <si>
    <t>ClothShoesSandalBeach</t>
  </si>
  <si>
    <t>ClothShoesFinDivingFins</t>
  </si>
  <si>
    <t>ClothShoesGetaGeta</t>
  </si>
  <si>
    <t>ClothShoesSandalGladiator</t>
  </si>
  <si>
    <t>ClothShoesHighcutSneaker</t>
  </si>
  <si>
    <t>ClothShoesHighcutTrekking</t>
  </si>
  <si>
    <t>ClothShoesSkateFigure</t>
  </si>
  <si>
    <t>ClothShoesSandalSchool</t>
  </si>
  <si>
    <t>ClothShoesSandalBathroom</t>
  </si>
  <si>
    <t>ClothShoesSandalZori</t>
  </si>
  <si>
    <t>jelly sandals</t>
  </si>
  <si>
    <t>ClothShoesSandalJelly</t>
  </si>
  <si>
    <t>ClothShoesSneakerKids</t>
  </si>
  <si>
    <t>ClothShoesSandalKungfu</t>
  </si>
  <si>
    <t>laced loafers</t>
  </si>
  <si>
    <t>ClothShoesLoaferLaceUp</t>
  </si>
  <si>
    <t>ClothShoesBootsShortLaceUp</t>
  </si>
  <si>
    <t>ClothShoesBootsLongLeather</t>
  </si>
  <si>
    <t>ClothShoesLoaferLoafer</t>
  </si>
  <si>
    <t>ClothShoesSneakerMetalic</t>
  </si>
  <si>
    <t>moccasins</t>
  </si>
  <si>
    <t>ClothShoesSneakerMoccasin</t>
  </si>
  <si>
    <t>ClothShoesBootsShortNubuck</t>
  </si>
  <si>
    <t>outdoor sandals</t>
  </si>
  <si>
    <t>ClothShoesSandalOutdoor</t>
  </si>
  <si>
    <t>ClothShoesBootsLongPunk</t>
  </si>
  <si>
    <t>ClothShoesBootsLongRain</t>
  </si>
  <si>
    <t>round-toe pumps</t>
  </si>
  <si>
    <t>ClothShoesSandalRound</t>
  </si>
  <si>
    <t>ClothShoesHighcutRubberToe</t>
  </si>
  <si>
    <t>ClothShoesSneakerRubberToe</t>
  </si>
  <si>
    <t>ClothShoesSneakerRunning</t>
  </si>
  <si>
    <t>sabot sandals</t>
  </si>
  <si>
    <t>ClothShoesSandalSabo</t>
  </si>
  <si>
    <t>ClothShoesBootsLongSamuraiProtection</t>
  </si>
  <si>
    <t>ClothShoesBootsLongSanta</t>
  </si>
  <si>
    <t>sensible sneakers</t>
  </si>
  <si>
    <t>ClothShoesSneakerDad</t>
  </si>
  <si>
    <t>ClothShoesThickMouton</t>
  </si>
  <si>
    <t>ClothShoesLooseSocksBorder</t>
  </si>
  <si>
    <t>ClothShoesSandalShower</t>
  </si>
  <si>
    <t>ClothShoesBootsShortSideGore</t>
  </si>
  <si>
    <t>ClothShoesSneakerSideline</t>
  </si>
  <si>
    <t>ClothShoesStandardSlipon</t>
  </si>
  <si>
    <t>slip-on sandals</t>
  </si>
  <si>
    <t>ClothShoesSandalSlipon</t>
  </si>
  <si>
    <t>ClothShoesSandalSlipper</t>
  </si>
  <si>
    <t>ClothShoesBootsLongSnow</t>
  </si>
  <si>
    <t>ClothShoesHighcutSpace</t>
  </si>
  <si>
    <t>sport sandals</t>
  </si>
  <si>
    <t>ClothShoesSandalSneaker</t>
  </si>
  <si>
    <t>ClothShoesSandalWaraji</t>
  </si>
  <si>
    <t>striped slip-ons</t>
  </si>
  <si>
    <t>ClothShoesStandardStripeSlipon</t>
  </si>
  <si>
    <t>striped slippers</t>
  </si>
  <si>
    <t>ClothShoesSandalSlipperBorder</t>
  </si>
  <si>
    <t>ClothShoesBootsShortStuds</t>
  </si>
  <si>
    <t>ClothShoesPointedStuds</t>
  </si>
  <si>
    <t>ClothShoesMuleGatshin</t>
  </si>
  <si>
    <t>ClothShoesStandardMarine</t>
  </si>
  <si>
    <t>ClothShoesBootsLongWestern</t>
  </si>
  <si>
    <t>wing-tip loafers</t>
  </si>
  <si>
    <t>ClothShoesPointedWingTip</t>
  </si>
  <si>
    <t>ClothShoesPointedWooden</t>
  </si>
  <si>
    <t>ClothShoesBootsLongWrestling</t>
  </si>
  <si>
    <t>ClothShoesSandalBallet</t>
  </si>
  <si>
    <t>ClothShoesPumpsSimple</t>
  </si>
  <si>
    <t>ClothShoesSandalBijoux</t>
  </si>
  <si>
    <t>ClothShoesBootsShortRibbon</t>
  </si>
  <si>
    <t>ClothShoesPumpsRibbon</t>
  </si>
  <si>
    <t>ClothShoesSandalRibbon</t>
  </si>
  <si>
    <t>ClothShoesMuleRibbon</t>
  </si>
  <si>
    <t>ClothShoesSandalFlower</t>
  </si>
  <si>
    <t>ClothShoesPumpsKkotshin</t>
  </si>
  <si>
    <t>ClothShoesPumpsLeopard</t>
  </si>
  <si>
    <t>ClothShoesPumpsPearls</t>
  </si>
  <si>
    <t>ClothShoesPumpsGlass</t>
  </si>
  <si>
    <t>ClothShoesPumpsGlitter</t>
  </si>
  <si>
    <t>ClothShoesLooseSocksColor</t>
  </si>
  <si>
    <t>shoes with slouchy socks</t>
  </si>
  <si>
    <t>ClothShoesLooseSocksSchool</t>
  </si>
  <si>
    <t>ClothShoesMuleStrap</t>
  </si>
  <si>
    <t>strappy sandals</t>
  </si>
  <si>
    <t>ClothShoesMuleStrappy</t>
  </si>
  <si>
    <t>ClothShoesPointedWitch</t>
  </si>
  <si>
    <t>zebra-print pumps</t>
  </si>
  <si>
    <t>ClothShoesPumpsZebra</t>
  </si>
  <si>
    <t>ClothShoesStandardDefault</t>
  </si>
  <si>
    <t>ClothAllMascotLongAstronaut</t>
  </si>
  <si>
    <t>avocado suit</t>
  </si>
  <si>
    <t>ClothAllCostumeLongAvocado</t>
  </si>
  <si>
    <t>ClothAllBodySuitLongBaby</t>
  </si>
  <si>
    <t>ballet suit</t>
  </si>
  <si>
    <t>ClothAllBodySuitLongBallet</t>
  </si>
  <si>
    <t>ClothAllMascotLongBear</t>
  </si>
  <si>
    <t>ClothAllCostumeLongBee</t>
  </si>
  <si>
    <t>ClothAllCostumeLongBird</t>
  </si>
  <si>
    <t>ClothAllBodySuitLongBodySuit</t>
  </si>
  <si>
    <t>bubble-tea suit</t>
  </si>
  <si>
    <t>ClothAllCupLongTapioca</t>
  </si>
  <si>
    <t>building suit</t>
  </si>
  <si>
    <t>ClothAllBoxLongBuilding</t>
  </si>
  <si>
    <t>cake suit</t>
  </si>
  <si>
    <t>ClothAllCylinderLongCake</t>
  </si>
  <si>
    <t>ClothAllBoxLongCardboard</t>
  </si>
  <si>
    <t>ClothAllBoxLongCardboardRobot</t>
  </si>
  <si>
    <t>car suit</t>
  </si>
  <si>
    <t>ClothAllCarLongCar</t>
  </si>
  <si>
    <t>caterpillar suit</t>
  </si>
  <si>
    <t>ClothAllCostumeLongCaterpillar</t>
  </si>
  <si>
    <t>ClothAllMascotLongCat</t>
  </si>
  <si>
    <t>ClothAllCostumeLongHen</t>
  </si>
  <si>
    <t>corncob suit</t>
  </si>
  <si>
    <t>ClothAllCylinderLongCorn</t>
  </si>
  <si>
    <t>ClothAllCostumeLongCow</t>
  </si>
  <si>
    <t>ClothAllMascotLongCyber</t>
  </si>
  <si>
    <t>Daruma suit</t>
  </si>
  <si>
    <t>ClothAllCostumeLongDaruma</t>
  </si>
  <si>
    <t>ClothAllBodySuitLongDevil</t>
  </si>
  <si>
    <t>dinosaur suit</t>
  </si>
  <si>
    <t>ClothAllMonsterLongDinosaur</t>
  </si>
  <si>
    <t>ClothAllMascotLongDivinng</t>
  </si>
  <si>
    <t>ClothAllMascotLongDog</t>
  </si>
  <si>
    <t>ClothAllMonsterLongDragon</t>
  </si>
  <si>
    <t>eggplant suit</t>
  </si>
  <si>
    <t>ClothAllCostumeLongEggplant</t>
  </si>
  <si>
    <t>egg-sushi suit</t>
  </si>
  <si>
    <t>ClothAllCostumeLongTamago</t>
  </si>
  <si>
    <t>ClothAllBodySuitLongFuture</t>
  </si>
  <si>
    <t>ClothAllMonsterLongFish</t>
  </si>
  <si>
    <t>fried-egg suit</t>
  </si>
  <si>
    <t>ClothAllCostumeLongEgg</t>
  </si>
  <si>
    <t>fried-shrimp suit</t>
  </si>
  <si>
    <t>ClothAllCostumeLongFriedShrimp</t>
  </si>
  <si>
    <t>ClothAllCostumeLongFrog</t>
  </si>
  <si>
    <t>hamburger suit</t>
  </si>
  <si>
    <t>ClothAllCylinderLongHamburger</t>
  </si>
  <si>
    <t>ClothAllPlumpLongHamster</t>
  </si>
  <si>
    <t>heavy-metal suit</t>
  </si>
  <si>
    <t>ClothAllBodySuitLongHeavyMetal</t>
  </si>
  <si>
    <t>ClothAllBodySuitLongHero</t>
  </si>
  <si>
    <t>ClothAllMascotLongHorse</t>
  </si>
  <si>
    <t>ClothAllCostumeLongHotdog</t>
  </si>
  <si>
    <t>ClothAllCostumeLongPumpkin</t>
  </si>
  <si>
    <t>ClothAllPlumpLongPierrot</t>
  </si>
  <si>
    <t>ClothAllCostumeLongKoala</t>
  </si>
  <si>
    <t>latte suit</t>
  </si>
  <si>
    <t>ClothAllCupLongLatte</t>
  </si>
  <si>
    <t>ClothAllMascotLongLion</t>
  </si>
  <si>
    <t>ClothAllMascotLongMonkey</t>
  </si>
  <si>
    <t>ClothAllMonsterLongMonster</t>
  </si>
  <si>
    <t>ClothAllBodySuitLongMummy</t>
  </si>
  <si>
    <t>ClothAllCostumeLongMushroom</t>
  </si>
  <si>
    <t>ClothAllBodySuitLongOgre</t>
  </si>
  <si>
    <t>ClothAllPlumpLongPenguin</t>
  </si>
  <si>
    <t>pepper suit</t>
  </si>
  <si>
    <t>ClothAllCylinderLongPepper</t>
  </si>
  <si>
    <t>ClothAllCostumeLongPig</t>
  </si>
  <si>
    <t>ClothAllCostumeLongPineapple</t>
  </si>
  <si>
    <t>playing-card suit</t>
  </si>
  <si>
    <t>ClothAllBoxLongTrump</t>
  </si>
  <si>
    <t>police-car suit</t>
  </si>
  <si>
    <t>ClothAllCarLongPoliseCar</t>
  </si>
  <si>
    <t>ClothAllMascotLongRabbit</t>
  </si>
  <si>
    <t>reindeer suit</t>
  </si>
  <si>
    <t>ClothAllMascotLongReindeer</t>
  </si>
  <si>
    <t>seaweed suit</t>
  </si>
  <si>
    <t>ClothAllBodySuitLongSeaweed</t>
  </si>
  <si>
    <t>ClothAllCostumeLongSheep</t>
  </si>
  <si>
    <t>shrimp-sushi suit</t>
  </si>
  <si>
    <t>ClothAllCostumeLongSushi</t>
  </si>
  <si>
    <t>ClothAllBodySuitLongSkeleton</t>
  </si>
  <si>
    <t>snowman suit</t>
  </si>
  <si>
    <t>ClothAllCostumeLongSnowman</t>
  </si>
  <si>
    <t>ClothAllCupLongDrink</t>
  </si>
  <si>
    <t>ClothAllCupLongSoftcream</t>
  </si>
  <si>
    <t>ClothAllMascotLongArmor</t>
  </si>
  <si>
    <t>superhero suit</t>
  </si>
  <si>
    <t>ClothAllMantleLongHero</t>
  </si>
  <si>
    <t>tiger suit</t>
  </si>
  <si>
    <t>ClothAllMascotLongTiger</t>
  </si>
  <si>
    <t>ClothAllBoxLongToyRobot</t>
  </si>
  <si>
    <t>train suit</t>
  </si>
  <si>
    <t>ClothAllTrainLongTrain</t>
  </si>
  <si>
    <t>trash-can suit</t>
  </si>
  <si>
    <t>ClothAllCupLongGarbageCan</t>
  </si>
  <si>
    <t>ClothAllCupLongTree</t>
  </si>
  <si>
    <t>tuna-sushi suit</t>
  </si>
  <si>
    <t>ClothAllCostumeLongTuna</t>
  </si>
  <si>
    <t>ClothAllMonsterLongTurkey</t>
  </si>
  <si>
    <t>UFO suit</t>
  </si>
  <si>
    <t>ClothAllUfoAlien</t>
  </si>
  <si>
    <t>Is weekly item</t>
  </si>
  <si>
    <t>8-Bit set</t>
  </si>
  <si>
    <t>-2</t>
  </si>
  <si>
    <t>Get ready to head out on your own 8-bit adventure.</t>
  </si>
  <si>
    <t>Game00</t>
  </si>
  <si>
    <t>Alley-Oop set</t>
  </si>
  <si>
    <t>Let the high-pitched squeak of shoes dashing across this floor lull you to sleep.</t>
  </si>
  <si>
    <t>Gym00</t>
  </si>
  <si>
    <t>Antarctic set</t>
  </si>
  <si>
    <t>A 1:1 scale replica of Antarctica. We thought it was bigger too.</t>
  </si>
  <si>
    <t>Antarctic00</t>
  </si>
  <si>
    <t>Antique set</t>
  </si>
  <si>
    <t>Enjoy a relaxing evening at home as flames dance in the fireplace.</t>
  </si>
  <si>
    <t>Damask00</t>
  </si>
  <si>
    <t>Aristocrat set</t>
  </si>
  <si>
    <t>30</t>
  </si>
  <si>
    <t>A room so nice, you'll be afraid to use it because you don't want to break anything.</t>
  </si>
  <si>
    <t>Nobility00</t>
  </si>
  <si>
    <t>Artistic Expression set</t>
  </si>
  <si>
    <t>70</t>
  </si>
  <si>
    <t>Youths have defaced these walls with what they call "graffiti art."</t>
  </si>
  <si>
    <t>Street00</t>
  </si>
  <si>
    <t>Athletic set</t>
  </si>
  <si>
    <t>1</t>
  </si>
  <si>
    <t>Work up a good sweat, then hit the shower. You, uh... You do have a shower, right?</t>
  </si>
  <si>
    <t>Training00</t>
  </si>
  <si>
    <t>Bathhouse set</t>
  </si>
  <si>
    <t>60</t>
  </si>
  <si>
    <t>Bath time is all the time when your whole house is a bath.</t>
  </si>
  <si>
    <t>PublicBath00</t>
  </si>
  <si>
    <t>Bathroom set</t>
  </si>
  <si>
    <t>Cut down on the time between getting home and getting in the bath.</t>
  </si>
  <si>
    <t>Bathroom00</t>
  </si>
  <si>
    <t>Beach set</t>
  </si>
  <si>
    <t>-1 (only during Summer)</t>
  </si>
  <si>
    <t>I'm told the sea breeze and sound of waves gently crashing can be relaxing for some.</t>
  </si>
  <si>
    <t>Beach00</t>
  </si>
  <si>
    <t>Blank Canvas set</t>
  </si>
  <si>
    <t>You'll never get stains out of this.</t>
  </si>
  <si>
    <t>WhiteRoom00</t>
  </si>
  <si>
    <t>Bookworm set</t>
  </si>
  <si>
    <t>Don't spend too much time looking for the book that opens a secret passage.</t>
  </si>
  <si>
    <t>Book00</t>
  </si>
  <si>
    <t>Botanical set</t>
  </si>
  <si>
    <t>Don't forget to water your room.</t>
  </si>
  <si>
    <t>Botanical00</t>
  </si>
  <si>
    <t>Camo Campsite set</t>
  </si>
  <si>
    <t>You can't decorate walls you can't find.</t>
  </si>
  <si>
    <t>Camouflage00</t>
  </si>
  <si>
    <t>Cat Person set</t>
  </si>
  <si>
    <t>Offering a pleasant and carefree life for cats and cat fans alike.</t>
  </si>
  <si>
    <t>Cat00</t>
  </si>
  <si>
    <t>Cathedral set</t>
  </si>
  <si>
    <t>Awaken to an angelic harmony when the morning sun hits the glass.</t>
  </si>
  <si>
    <t>StainedGlass00</t>
  </si>
  <si>
    <t>Chaos Canvas set</t>
  </si>
  <si>
    <t>15</t>
  </si>
  <si>
    <t>Grab a handful of paint and express yourself.</t>
  </si>
  <si>
    <t>Atelier00</t>
  </si>
  <si>
    <t>Chic set</t>
  </si>
  <si>
    <t>This room's simplicity offers a sense of sensibility.</t>
  </si>
  <si>
    <t>WesternStyle00</t>
  </si>
  <si>
    <t>Childhood set</t>
  </si>
  <si>
    <t>Never give up what you love.</t>
  </si>
  <si>
    <t>ChildRoom00</t>
  </si>
  <si>
    <t>Circus set</t>
  </si>
  <si>
    <t>Perfect for anyone who's ever dreamed of running away to join the circus.</t>
  </si>
  <si>
    <t>Circus00</t>
  </si>
  <si>
    <t>City of Gold set</t>
  </si>
  <si>
    <t>Nobody likes a braggart, so let this room say "Look at all my money!" for you.</t>
  </si>
  <si>
    <t>Gold00</t>
  </si>
  <si>
    <t>Classroom set</t>
  </si>
  <si>
    <t>Experience all the awkwardness of school in your very own home.</t>
  </si>
  <si>
    <t>Classroom00</t>
  </si>
  <si>
    <t>Concert Stadium set</t>
  </si>
  <si>
    <t>You're the star of this venue, so forget about the noise complaints and sing your heart out!</t>
  </si>
  <si>
    <t>LightStick00</t>
  </si>
  <si>
    <t>Construction Site set</t>
  </si>
  <si>
    <t>We're not sure what this room will be when it's finished, but you'll be the first to know.</t>
  </si>
  <si>
    <t>BlueSheet00</t>
  </si>
  <si>
    <t>Coral Reef set</t>
  </si>
  <si>
    <t>Live like a fish, as long as that fish doesn't need real water to survive.</t>
  </si>
  <si>
    <t>TropicalSea00</t>
  </si>
  <si>
    <t>Crop Field set</t>
  </si>
  <si>
    <t>Ever get the feeling you're being watched?</t>
  </si>
  <si>
    <t>Field00</t>
  </si>
  <si>
    <t>Desert Oasis set</t>
  </si>
  <si>
    <t>It's going to take forever to get all this sand out.</t>
  </si>
  <si>
    <t>Desert00</t>
  </si>
  <si>
    <t>Dilapidated set</t>
  </si>
  <si>
    <t>25</t>
  </si>
  <si>
    <t>Some find the sound of water dripping from the ceiling to be very relaxing.</t>
  </si>
  <si>
    <t>Dilapidated00</t>
  </si>
  <si>
    <t>Dog House set</t>
  </si>
  <si>
    <t>Everything a dog lover could ask for. Except for the dog. We forgot the dog. Sorry.</t>
  </si>
  <si>
    <t>Dog00</t>
  </si>
  <si>
    <t>Emperor's Chambers set</t>
  </si>
  <si>
    <t>Relax among nature, and do it in style.</t>
  </si>
  <si>
    <t>Asianresort00</t>
  </si>
  <si>
    <t>English Garden set</t>
  </si>
  <si>
    <t>This English garden makes full use of nature's gifts.</t>
  </si>
  <si>
    <t>Garden00</t>
  </si>
  <si>
    <t>Eureka set</t>
  </si>
  <si>
    <t>Maybe if you sit here for long enough, you can learn through osmosis.</t>
  </si>
  <si>
    <t>Formula00</t>
  </si>
  <si>
    <t>Exposed Brick set</t>
  </si>
  <si>
    <t>All the effortless cool of a Manhattan loft.</t>
  </si>
  <si>
    <t>Brick00</t>
  </si>
  <si>
    <t>Factory set</t>
  </si>
  <si>
    <t>Let us know if you figure out what this factory is producing. We have no idea.</t>
  </si>
  <si>
    <t>Factry00</t>
  </si>
  <si>
    <t>Failed Outlaw set</t>
  </si>
  <si>
    <t>45</t>
  </si>
  <si>
    <t>The puddles are display only.</t>
  </si>
  <si>
    <t>Jail00</t>
  </si>
  <si>
    <t>Fairy-Tale Forest set</t>
  </si>
  <si>
    <t>The chittering squirrels are nice to listen to, but all the gnomes do is gossip about you.</t>
  </si>
  <si>
    <t>Fantasy00</t>
  </si>
  <si>
    <t>Flower Meadow set</t>
  </si>
  <si>
    <t>If you're ever feeling blue, just pop into your home to soak in the glow of the rainbow.</t>
  </si>
  <si>
    <t>Flowergarden00</t>
  </si>
  <si>
    <t>Food Mart set</t>
  </si>
  <si>
    <t>Grabbing a midnight snack has never been easier.</t>
  </si>
  <si>
    <t>Market00</t>
  </si>
  <si>
    <t>Fossil Finder set</t>
  </si>
  <si>
    <t>Perfect for those who love dinosaur bones and dirt.</t>
  </si>
  <si>
    <t>Strata00</t>
  </si>
  <si>
    <t>Frill-Seeker set</t>
  </si>
  <si>
    <t>The open-lace design creates a pleasant, flowery environment.</t>
  </si>
  <si>
    <t>Lace00</t>
  </si>
  <si>
    <t>Fruit set</t>
  </si>
  <si>
    <t>Note: Does not taste like fruit.</t>
  </si>
  <si>
    <t>Fruit00</t>
  </si>
  <si>
    <t>Garage set</t>
  </si>
  <si>
    <t>The perfect place to rest your weary gearhead.</t>
  </si>
  <si>
    <t>Garage00</t>
  </si>
  <si>
    <t>Garden Wedding set</t>
  </si>
  <si>
    <t>This room can make every day the happiest day of your life, without all the usual work.</t>
  </si>
  <si>
    <t>GardenWedding00</t>
  </si>
  <si>
    <t>Grassy Meadow set</t>
  </si>
  <si>
    <t>While away the day by watching clouds drift past.</t>
  </si>
  <si>
    <t>Grassland00</t>
  </si>
  <si>
    <t>Graveyard set</t>
  </si>
  <si>
    <t>20</t>
  </si>
  <si>
    <t>Just don't think about what might be lurking behind the tombstones.</t>
  </si>
  <si>
    <t>Cemetery00</t>
  </si>
  <si>
    <t>Groovy set</t>
  </si>
  <si>
    <t>Dig this far-out wallpaper while sticking it to the man.</t>
  </si>
  <si>
    <t>Midcentury00</t>
  </si>
  <si>
    <t>Hamster House set</t>
  </si>
  <si>
    <t>Just throw some wood chips on the floor to get a taste of that hamster life.</t>
  </si>
  <si>
    <t>Cage00</t>
  </si>
  <si>
    <t>Haunted Manor set</t>
  </si>
  <si>
    <t>35</t>
  </si>
  <si>
    <t>Countless ghosts live inside this manor. Or just a bunch of spiders. One of the two.</t>
  </si>
  <si>
    <t>Horror00</t>
  </si>
  <si>
    <t>Heart Overload set</t>
  </si>
  <si>
    <t>Don't be fooled by these impostors. Real hearts look nothing like this.</t>
  </si>
  <si>
    <t>Heart00</t>
  </si>
  <si>
    <t>High Noon set</t>
  </si>
  <si>
    <t>You'll enjoy the grand view right up until someone shouts, "Draw!"</t>
  </si>
  <si>
    <t>Western00</t>
  </si>
  <si>
    <t>Holiday Celebration set</t>
  </si>
  <si>
    <t>-1</t>
  </si>
  <si>
    <t>You just need some festive bells to really set the mood.</t>
  </si>
  <si>
    <t>Christmas00</t>
  </si>
  <si>
    <t>Honeycomb set</t>
  </si>
  <si>
    <t>Don't be surprised if bees start to congregate outside your front door.</t>
  </si>
  <si>
    <t>HoneycombTile00</t>
  </si>
  <si>
    <t>Hospital set</t>
  </si>
  <si>
    <t>40</t>
  </si>
  <si>
    <t>This is fine as long as you don't start seeing patients.</t>
  </si>
  <si>
    <t>Hospital00</t>
  </si>
  <si>
    <t>I See Everything set</t>
  </si>
  <si>
    <t>Keep an eye on everything and everyone.</t>
  </si>
  <si>
    <t>MonitorRoom00</t>
  </si>
  <si>
    <t>Ice Rink set</t>
  </si>
  <si>
    <t>Slip into your ice skates, and nail a triple-backward half-screw twirly twist.</t>
  </si>
  <si>
    <t>IceRink00</t>
  </si>
  <si>
    <t>Indoor Wedding set</t>
  </si>
  <si>
    <t>It's all come down to this. The final battle!</t>
  </si>
  <si>
    <t>Wedding00</t>
  </si>
  <si>
    <t>Japanese Festival set</t>
  </si>
  <si>
    <t>Attend a festival without even leaving your house.</t>
  </si>
  <si>
    <t>Festival00</t>
  </si>
  <si>
    <t>Jungle set</t>
  </si>
  <si>
    <t>Hone your survival skills in the comfort of your own home.</t>
  </si>
  <si>
    <t>Jungle00</t>
  </si>
  <si>
    <t>Kitchen set</t>
  </si>
  <si>
    <t>There's literally nothing better than neatly organized cookware.</t>
  </si>
  <si>
    <t>BigFlower00</t>
  </si>
  <si>
    <t>Laboratory set</t>
  </si>
  <si>
    <t>The perfect place to conduct your mysterious and arcane research.</t>
  </si>
  <si>
    <t>Labo00</t>
  </si>
  <si>
    <t>Locker Room set</t>
  </si>
  <si>
    <t>This room comes with ample built-in storage.</t>
  </si>
  <si>
    <t>LockerRoom00</t>
  </si>
  <si>
    <t>Log Cabin set</t>
  </si>
  <si>
    <t>This room just screams, "I want there to be no logs left for anyone else!"</t>
  </si>
  <si>
    <t>Log00</t>
  </si>
  <si>
    <t>Marble set</t>
  </si>
  <si>
    <t>Marble is harvested from mountains, so this is technically a mountain home.</t>
  </si>
  <si>
    <t>Marble00</t>
  </si>
  <si>
    <t>Messy Room set</t>
  </si>
  <si>
    <t>Just leave things wherever, and don't worry about cleaning up after yourself.</t>
  </si>
  <si>
    <t>Sloppy00</t>
  </si>
  <si>
    <t>Minimalist set</t>
  </si>
  <si>
    <t>Cleaning your house is a breeze when you don't have anything in it.</t>
  </si>
  <si>
    <t>Minimul00</t>
  </si>
  <si>
    <t>Modern Triangle set</t>
  </si>
  <si>
    <t>Hope you like geometry.</t>
  </si>
  <si>
    <t>Triangle00</t>
  </si>
  <si>
    <t>Moving In set</t>
  </si>
  <si>
    <t>This one really blurs the line between "still unpacking" and "I live among the boxes."</t>
  </si>
  <si>
    <t>MovingBox00</t>
  </si>
  <si>
    <t>Music Major set</t>
  </si>
  <si>
    <t>Everything you need to become the next one-hit wonder.</t>
  </si>
  <si>
    <t>MusicRoom00</t>
  </si>
  <si>
    <t>Natural Wood set</t>
  </si>
  <si>
    <t>This all-natural room pairs naturally with all-natural wood furniture.</t>
  </si>
  <si>
    <t>SmallFlower00</t>
  </si>
  <si>
    <t>Nebula Drifter set</t>
  </si>
  <si>
    <t>Lose yourself in the endless and lonesome expanse of space.</t>
  </si>
  <si>
    <t>Galaxy00</t>
  </si>
  <si>
    <t>Neon Signs set</t>
  </si>
  <si>
    <t>Return to a time before cold and lifeless LED lights replaced the warm glow of neon.</t>
  </si>
  <si>
    <t>NeonSign00</t>
  </si>
  <si>
    <t>Nightclub set</t>
  </si>
  <si>
    <t>For anyone who wants to listen to nightclub music all day and all night.</t>
  </si>
  <si>
    <t>Club00</t>
  </si>
  <si>
    <t>No. 1 Fan set</t>
  </si>
  <si>
    <t>Hyperfocus on your passion until your home is full of stuff.</t>
  </si>
  <si>
    <t>Otaku00</t>
  </si>
  <si>
    <t>Nursery set</t>
  </si>
  <si>
    <t>Sleep extra cozy in this room designed for tiny little humans.</t>
  </si>
  <si>
    <t>Baby00</t>
  </si>
  <si>
    <t>Office set</t>
  </si>
  <si>
    <t>55</t>
  </si>
  <si>
    <t>Beat the morning rush by living in an office.</t>
  </si>
  <si>
    <t>Office00</t>
  </si>
  <si>
    <t>Ornate set</t>
  </si>
  <si>
    <t>One can't help but desire freshly brewed tea when admiring such fine latticework.</t>
  </si>
  <si>
    <t>Chinese00</t>
  </si>
  <si>
    <t>Paranormal Experience set</t>
  </si>
  <si>
    <t>Have you always wanted to be an alien's test subject? Then this is the room for you!</t>
  </si>
  <si>
    <t>Abduction00</t>
  </si>
  <si>
    <t>Party set</t>
  </si>
  <si>
    <t>Just tear into the presents. Don't even bother checking the labels.</t>
  </si>
  <si>
    <t>Party00</t>
  </si>
  <si>
    <t>Pastel Clouds set</t>
  </si>
  <si>
    <t>It's hard to not have your head in the clouds when you live in a place like this.</t>
  </si>
  <si>
    <t>Heaven00</t>
  </si>
  <si>
    <t>Plush Room set</t>
  </si>
  <si>
    <t>The animals are here to soothe you. Is it working?</t>
  </si>
  <si>
    <t>Stuff00</t>
  </si>
  <si>
    <t>Polka Dot set</t>
  </si>
  <si>
    <t>Square furniture compliments this room's natural polka dots.</t>
  </si>
  <si>
    <t>Dot00</t>
  </si>
  <si>
    <t>Sakura Bloom set</t>
  </si>
  <si>
    <t>-1 (only during Spring)</t>
  </si>
  <si>
    <t>You can't stop the cherry blossoms from getting in your lunch, so just eat them.</t>
  </si>
  <si>
    <t>Sakura00</t>
  </si>
  <si>
    <t>Sauna set</t>
  </si>
  <si>
    <t>The sauna is set to "mild," so don't worry about living in it.</t>
  </si>
  <si>
    <t>Sauna00</t>
  </si>
  <si>
    <t>Sci-Fi set</t>
  </si>
  <si>
    <t>Overcome space-time to get where you're going in an instant.</t>
  </si>
  <si>
    <t>SF00</t>
  </si>
  <si>
    <t>Sea Captain set</t>
  </si>
  <si>
    <t>Fulfill your destiny by becoming the saltiest dog on the seven seas.</t>
  </si>
  <si>
    <t>Pirate00</t>
  </si>
  <si>
    <t>Shogun set</t>
  </si>
  <si>
    <t>A simple room that nonetheless conveys the majesty and power of a shogun.</t>
  </si>
  <si>
    <t>Shogun00</t>
  </si>
  <si>
    <t>Shōwa-Era Nostalgia set</t>
  </si>
  <si>
    <t>Side effects of this interior set may include bouts of wistful nostalgia.</t>
  </si>
  <si>
    <t>Japanese00</t>
  </si>
  <si>
    <t>Simple Living set</t>
  </si>
  <si>
    <t>Every piece of furniture was picked precisely to purvey a presence of peace.</t>
  </si>
  <si>
    <t>WoodBoard00</t>
  </si>
  <si>
    <t>Sparkling Stars set</t>
  </si>
  <si>
    <t>We scattered stars about this room so you won't have to.</t>
  </si>
  <si>
    <t>Starprint00</t>
  </si>
  <si>
    <t>Stadium set</t>
  </si>
  <si>
    <t>Let the dull roar of thousands of cheering fans lull you to sleep.</t>
  </si>
  <si>
    <t>Stadium00</t>
  </si>
  <si>
    <t>Steampunk set</t>
  </si>
  <si>
    <t>This room is the intersection of steel, steam, and good ol' human imagination.</t>
  </si>
  <si>
    <t>Steampunk00</t>
  </si>
  <si>
    <t>Stock Skyline set</t>
  </si>
  <si>
    <t>You do not want to know how much a view like this would normally cost.</t>
  </si>
  <si>
    <t>SFX00</t>
  </si>
  <si>
    <t>Stormy set</t>
  </si>
  <si>
    <t>65</t>
  </si>
  <si>
    <t>Perfect for rehearsing dramatic scenes that take place in the rain.</t>
  </si>
  <si>
    <t>Rain00</t>
  </si>
  <si>
    <t>Sugar Rush set</t>
  </si>
  <si>
    <t>You've always wanted to live inside a cake, right? Well, here's your chance.</t>
  </si>
  <si>
    <t>Candy00</t>
  </si>
  <si>
    <t>Sushi set</t>
  </si>
  <si>
    <t>75</t>
  </si>
  <si>
    <t>For serious sushi aficionados only. Or should I say, asushionados?</t>
  </si>
  <si>
    <t>Sushi00</t>
  </si>
  <si>
    <t>Teahouse set</t>
  </si>
  <si>
    <t>It may look like a tearoom, but without the proper permits, you can't serve customers.</t>
  </si>
  <si>
    <t>Shoji00</t>
  </si>
  <si>
    <t>Theater set</t>
  </si>
  <si>
    <t>All the world's a stage, and now your house can be too.</t>
  </si>
  <si>
    <t>Stage00</t>
  </si>
  <si>
    <t>This Just In set</t>
  </si>
  <si>
    <t>Hold regular press conferences from the comfort of your own home.</t>
  </si>
  <si>
    <t>InterviewBoard00</t>
  </si>
  <si>
    <t>Top Floor set</t>
  </si>
  <si>
    <t>50</t>
  </si>
  <si>
    <t>A room that comes with its own view.</t>
  </si>
  <si>
    <t>NightView00</t>
  </si>
  <si>
    <t>Train Car set</t>
  </si>
  <si>
    <t>80</t>
  </si>
  <si>
    <t>Let the train's gentle rocking and blaring whistle lull you to sleep.</t>
  </si>
  <si>
    <t>Train00</t>
  </si>
  <si>
    <t>Trophy Room set</t>
  </si>
  <si>
    <t>Trophies are a sure sign of success. No one needs to know where you got them.</t>
  </si>
  <si>
    <t>Success00</t>
  </si>
  <si>
    <t>Veni Vidi Vici set</t>
  </si>
  <si>
    <t>A room that recreates a certain refined temple, reminiscent of ancient Rome. Designed to stand the test of time.</t>
  </si>
  <si>
    <t>Temple00</t>
  </si>
  <si>
    <t>Winter Wonderland set</t>
  </si>
  <si>
    <t>-1 (only during Winter)</t>
  </si>
  <si>
    <t>Build a snowman, make a snow angel, or take a nap. You can do it all in this room.</t>
  </si>
  <si>
    <t>Snow00</t>
  </si>
  <si>
    <t>Witch's Study set</t>
  </si>
  <si>
    <t>-1 (only during Halloween)</t>
  </si>
  <si>
    <t>What sort of mysterious and magical experiments will you do with that cauldron?</t>
  </si>
  <si>
    <t>Halloween00</t>
  </si>
  <si>
    <t>Wrestling Ring set</t>
  </si>
  <si>
    <t>Wrestling singlet not included.</t>
  </si>
  <si>
    <t>Wrestling00</t>
  </si>
  <si>
    <t>bench</t>
  </si>
  <si>
    <t>A place for the weary to sit and chat. Not chatting is also permitted.</t>
  </si>
  <si>
    <t>ObjBenchPark</t>
  </si>
  <si>
    <t>public bench</t>
  </si>
  <si>
    <t>Perfect for clandestine conversations with someone sitting next to you.</t>
  </si>
  <si>
    <t>ObjBenchHome</t>
  </si>
  <si>
    <t>outdoor dining set</t>
  </si>
  <si>
    <t>A great many conversations can take place at this table. Not all will be interesting.</t>
  </si>
  <si>
    <t>ObjBenchTerrace</t>
  </si>
  <si>
    <t>picnic table</t>
  </si>
  <si>
    <t>Up to four residents can sit here. The more the merrier, unless you go over that limit.</t>
  </si>
  <si>
    <t>ObjTableBench</t>
  </si>
  <si>
    <t>round streetlamp</t>
  </si>
  <si>
    <t>Great for reproducing dramatic scenes from your favorite romance films.</t>
  </si>
  <si>
    <t>ObjStreetLamp</t>
  </si>
  <si>
    <t>retro streetlamp</t>
  </si>
  <si>
    <t>Put this on your island to give the moths something to do at night.</t>
  </si>
  <si>
    <t>ObjStreetLampRetro</t>
  </si>
  <si>
    <t>spring-picnic lantern</t>
  </si>
  <si>
    <t>Add a touch of elegance to your island with this Japanese-inspired lantern.</t>
  </si>
  <si>
    <t>ObjLanternSakura</t>
  </si>
  <si>
    <t>ground light</t>
  </si>
  <si>
    <t>Ground lighting is a quick way to add some nighttime refinement to your island.</t>
  </si>
  <si>
    <t>ObjGrandlight</t>
  </si>
  <si>
    <t>lighthouse</t>
  </si>
  <si>
    <t>It sure would be nice to live in one of these.</t>
  </si>
  <si>
    <t>ObjLighthouse</t>
  </si>
  <si>
    <t>jack-o'-lanterns</t>
  </si>
  <si>
    <t>These totally not-haunted pumpkins don't float around or sing spooky songs at night.</t>
  </si>
  <si>
    <t>ObjJackOLantern</t>
  </si>
  <si>
    <t>traffic light</t>
  </si>
  <si>
    <t>There are no cars on the island, but here's a traffic light just in case.</t>
  </si>
  <si>
    <t>ObjTrafficLight</t>
  </si>
  <si>
    <t>road sign</t>
  </si>
  <si>
    <t>There's not a car in sight, but this road sign will probably come in handy at some point.</t>
  </si>
  <si>
    <t>ObjRoadSign</t>
  </si>
  <si>
    <t>traffic cone</t>
  </si>
  <si>
    <t>The traffic cone's natural habitat is the construction site. It's rare to see one here.</t>
  </si>
  <si>
    <t>ObjSafetyCone</t>
  </si>
  <si>
    <t>vending machine</t>
  </si>
  <si>
    <t>A great chance to observe food in its natural habitat.</t>
  </si>
  <si>
    <t>ObjVendingMachine</t>
  </si>
  <si>
    <t>trash can</t>
  </si>
  <si>
    <t>A fine-dining experience if you're a raccoon.</t>
  </si>
  <si>
    <t>ObjTrashCan</t>
  </si>
  <si>
    <t>clock</t>
  </si>
  <si>
    <t>Your residents will always know the time, as long as someone knows how to set it.</t>
  </si>
  <si>
    <t>ObjClockTower</t>
  </si>
  <si>
    <t>bell</t>
  </si>
  <si>
    <t>This bell is just daring you to ring it.</t>
  </si>
  <si>
    <t>ObjBell</t>
  </si>
  <si>
    <t>drinking fountain</t>
  </si>
  <si>
    <t>Parched residents far and wide will come running for a taste of this fresh water.</t>
  </si>
  <si>
    <t>ObjDrinkingFountain</t>
  </si>
  <si>
    <t>outdoor shower</t>
  </si>
  <si>
    <t>Privacy is overrated. Let your island residents shower outside, is what I say.</t>
  </si>
  <si>
    <t>ObjShowerOutdoor</t>
  </si>
  <si>
    <t>sprinkler</t>
  </si>
  <si>
    <t>Worst thing about a sprinkler? It's always sprinkling everywhere.</t>
  </si>
  <si>
    <t>ObjSprinkler</t>
  </si>
  <si>
    <t>beach lounger</t>
  </si>
  <si>
    <t>A sweet spot to relax on the beach and dream. You might even get a peek at a Mii's dreams if they sleep here.</t>
  </si>
  <si>
    <t>ObjBeachBed</t>
  </si>
  <si>
    <t>beach umbrella</t>
  </si>
  <si>
    <t>You can sit beside this umbrella or under it. But that describes a lot of things, doesn't it?</t>
  </si>
  <si>
    <t>ObjBeachParasol</t>
  </si>
  <si>
    <t>basket torch</t>
  </si>
  <si>
    <t>Bathe your island in the spooky glow of flickering, dancing flames.</t>
  </si>
  <si>
    <t>ObjStandingTorch</t>
  </si>
  <si>
    <t>bonfire</t>
  </si>
  <si>
    <t>An abundance of firewood guarantees an abundance of warmth and revelry.</t>
  </si>
  <si>
    <t>ObjBonfire</t>
  </si>
  <si>
    <t>fountain firework</t>
  </si>
  <si>
    <t>Look—don't touch.</t>
  </si>
  <si>
    <t>ObjFireworksErupting</t>
  </si>
  <si>
    <t>aerial firework</t>
  </si>
  <si>
    <t>Please use responsibly.</t>
  </si>
  <si>
    <t>ObjFireworksAerial</t>
  </si>
  <si>
    <t>bouncy playground ride</t>
  </si>
  <si>
    <t>You're never too old to take some playground equipment for a ride.</t>
  </si>
  <si>
    <t>ObjSwingRider</t>
  </si>
  <si>
    <t>seesaw</t>
  </si>
  <si>
    <t>Playground equipment that would be fun for coordinated people. Know anyone like that?</t>
  </si>
  <si>
    <t>ObjSeesaw</t>
  </si>
  <si>
    <t>inflatable arch</t>
  </si>
  <si>
    <t>Nothing boosts an entrance's entrance-ness like this inflatable arch!</t>
  </si>
  <si>
    <t>ObjArchAir</t>
  </si>
  <si>
    <t>pin wheel</t>
  </si>
  <si>
    <t>This wind-powered bird can stand up to even the fiercest of windstorms.</t>
  </si>
  <si>
    <t>ObjPinwheel</t>
  </si>
  <si>
    <t>wind turbine</t>
  </si>
  <si>
    <t>You're telling me this thing converts wind into electricity? What a time to be alive.</t>
  </si>
  <si>
    <t>ObjAerogenerator</t>
  </si>
  <si>
    <t>snowfriend</t>
  </si>
  <si>
    <t>This icy friend will stay by your side regardless of the weather.</t>
  </si>
  <si>
    <t>ObjSnowman</t>
  </si>
  <si>
    <t>throne</t>
  </si>
  <si>
    <t>Many an island resident fought over who gets to sit upon this resplendent throne.</t>
  </si>
  <si>
    <t>ObjThrone</t>
  </si>
  <si>
    <t>wooden fence</t>
  </si>
  <si>
    <t>Typically squeaky.</t>
  </si>
  <si>
    <t>ObjFenceWood</t>
  </si>
  <si>
    <t>lattice fence</t>
  </si>
  <si>
    <t>Like a regular fence but with a little curve on the top. What will they think of next?</t>
  </si>
  <si>
    <t>ObjFenceLattice</t>
  </si>
  <si>
    <t>log fence</t>
  </si>
  <si>
    <t>You can use these to make rustic fences and section off the land.</t>
  </si>
  <si>
    <t>ObjFenceStake</t>
  </si>
  <si>
    <t>iron fence</t>
  </si>
  <si>
    <t>Think twice before trying to hop this fence.</t>
  </si>
  <si>
    <t>ObjFenceIron</t>
  </si>
  <si>
    <t>steel-pipe fence</t>
  </si>
  <si>
    <t>These pipes are cosplaying as a fence.</t>
  </si>
  <si>
    <t>ObjFencePipe</t>
  </si>
  <si>
    <t>chain stanchion</t>
  </si>
  <si>
    <t>The intimidating chain will theoretically deter people from entering off-limits areas.</t>
  </si>
  <si>
    <t>ObjFenceChain</t>
  </si>
  <si>
    <t>barbed-wire fence</t>
  </si>
  <si>
    <t>Great for fencing off an area or as reference for your next tattoo.</t>
  </si>
  <si>
    <t>ObjFenceBarbed</t>
  </si>
  <si>
    <t>guardrail</t>
  </si>
  <si>
    <t>Handy for when you want to keep people away from something or someone.</t>
  </si>
  <si>
    <t>ObjGuardrail</t>
  </si>
  <si>
    <t>pipe guardrail</t>
  </si>
  <si>
    <t>A guardrail to keep those pesky pedestrians from walking wherever they want.</t>
  </si>
  <si>
    <t>ObjFenceGuardpipe</t>
  </si>
  <si>
    <t>beach stairs (stone)</t>
  </si>
  <si>
    <t>Like the steel beach stairs but made of stone.</t>
  </si>
  <si>
    <t>ObjStepStone</t>
  </si>
  <si>
    <t>beach stairs (wooden)</t>
  </si>
  <si>
    <t>Like the stone beach stairs but made of wood.</t>
  </si>
  <si>
    <t>ObjStepWood</t>
  </si>
  <si>
    <t>beach stairs (steel)</t>
  </si>
  <si>
    <t>Like the wooden beach stairs but made of steel.</t>
  </si>
  <si>
    <t>ObjStepIron</t>
  </si>
  <si>
    <t>hardwood tree</t>
  </si>
  <si>
    <t>Not sure what to do with your CO2? One of these will take care of it for you.</t>
  </si>
  <si>
    <t>ObjTreeBroadleaf</t>
  </si>
  <si>
    <t>hardwood tree (fall colors)</t>
  </si>
  <si>
    <t>-1 (only during Autumn)</t>
  </si>
  <si>
    <t>This tree's vibrant fall colors will have you shouting "Timber!" in return.</t>
  </si>
  <si>
    <t>ObjTreeBroadleaf_01</t>
  </si>
  <si>
    <t>hardwood tree (snowy)</t>
  </si>
  <si>
    <t>This tree evolved into a shape it hoped would keep snow from gathering on it.</t>
  </si>
  <si>
    <t>ObjTreeBroadleaf_02</t>
  </si>
  <si>
    <t>cherry-blossom tree</t>
  </si>
  <si>
    <t>You'll know spring has sprung when the bloom has bloomed.</t>
  </si>
  <si>
    <t>ObjTreeCherry</t>
  </si>
  <si>
    <t>conifer tree</t>
  </si>
  <si>
    <t>Be careful around this tree. If it falls, it could take an eye out.</t>
  </si>
  <si>
    <t>ObjTreeConiferous</t>
  </si>
  <si>
    <t>conifer tree (snowy)</t>
  </si>
  <si>
    <t>The snow is designed to soften the impact when this tree falls.</t>
  </si>
  <si>
    <t>ObjTreeConiferous_01</t>
  </si>
  <si>
    <t>ginkgo tree</t>
  </si>
  <si>
    <t>Can't wait for the fall? Place a few of these and imagine a chill in the air.</t>
  </si>
  <si>
    <t>ObjTreeGinkgo</t>
  </si>
  <si>
    <t>palm tree</t>
  </si>
  <si>
    <t>Don't expect too much shade from this tree._x000b_</t>
  </si>
  <si>
    <t>ObjTreePalm</t>
  </si>
  <si>
    <t>cactus</t>
  </si>
  <si>
    <t>Don't get too close to this angry plant.</t>
  </si>
  <si>
    <t>ObjTreeCactus</t>
  </si>
  <si>
    <t>hedge</t>
  </si>
  <si>
    <t>A vegetative hedge that excels at dividing yards.</t>
  </si>
  <si>
    <t>ObjHedge</t>
  </si>
  <si>
    <t>hedge (fall colors)</t>
  </si>
  <si>
    <t>Dive behind one of these to avoid detection.</t>
  </si>
  <si>
    <t>ObjHedge_01</t>
  </si>
  <si>
    <t>hedge (hydrangea)</t>
  </si>
  <si>
    <t>Say hi to your drangea for me.</t>
  </si>
  <si>
    <t>ObjHedge_03</t>
  </si>
  <si>
    <t>hedge (gardenia)</t>
  </si>
  <si>
    <t>A hedge of gardenia. A favorite of those who garden by word association.</t>
  </si>
  <si>
    <t>ObjHedge_04</t>
  </si>
  <si>
    <t>hedge (fragrant-olive)</t>
  </si>
  <si>
    <t>I guess it's called this because it grows olives, maybe? It smells nice either way.</t>
  </si>
  <si>
    <t>ObjHedge_05</t>
  </si>
  <si>
    <t>hedge (camellia)</t>
  </si>
  <si>
    <t>This hedge is said to be prettiest in winter, but feel free to use it year-round.</t>
  </si>
  <si>
    <t>ObjHedge_06</t>
  </si>
  <si>
    <t>baby blue eyes flowers</t>
  </si>
  <si>
    <t>A patch of cute spring flowers. Think they're watching you? They probably aren't.</t>
  </si>
  <si>
    <t>ObjFlowerNemophila</t>
  </si>
  <si>
    <t>tulips</t>
  </si>
  <si>
    <t>Flowers so lovely that one might be tempted to invest one's life savings...</t>
  </si>
  <si>
    <t>ObjFlowerTulip</t>
  </si>
  <si>
    <t>sunflowers</t>
  </si>
  <si>
    <t>The sunflowers are always watching.</t>
  </si>
  <si>
    <t>ObjFlowerSunflowers</t>
  </si>
  <si>
    <t>lavender flowers</t>
  </si>
  <si>
    <t>These versatile flowers are good for making fine lotions and balms or for just smelling.</t>
  </si>
  <si>
    <t>ObjFlowerLavender</t>
  </si>
  <si>
    <t>cosmos flowers</t>
  </si>
  <si>
    <t>These flowers represent innocence but cannot be used in a court of law.</t>
  </si>
  <si>
    <t>ObjFlowerCosmos</t>
  </si>
  <si>
    <t>silver grass</t>
  </si>
  <si>
    <t>These flowers represent autumn and are second to none, despite the name.</t>
  </si>
  <si>
    <t>ObjFlowerPampasGrass</t>
  </si>
  <si>
    <t>anemone flowers</t>
  </si>
  <si>
    <t>These anemone flowers would make a nice amenity for an amenable frenemy.</t>
  </si>
  <si>
    <t>ObjFlowerAnemone</t>
  </si>
  <si>
    <t>narcissus flowers</t>
  </si>
  <si>
    <t>These flowers just won't stop talking about themselves.</t>
  </si>
  <si>
    <t>ObjFlowerNarcissus</t>
  </si>
  <si>
    <t>flower planter</t>
  </si>
  <si>
    <t>Please don't eat these flowers.</t>
  </si>
  <si>
    <t>ObjFlowerpot</t>
  </si>
  <si>
    <t>weeds</t>
  </si>
  <si>
    <t>Put these on your island to make everyone think your lawn mower is broken.</t>
  </si>
  <si>
    <t>ObjWeed</t>
  </si>
  <si>
    <t>weeds (dried-up)</t>
  </si>
  <si>
    <t>-1 (only during Autumn or Winter)</t>
  </si>
  <si>
    <t>Nature took care of these weeds so you don't have to.</t>
  </si>
  <si>
    <t>ObjWeed_01</t>
  </si>
  <si>
    <t>rock</t>
  </si>
  <si>
    <t>Literally just a rock.</t>
  </si>
  <si>
    <t>ObjRock</t>
  </si>
  <si>
    <t>illuminated tree</t>
  </si>
  <si>
    <t>-1 (only during Christmas)</t>
  </si>
  <si>
    <t>Turns your CO2 into light.</t>
  </si>
  <si>
    <t>ObjTreeElectric</t>
  </si>
  <si>
    <t>festive tree</t>
  </si>
  <si>
    <t>Now available to enjoy all year long.</t>
  </si>
  <si>
    <t>ObjTreeChristmas</t>
  </si>
  <si>
    <t>Tomoria restaurant</t>
  </si>
  <si>
    <t>A restaurant popular with families,
couples, and eavesdroppers alike.</t>
  </si>
  <si>
    <t>FacilityRestaurant</t>
  </si>
  <si>
    <t>Where &amp; Wear clothing</t>
  </si>
  <si>
    <t>A store that sells Mii clothing, with perfect
fits for even the fussiest of dressers.</t>
  </si>
  <si>
    <t>FacilityClothShop</t>
  </si>
  <si>
    <t>Fresh Kingdom food mart</t>
  </si>
  <si>
    <t>A whole store for selling food and
drink? What a time to be alive.</t>
  </si>
  <si>
    <t>FacilitySuperMarket</t>
  </si>
  <si>
    <t>Quik Build amenities</t>
  </si>
  <si>
    <t>Stop by here to pick up facilities and other
objects to make the island of your dreams.</t>
  </si>
  <si>
    <t>FacilityBuildingShop</t>
  </si>
  <si>
    <t>[Player Name]'s treasure shop</t>
  </si>
  <si>
    <t>Buy treasures from the Palette House
workshop here. What Mii wouldn't love
a bit of treasure?</t>
  </si>
  <si>
    <t>FacilityItemShop</t>
  </si>
  <si>
    <t>Palette House workshop</t>
  </si>
  <si>
    <t>The river of creativity flows through here.
Make whatever your heart desires.</t>
  </si>
  <si>
    <t>FacilityAtelier</t>
  </si>
  <si>
    <t>Foto-Tomo photography</t>
  </si>
  <si>
    <t>Let your Miis strike a pose, and
snap some glamorous photos.</t>
  </si>
  <si>
    <t>FacilityPhotoStudio</t>
  </si>
  <si>
    <t>MNN news station</t>
  </si>
  <si>
    <t>When Miis make the news, Miis report the
news. Check in daily to catch all the stories.</t>
  </si>
  <si>
    <t>FacilityTower</t>
  </si>
  <si>
    <t>Rite Price pawn shop</t>
  </si>
  <si>
    <t>This shop will buy treasures at a high price.
Swing by if you're running low on cash.</t>
  </si>
  <si>
    <t>FacilityPawnShop</t>
  </si>
  <si>
    <t>T&amp;C Reno home supply</t>
  </si>
  <si>
    <t>This store offers a great selection of home
interiors to fit the taste of any Mii.</t>
  </si>
  <si>
    <t>FacilityInteriorShop</t>
  </si>
  <si>
    <t>Ferris wheel</t>
  </si>
  <si>
    <t>Build this tourist attraction right in your Miis'
backyard. There's no better view in town.</t>
  </si>
  <si>
    <t>FacilityFerrisWheel</t>
  </si>
  <si>
    <t>marketplace</t>
  </si>
  <si>
    <t>Offers random items on the cheap, with
different deals each morning, day, and night!</t>
  </si>
  <si>
    <t>FacilityMarket</t>
  </si>
  <si>
    <t>Road name</t>
  </si>
  <si>
    <t>Road icon</t>
  </si>
  <si>
    <t>Height</t>
  </si>
  <si>
    <t>Road description</t>
  </si>
  <si>
    <t>Road internal name</t>
  </si>
  <si>
    <t>Arched cobblestone</t>
  </si>
  <si>
    <t>Arched-cobblestone path</t>
  </si>
  <si>
    <t>How many stones could a cobble cobble
if a cobble could cobble stones?</t>
  </si>
  <si>
    <t>A path of cobblestones
in a nice arched pattern.</t>
  </si>
  <si>
    <t>Archstone</t>
  </si>
  <si>
    <t>Archstone_Road</t>
  </si>
  <si>
    <t>Asphalt</t>
  </si>
  <si>
    <t>Asphalt path</t>
  </si>
  <si>
    <t>You're in for some easy walkin'
with this here asphalt.</t>
  </si>
  <si>
    <t>A path of paved asphalt.</t>
  </si>
  <si>
    <t>Asphalt_Road</t>
  </si>
  <si>
    <t>Bricks</t>
  </si>
  <si>
    <t>Brick path</t>
  </si>
  <si>
    <t>These neatly laid bricks are sure
to satisfy all your bricky desires.</t>
  </si>
  <si>
    <t>A path of carefully laid bricks.</t>
  </si>
  <si>
    <t>Stone</t>
  </si>
  <si>
    <t>Stone_Road</t>
  </si>
  <si>
    <t>Cherry blossoms</t>
  </si>
  <si>
    <t>Cherry-blossoms path</t>
  </si>
  <si>
    <t>Someone should sweep up
all these cherry blossoms.</t>
  </si>
  <si>
    <t>A path enhanced by cherry blossoms.</t>
  </si>
  <si>
    <t>CherryBlossom</t>
  </si>
  <si>
    <t>CherryBlossom_Road</t>
  </si>
  <si>
    <t>Clovers</t>
  </si>
  <si>
    <t>Clover path</t>
  </si>
  <si>
    <t>I think clovers are technically weeds,
but some of them may be good luck?</t>
  </si>
  <si>
    <t>A path with clovers.</t>
  </si>
  <si>
    <t>Clover</t>
  </si>
  <si>
    <t>Clover_Road</t>
  </si>
  <si>
    <t>Cobblestone</t>
  </si>
  <si>
    <t>Cobblestone path</t>
  </si>
  <si>
    <t>Carefully laid cobblestones are
the key to a functioning society.</t>
  </si>
  <si>
    <t>A lovely cobblestone path.</t>
  </si>
  <si>
    <t>Cobblestone_Road</t>
  </si>
  <si>
    <t>Concrete</t>
  </si>
  <si>
    <t>Concrete path</t>
  </si>
  <si>
    <t>Ideal for turning your island
into a giant parking lot.</t>
  </si>
  <si>
    <t>A path of smooth concrete.</t>
  </si>
  <si>
    <t>Concrete_Road</t>
  </si>
  <si>
    <t>Dirt</t>
  </si>
  <si>
    <t>Dirt path</t>
  </si>
  <si>
    <t>This landscaping is great for when you want
your island to look like it's covered in dirt.</t>
  </si>
  <si>
    <t>A well-trodden dirt path.</t>
  </si>
  <si>
    <t>Soil</t>
  </si>
  <si>
    <t>Soil_Road</t>
  </si>
  <si>
    <t>Fallen leaves</t>
  </si>
  <si>
    <t>Fallen-leaves path</t>
  </si>
  <si>
    <t>You won't regret going slightly out of your
way to step on these crunchy leaves.</t>
  </si>
  <si>
    <t>A path punctuated by fallen leaves.</t>
  </si>
  <si>
    <t>FallenLeaves_Road</t>
  </si>
  <si>
    <t>Gold tiles</t>
  </si>
  <si>
    <t>Gold-tile path</t>
  </si>
  <si>
    <t>Make your island look like
a fabled land of gold.</t>
  </si>
  <si>
    <t>A path of gold tiles.</t>
  </si>
  <si>
    <t>Gold</t>
  </si>
  <si>
    <t>Gold_Road</t>
  </si>
  <si>
    <t>Grass</t>
  </si>
  <si>
    <t>Grass path</t>
  </si>
  <si>
    <t>This grass feels nice between
your toes all year long.</t>
  </si>
  <si>
    <t>A path made of nice grass.</t>
  </si>
  <si>
    <t>Grass_Road</t>
  </si>
  <si>
    <t>Gravel</t>
  </si>
  <si>
    <t>Gravel path</t>
  </si>
  <si>
    <t>Tiny, compacted rocks.
Pretty cool, I guess.</t>
  </si>
  <si>
    <t>A path of loose gravel.</t>
  </si>
  <si>
    <t>Pebble</t>
  </si>
  <si>
    <t>Pebble_Road</t>
  </si>
  <si>
    <t>Sand</t>
  </si>
  <si>
    <t>Sand path</t>
  </si>
  <si>
    <t>This sand will definitely burn your
tootsies. There's just no way around it.</t>
  </si>
  <si>
    <t>A sandy path.</t>
  </si>
  <si>
    <t>Sand_Road</t>
  </si>
  <si>
    <t>Snow</t>
  </si>
  <si>
    <t>Snow path</t>
  </si>
  <si>
    <t>The millions of snowflakes that make
this up are identical in every way.</t>
  </si>
  <si>
    <t>A path covered in snow.</t>
  </si>
  <si>
    <t>Snow_Road</t>
  </si>
  <si>
    <t>Steel plate</t>
  </si>
  <si>
    <t>Steel-plate path</t>
  </si>
  <si>
    <t>Steel-plate landscaping for when you
want your island to look like a robot.</t>
  </si>
  <si>
    <t>A steel-plated path.</t>
  </si>
  <si>
    <t>Iron</t>
  </si>
  <si>
    <t>Iron_Road</t>
  </si>
  <si>
    <t>Tiles</t>
  </si>
  <si>
    <t>Tile path</t>
  </si>
  <si>
    <t>Simply stunning tile work.</t>
  </si>
  <si>
    <t>A path of well-grouted tile.</t>
  </si>
  <si>
    <t>Tile_Road</t>
  </si>
  <si>
    <t>Wooden boards</t>
  </si>
  <si>
    <t>Wooden-boards path</t>
  </si>
  <si>
    <t>Put these down so you can crack jokes
about "walking the plank" all day.</t>
  </si>
  <si>
    <t>A path of wooden boards.</t>
  </si>
  <si>
    <t>Wood</t>
  </si>
  <si>
    <t>Wood_Road</t>
  </si>
  <si>
    <t>Sandy beach</t>
  </si>
  <si>
    <t>Beautiful beach sand. Careful it doesn't
burn your tootsies on a hot day.</t>
  </si>
  <si>
    <t>Beach</t>
  </si>
  <si>
    <t>Sea</t>
  </si>
  <si>
    <t>Replace that pesky land
with salty, salty water.</t>
  </si>
  <si>
    <t>RoomInvalid</t>
  </si>
  <si>
    <t>Seaside</t>
  </si>
  <si>
    <t>UGC</t>
  </si>
  <si>
    <t>Destination name</t>
  </si>
  <si>
    <t>Place/activity name</t>
  </si>
  <si>
    <t>Destination Type</t>
  </si>
  <si>
    <t>Can wedding</t>
  </si>
  <si>
    <t>Total wishes count req.</t>
  </si>
  <si>
    <t>Foods</t>
  </si>
  <si>
    <t>Treasures</t>
  </si>
  <si>
    <t>Is night</t>
  </si>
  <si>
    <t>Place/activity description</t>
  </si>
  <si>
    <t>Dest. description</t>
  </si>
  <si>
    <t>Place/act. internal name</t>
  </si>
  <si>
    <t>Dest. internal name</t>
  </si>
  <si>
    <t>Oceania Tour</t>
  </si>
  <si>
    <t>Travel</t>
  </si>
  <si>
    <t>It's tough finding a cab out here. Maybe I can hop in this kangaroo's pouch.</t>
  </si>
  <si>
    <t>A trip all over down under! No drop bears or your money back.</t>
  </si>
  <si>
    <t>mc_オセアニア_00</t>
  </si>
  <si>
    <t>TravelPlaceN014</t>
  </si>
  <si>
    <t>Great Ocean Road</t>
  </si>
  <si>
    <t>Cruising down Australia's Great Ocean Road! Might make a pit stop to take a quick dip.</t>
  </si>
  <si>
    <t>mc_オセアニア_01</t>
  </si>
  <si>
    <t>Great Barrier Reef</t>
  </si>
  <si>
    <t>Coral galore! It's Australia's Great Barrier Reef!</t>
  </si>
  <si>
    <t>mc_オセアニア_02</t>
  </si>
  <si>
    <t>Sheep station</t>
  </si>
  <si>
    <t>So many sheep. I've got wool sweaters for days!</t>
  </si>
  <si>
    <t>mc_オセアニア_03</t>
  </si>
  <si>
    <t>Tasman Glacier</t>
  </si>
  <si>
    <t>Inside New Zealand's Tasman Glacier. Hands frozen. Send mittens.</t>
  </si>
  <si>
    <t>mc_オセアニア_04</t>
  </si>
  <si>
    <t>Hawaii Tour</t>
  </si>
  <si>
    <t>Diving</t>
  </si>
  <si>
    <t>Glub, glub! I'm diving!</t>
  </si>
  <si>
    <t>Get a taste of tropical paradise on this visit to Hawaii. Say aloha!</t>
  </si>
  <si>
    <t>mc_ハワイ_00</t>
  </si>
  <si>
    <t>TravelPlaceN003</t>
  </si>
  <si>
    <t>Waikiki</t>
  </si>
  <si>
    <t>Lookie-lookie, I'm in Waikiki!</t>
  </si>
  <si>
    <t>mc_ハワイ_01</t>
  </si>
  <si>
    <t>Poipu Beach</t>
  </si>
  <si>
    <t>Poipu Beach on Kauai is so nice. It's a shame I have to disturb the sand with my footprints.</t>
  </si>
  <si>
    <t>mc_ハワイ_02</t>
  </si>
  <si>
    <t>Hula dance</t>
  </si>
  <si>
    <t>Never a bad idea to end the day with some hula!</t>
  </si>
  <si>
    <t>mc_ハワイ_03</t>
  </si>
  <si>
    <t>Kuala Ranch</t>
  </si>
  <si>
    <t>I'm at Kualoa Ranch... ROAR!</t>
  </si>
  <si>
    <t>mc_ハワイ_04</t>
  </si>
  <si>
    <t>Kyoto Tour</t>
  </si>
  <si>
    <t>Kyoto Tower</t>
  </si>
  <si>
    <t>There's Kyoto Tower! So modern.</t>
  </si>
  <si>
    <t>History, culture, and myriad temples await in Japan's old capital.</t>
  </si>
  <si>
    <t>Travel_Kyoto_KyotoTower</t>
  </si>
  <si>
    <t>TravelPlaceN001</t>
  </si>
  <si>
    <t>Mount Daimonji</t>
  </si>
  <si>
    <t>Mount Daimonji's really lighting up the night!</t>
  </si>
  <si>
    <t>Travel_Daimonji</t>
  </si>
  <si>
    <t>Yasaka Pagoda</t>
  </si>
  <si>
    <t>Look, the Yasaka Pagoda! So elegant...</t>
  </si>
  <si>
    <t>Travel_Kyoto_HokanjiTemple</t>
  </si>
  <si>
    <t>Togetsukyo Bridge</t>
  </si>
  <si>
    <t>Togetsukyo Bridge is straight out of a woodblock print!</t>
  </si>
  <si>
    <t>Travel_Kyoto_Togetsukyo</t>
  </si>
  <si>
    <t>Senbon Torii</t>
  </si>
  <si>
    <t>The famous Senbon Torii at Fushimi Inari Taisha! I'm seeing red!</t>
  </si>
  <si>
    <t>Travel_Kyoto_Senbontorii</t>
  </si>
  <si>
    <t>Latin America Tour</t>
  </si>
  <si>
    <t>Oaxaca de Juárez</t>
  </si>
  <si>
    <t>Greetings from colorful Oaxaca in Mexico!</t>
  </si>
  <si>
    <t>A treasure trove of World Heritage sites awaits you in Latin America.</t>
  </si>
  <si>
    <t>mc_中南米_00</t>
  </si>
  <si>
    <t>TravelPlaceN005</t>
  </si>
  <si>
    <t>Machu Picchu</t>
  </si>
  <si>
    <t>Nice to meet you, Machu Picchu!</t>
  </si>
  <si>
    <t>mc_中南米_01</t>
  </si>
  <si>
    <t>Amazon</t>
  </si>
  <si>
    <t>Um... No one warned me the Amazon had caimans...</t>
  </si>
  <si>
    <t>mc_中南米_02</t>
  </si>
  <si>
    <t>Cenote</t>
  </si>
  <si>
    <t>This cenote is like my own private pool!</t>
  </si>
  <si>
    <t>mc_中南米_03</t>
  </si>
  <si>
    <t>Easter Island</t>
  </si>
  <si>
    <t>Easter Island's famous moai statues! Whatever they're looking at must be pretty interesting.</t>
  </si>
  <si>
    <t>mc_中南米_04</t>
  </si>
  <si>
    <t>Western Europe Tour</t>
  </si>
  <si>
    <t>Amsterdam</t>
  </si>
  <si>
    <t>Never say nether! I'm in Amsterdam, Netherlands!</t>
  </si>
  <si>
    <t>Tour the grand old cities of Western Europe with this package trip.</t>
  </si>
  <si>
    <t>mc_ヨーロッパ_00</t>
  </si>
  <si>
    <t>TravelPlaceN004</t>
  </si>
  <si>
    <t>Venice</t>
  </si>
  <si>
    <t>You can't visit Venice, Italy, without going for a float in the canals.</t>
  </si>
  <si>
    <t>mc_ヨーロッパ_01</t>
  </si>
  <si>
    <t>Eiffel Tower</t>
  </si>
  <si>
    <t>Romantic AND pointy! This is France's famed Eiffel Tower!</t>
  </si>
  <si>
    <t>mc_ヨーロッパ_02</t>
  </si>
  <si>
    <t>Rothenburg ob der Tauber</t>
  </si>
  <si>
    <t>This fairy-tale town is Germany's Rothenburg ob der Tauber!</t>
  </si>
  <si>
    <t>mc_ヨーロッパ_03</t>
  </si>
  <si>
    <t>Big Ben</t>
  </si>
  <si>
    <t>Big Ben? That's the bell! This London landmark is called Elizabeth Tower.</t>
  </si>
  <si>
    <t>mc_ヨーロッパ_04</t>
  </si>
  <si>
    <t>Southeast Asia Tour</t>
  </si>
  <si>
    <t>Angkor Wat</t>
  </si>
  <si>
    <t>Angkor what? Angkor Wat in Cambodia! Now THAT'S a temple.</t>
  </si>
  <si>
    <t>From rivers to ruins and big-city lights! A truly lavish tour.</t>
  </si>
  <si>
    <t>mc_東南アジア_00</t>
  </si>
  <si>
    <t>TravelPlaceN016</t>
  </si>
  <si>
    <t>Pattaya Beach</t>
  </si>
  <si>
    <t>Greetings from Thailand's Pattaya Beach! The bluest water I've ever seen.</t>
  </si>
  <si>
    <t>mc_東南アジア_01</t>
  </si>
  <si>
    <t>Gardens by the Bay</t>
  </si>
  <si>
    <t>It's Singapore's Gardens by the Bay! I guess these trees are from the future?</t>
  </si>
  <si>
    <t>mc_東南アジア_02</t>
  </si>
  <si>
    <t>Mekong River</t>
  </si>
  <si>
    <t>Relaxing on a cruise down the Mekong River!</t>
  </si>
  <si>
    <t>mc_東南アジア_03</t>
  </si>
  <si>
    <t>Ha Long Bay</t>
  </si>
  <si>
    <t>This trip to Vietnam's Ha Long Bay has been ha long time coming!</t>
  </si>
  <si>
    <t>mc_東南アジア_04</t>
  </si>
  <si>
    <t>Northern Europe Tour</t>
  </si>
  <si>
    <t>Sauna</t>
  </si>
  <si>
    <t>Sauna time!</t>
  </si>
  <si>
    <t>Sample a smorgasbord of Scandinavia's pristine nature and history.</t>
  </si>
  <si>
    <t>mc_北欧_00</t>
  </si>
  <si>
    <t>TravelPlaceN012</t>
  </si>
  <si>
    <t>Reindeer</t>
  </si>
  <si>
    <t>Check out these reindeer! I'm going to try and fly one of them home.</t>
  </si>
  <si>
    <t>mc_北欧_01</t>
  </si>
  <si>
    <t>Fjord</t>
  </si>
  <si>
    <t>Now that's a fjord you can't a-fjord to miss!</t>
  </si>
  <si>
    <t>mc_北欧_02</t>
  </si>
  <si>
    <t>Bergen</t>
  </si>
  <si>
    <t>Bundle up nice and warm before visiting Bergen, Norway.</t>
  </si>
  <si>
    <t>mc_北欧_03</t>
  </si>
  <si>
    <t>Viking</t>
  </si>
  <si>
    <t>Avast! I be a Viking, and I'm plunderin'— Er... Wait, that's pirates...</t>
  </si>
  <si>
    <t>mc_北欧_04</t>
  </si>
  <si>
    <t>USA Tour</t>
  </si>
  <si>
    <t>Brooklyn Bridge</t>
  </si>
  <si>
    <t>The skyline looks great from the Brooklyn Bridge!</t>
  </si>
  <si>
    <t>A tour of the biggest sights in the good ol' US of A.</t>
  </si>
  <si>
    <t>Travel_USA_ManhattanBridge</t>
  </si>
  <si>
    <t>TravelPlaceN002</t>
  </si>
  <si>
    <t>Niagara Falls</t>
  </si>
  <si>
    <t>Glad I remembered my rain jacket. Turns out Niagara Falls is wet!</t>
  </si>
  <si>
    <t>Travel_USA_Niagara</t>
  </si>
  <si>
    <t>Statue of Liberty</t>
  </si>
  <si>
    <t>How often does the Statue of Liberty change which hand is holding the torch? I wanna see it!</t>
  </si>
  <si>
    <t>Travel_USA_Liberty</t>
  </si>
  <si>
    <t>Monument Valley</t>
  </si>
  <si>
    <t>Road trip! Just cruising through Monument Valley—no big deal.</t>
  </si>
  <si>
    <t>Travel_USA_MonumentValley</t>
  </si>
  <si>
    <t>Las Vegas</t>
  </si>
  <si>
    <t>We're in Las Vegas! Now, where's the party at?</t>
  </si>
  <si>
    <t>Travel_USA_Vegas</t>
  </si>
  <si>
    <t>East Asia Tour</t>
  </si>
  <si>
    <t>Bukchon Hanok Village</t>
  </si>
  <si>
    <t>Hanging out in Seoul's Bukchon Hanok Village! It's like stepping into the past.</t>
  </si>
  <si>
    <t>See the sights of East Asia. (Panda sightings not guaranteed.)</t>
  </si>
  <si>
    <t>mc_東アジア_00</t>
  </si>
  <si>
    <t>TravelPlaceN013</t>
  </si>
  <si>
    <t>Victoria Harbour</t>
  </si>
  <si>
    <t>Quite the view from Victoria Harbour in Hong Kong.</t>
  </si>
  <si>
    <t>mc_東アジア_01</t>
  </si>
  <si>
    <t>Jiufen Old Street</t>
  </si>
  <si>
    <t>You haven't seen a street all lit up until you've seen Jiufen Old Street in Taiwan!</t>
  </si>
  <si>
    <t>mc_東アジア_02</t>
  </si>
  <si>
    <t>Sichuan</t>
  </si>
  <si>
    <t>Eat, sleep, repeat. Live life like a panda from Sichuan!</t>
  </si>
  <si>
    <t>mc_東アジア_03</t>
  </si>
  <si>
    <t>Sunrise Peak</t>
  </si>
  <si>
    <t>This spot on Cheju Island is known as Sunrise Peak, but I can't wake up that early.</t>
  </si>
  <si>
    <t>mc_東アジア_04</t>
  </si>
  <si>
    <t>Central/Eastern Europe Tour</t>
  </si>
  <si>
    <t>Dubrovnik</t>
  </si>
  <si>
    <t>Ahh. Loving the fresh sea air of Dubrovnik, Croatia!</t>
  </si>
  <si>
    <t>A tour around the many beautiful cities of Europe's heartland.</t>
  </si>
  <si>
    <t>mc_中東欧_00</t>
  </si>
  <si>
    <t>TravelPlaceN011</t>
  </si>
  <si>
    <t>Prague astronomical clock</t>
  </si>
  <si>
    <t>It's always time for astronomy. This is Prague's astronomical clock!</t>
  </si>
  <si>
    <t>mc_中東欧_01</t>
  </si>
  <si>
    <t>Sighișoara</t>
  </si>
  <si>
    <t>Walking through Sighișoara, Romania, is like walking through a painting!</t>
  </si>
  <si>
    <t>mc_中東欧_02</t>
  </si>
  <si>
    <t>Schönbrunn Palace</t>
  </si>
  <si>
    <t>This is Austria's Schönbrunn Palace. Schön indeed!</t>
  </si>
  <si>
    <t>mc_中東欧_03</t>
  </si>
  <si>
    <t>Koprivshtitsa</t>
  </si>
  <si>
    <t>Living the mountain life in Koprivshtitsa, Bulgaria!</t>
  </si>
  <si>
    <t>mc_中東欧_04</t>
  </si>
  <si>
    <t>Africa Tour</t>
  </si>
  <si>
    <t>Sahara</t>
  </si>
  <si>
    <t>I thought I was signing up to visit a dessert factory, but I guess the Sahara is pretty cool too!</t>
  </si>
  <si>
    <t>Get ready for the adventure of a lifetime with this visit to Africa!</t>
  </si>
  <si>
    <t>mc_アフリカ_00</t>
  </si>
  <si>
    <t>TravelPlaceN006</t>
  </si>
  <si>
    <t>Madagascar</t>
  </si>
  <si>
    <t>I'm mad about Madagascar!</t>
  </si>
  <si>
    <t>mc_アフリカ_01</t>
  </si>
  <si>
    <t>Savanna</t>
  </si>
  <si>
    <t>Just having my mind blown in a savanna!</t>
  </si>
  <si>
    <t>mc_アフリカ_02</t>
  </si>
  <si>
    <t>Pyramids of Giza</t>
  </si>
  <si>
    <t>Greetings from the Pyramids of Giza! What's a Mii gotta do to move into a place like this, huh?</t>
  </si>
  <si>
    <t>mc_アフリカ_03</t>
  </si>
  <si>
    <t>Chefchaouen</t>
  </si>
  <si>
    <t>It's impossible to feel blue when you're in Chefchaouen, Morocco!</t>
  </si>
  <si>
    <t>mc_アフリカ_04</t>
  </si>
  <si>
    <t>Mediterranean Tour</t>
  </si>
  <si>
    <t>Pamukkale</t>
  </si>
  <si>
    <t>I'm in Pamukkale, Türkiye! It looks like ice, but it's actually made of a mineral.</t>
  </si>
  <si>
    <t>Visit the sea that's steeped in history and culture!</t>
  </si>
  <si>
    <t>mc_地中海_00</t>
  </si>
  <si>
    <t>TravelPlaceN007</t>
  </si>
  <si>
    <t>Cappadocia</t>
  </si>
  <si>
    <t>I'm visiting Cappadocia, Türkiye! I'm told these structures were created via erosion.</t>
  </si>
  <si>
    <t>mc_地中海_01</t>
  </si>
  <si>
    <t>Scicily</t>
  </si>
  <si>
    <t>Greetings from Sicily! Glad I got to see it before Italy boots it off the globe.</t>
  </si>
  <si>
    <t>mc_地中海_02</t>
  </si>
  <si>
    <t>Corsica</t>
  </si>
  <si>
    <t>Of course-ica we're in Corsica!</t>
  </si>
  <si>
    <t>mc_地中海_03</t>
  </si>
  <si>
    <t>Cyprus</t>
  </si>
  <si>
    <t>I'm at some ruins in Cyprus, but nothing can ruin this trip!</t>
  </si>
  <si>
    <t>mc_地中海_04</t>
  </si>
  <si>
    <t>South Asia Tour</t>
  </si>
  <si>
    <t>Taj Mahal</t>
  </si>
  <si>
    <t>It's India's beautiful Taj Mahal!</t>
  </si>
  <si>
    <t>This tour, full of majestic sights, will take you to India and beyond.</t>
  </si>
  <si>
    <t>mc_南アジア_00</t>
  </si>
  <si>
    <t>TravelPlaceN009</t>
  </si>
  <si>
    <t>Ganges</t>
  </si>
  <si>
    <t>Time for a boat trip down the river Ganges!</t>
  </si>
  <si>
    <t>mc_南アジア_01</t>
  </si>
  <si>
    <t>Sigiriya</t>
  </si>
  <si>
    <t>Greetings from Sigiriya in Sri Lanka! Did people really live up here?!</t>
  </si>
  <si>
    <t>mc_南アジア_02</t>
  </si>
  <si>
    <t>Bhaktapur Durbar Square</t>
  </si>
  <si>
    <t>I'm in Nepal's Bhaktapur Durbar Square, and I'm not lyin'!</t>
  </si>
  <si>
    <t>mc_南アジア_03</t>
  </si>
  <si>
    <t>Mumbai</t>
  </si>
  <si>
    <t>Here I am in Mumbai, India! There's more history here than I know what to do with.</t>
  </si>
  <si>
    <t>mc_南アジア_04</t>
  </si>
  <si>
    <t>Famous Mountains Tour</t>
  </si>
  <si>
    <t>Kilauea</t>
  </si>
  <si>
    <t>Greetings from Hawaii's Kilauea! Who turned up the heat?</t>
  </si>
  <si>
    <t>These summits will take your breath away. Literally. Bring oxygen.</t>
  </si>
  <si>
    <t>mc_世界の名山_00</t>
  </si>
  <si>
    <t>TravelPlaceN018</t>
  </si>
  <si>
    <t>Matterhorn</t>
  </si>
  <si>
    <t>It's the Matterhorn in the Alps! Makes me wanna give a great big "yodelayheehoo!"</t>
  </si>
  <si>
    <t>mc_世界の名山_01</t>
  </si>
  <si>
    <t>Rainbow Mountain</t>
  </si>
  <si>
    <t>I'm in the Andes, and Rainbow Mountain isn't afraid to let me know it.</t>
  </si>
  <si>
    <t>mc_世界の名山_02</t>
  </si>
  <si>
    <t>Mount Kilimanjaro</t>
  </si>
  <si>
    <t>There's Mount Kilimanjaro, towering over Tanzania!</t>
  </si>
  <si>
    <t>mc_世界の名山_03</t>
  </si>
  <si>
    <t>Everest</t>
  </si>
  <si>
    <t>I'm on top of the world after climbing Everest!</t>
  </si>
  <si>
    <t>mc_世界の名山_04</t>
  </si>
  <si>
    <t>World Caves Tour</t>
  </si>
  <si>
    <t>Waitomo Caves</t>
  </si>
  <si>
    <t>It may look like a starry sky, but those are the glowworms in New Zealand's Waitomo Caves!</t>
  </si>
  <si>
    <t>Grab your hard hat and get ready to spelunk caves the world over.</t>
  </si>
  <si>
    <t>mc_世界の洞窟_00</t>
  </si>
  <si>
    <t>TravelPlaceN017</t>
  </si>
  <si>
    <t>Blue Grotto</t>
  </si>
  <si>
    <t>Boating through Italy's Blue Grotto! I wonder if the water tastes as good as it looks...</t>
  </si>
  <si>
    <t>mc_世界の洞窟_01</t>
  </si>
  <si>
    <t>Hang Son Doong</t>
  </si>
  <si>
    <t>Greetings from Vietnam's Hang Son Doong! More moss than I thought there'd be...</t>
  </si>
  <si>
    <t>mc_世界の洞窟_02</t>
  </si>
  <si>
    <t>Fingal's Cave</t>
  </si>
  <si>
    <t>Having a beautiful time in Scotland's Fingal's Cave! The columns are a sight to behold.</t>
  </si>
  <si>
    <t>mc_世界の洞窟_03</t>
  </si>
  <si>
    <t>Antelope Canyon</t>
  </si>
  <si>
    <t>Exploring Antelope Canyon in the USA! I'd like to meet whoever painted this place.</t>
  </si>
  <si>
    <t>mc_世界の洞窟_04</t>
  </si>
  <si>
    <t>World Castles Tour</t>
  </si>
  <si>
    <t>Alhambra</t>
  </si>
  <si>
    <t>Spain's Alhambra is so much more grand in person!</t>
  </si>
  <si>
    <t>Dank dungeons and hallowed halls. Truly a tour fit for royalty.</t>
  </si>
  <si>
    <t>mc_世界の城_00</t>
  </si>
  <si>
    <t>TravelPlaceN010</t>
  </si>
  <si>
    <t>Himeji Castle</t>
  </si>
  <si>
    <t>This is Himeji Castle in Japan! If I were a ninja, you wouldn't see me in this picture.</t>
  </si>
  <si>
    <t>mc_世界の城_01</t>
  </si>
  <si>
    <t>Forbidden City</t>
  </si>
  <si>
    <t>I thought China's Forbidden City would be forbidden, but they let me walk right in!</t>
  </si>
  <si>
    <t>mc_世界の城_02</t>
  </si>
  <si>
    <t>Red Fort</t>
  </si>
  <si>
    <t>The Red Fort in India is even redder than I fort!</t>
  </si>
  <si>
    <t>mc_世界の城_03</t>
  </si>
  <si>
    <t>Neuschwanstein Castle</t>
  </si>
  <si>
    <t>It's Germany's Neuschwanstein Castle! Beats the OLD Schwanstein Castle...</t>
  </si>
  <si>
    <t>mc_世界の城_04</t>
  </si>
  <si>
    <t>Galápagos Islands Tour</t>
  </si>
  <si>
    <t>Marine iguana</t>
  </si>
  <si>
    <t>Don't accidentally step on a marine iguana. Ouch!</t>
  </si>
  <si>
    <t>A rare chance to snap pics of the unique fauna of the Galápagos.</t>
  </si>
  <si>
    <t>mc_ガラパゴス諸島_00</t>
  </si>
  <si>
    <t>TravelPlaceN015</t>
  </si>
  <si>
    <t>Galápagos tortoises</t>
  </si>
  <si>
    <t>Regretfully, I have been advised to not ride the Galápagos tortoises.</t>
  </si>
  <si>
    <t>mc_ガラパゴス諸島_01</t>
  </si>
  <si>
    <t>Galápagos penguins</t>
  </si>
  <si>
    <t>It must cost a fortune to import all the tuxedos for these Galápagos penguins.</t>
  </si>
  <si>
    <t>mc_ガラパゴス諸島_02</t>
  </si>
  <si>
    <t>Blue-footed Boobies</t>
  </si>
  <si>
    <t>So THAT'S why they're called blue-footed boobies.</t>
  </si>
  <si>
    <t>mc_ガラパゴス諸島_03</t>
  </si>
  <si>
    <t>Sally Lightfoot crab</t>
  </si>
  <si>
    <t>Who could the Sally Lightfoot crab be named after? The world may never know.</t>
  </si>
  <si>
    <t>mc_ガラパゴス諸島_04</t>
  </si>
  <si>
    <t>Iconic Scenery Tour</t>
  </si>
  <si>
    <t>Yellowstone National Park</t>
  </si>
  <si>
    <t>I'm visiting the USA's Yellowstone National Park! Anyone know if Old Faithful will blow today?</t>
  </si>
  <si>
    <t>A tour of our planet's proudest creations. Good job, Earth!</t>
  </si>
  <si>
    <t>mc_世界の絶景_00</t>
  </si>
  <si>
    <t>TravelPlaceN019</t>
  </si>
  <si>
    <t>Uyuni Salt Flat</t>
  </si>
  <si>
    <t>Greetings from Bolivia's Uyuni Salt Flat! Just looking at it makes me thirsty.</t>
  </si>
  <si>
    <t>mc_世界の絶景_01</t>
  </si>
  <si>
    <t>Sapa</t>
  </si>
  <si>
    <t>Vietnam's Sapa makes growing rice look like a real art.</t>
  </si>
  <si>
    <t>mc_世界の絶景_02</t>
  </si>
  <si>
    <t>Li River</t>
  </si>
  <si>
    <t>Floating down China's Li River is like floating through a painting.</t>
  </si>
  <si>
    <t>mc_世界の絶景_03</t>
  </si>
  <si>
    <t>Mount Fuji</t>
  </si>
  <si>
    <t>Ah, Japan's Mount Fuji... Hello, Fuji-san!</t>
  </si>
  <si>
    <t>mc_世界の絶景_04</t>
  </si>
  <si>
    <t>Outer Space Tour</t>
  </si>
  <si>
    <t>Moon</t>
  </si>
  <si>
    <t>Space</t>
  </si>
  <si>
    <t>alpha alien, beta alien, gamma alien</t>
  </si>
  <si>
    <t>I'm on the moon, but where's the cheese? I was promised cheese.</t>
  </si>
  <si>
    <t>An interplanetary adventure! Some say this tour lacks atmosphere...</t>
  </si>
  <si>
    <t>mc_宇宙旅行_00</t>
  </si>
  <si>
    <t>TravelPlaceS001</t>
  </si>
  <si>
    <t>Andromeda Galaxy</t>
  </si>
  <si>
    <t>BRB, getting a close-up view of the Andromeda Galaxy. No bigs!</t>
  </si>
  <si>
    <t>mc_宇宙旅行_01</t>
  </si>
  <si>
    <t>Mars</t>
  </si>
  <si>
    <t>Greetings from Mars! How long do I need to live here before I'm considered a Martian?</t>
  </si>
  <si>
    <t>mc_宇宙旅行_02</t>
  </si>
  <si>
    <t>Earth's Stratosphere</t>
  </si>
  <si>
    <t>I'm in the stratosphere now! Hey, I can see the island from here.</t>
  </si>
  <si>
    <t>mc_宇宙旅行_03</t>
  </si>
  <si>
    <t>Pillars of Creation</t>
  </si>
  <si>
    <t>The Pillars of Creation in the Eagle Nebula are a bit over my head, but they sure are pretty to look at.</t>
  </si>
  <si>
    <t>mc_宇宙旅行_04</t>
  </si>
  <si>
    <t>Antarctica Tour</t>
  </si>
  <si>
    <t>Iceberg</t>
  </si>
  <si>
    <t>Obtained by giving enough money to a Mii</t>
  </si>
  <si>
    <t>I always wondered where the expression "the tip of the iceberg" came from.</t>
  </si>
  <si>
    <t>mc_南極_00</t>
  </si>
  <si>
    <t>TravelPlaceN008</t>
  </si>
  <si>
    <t>Emperor Penguin</t>
  </si>
  <si>
    <t>We all wore the same outfit? How embarrassing.</t>
  </si>
  <si>
    <t>mc_南極_01</t>
  </si>
  <si>
    <t>Midnight Sun</t>
  </si>
  <si>
    <t>I've been sitting here for days waiting for the sunset.</t>
  </si>
  <si>
    <t>mc_南極_02</t>
  </si>
  <si>
    <t>Seal</t>
  </si>
  <si>
    <t>What a cute seal!</t>
  </si>
  <si>
    <t>mc_南極_03</t>
  </si>
  <si>
    <t>Icebreaker</t>
  </si>
  <si>
    <t>This ship is called an icebreaker because starting conversations is so easy when you're on one!</t>
  </si>
  <si>
    <t>mc_南極_04</t>
  </si>
  <si>
    <t>Relation name</t>
  </si>
  <si>
    <t>Meters</t>
  </si>
  <si>
    <t>Spouses</t>
  </si>
  <si>
    <t>-70 to -50</t>
  </si>
  <si>
    <t>-50 to -20</t>
  </si>
  <si>
    <t>-20 to -10</t>
  </si>
  <si>
    <t>-10 to 10</t>
  </si>
  <si>
    <t>10 to 20</t>
  </si>
  <si>
    <t>20 to 50</t>
  </si>
  <si>
    <t>50 to 70</t>
  </si>
  <si>
    <t>Couple</t>
  </si>
  <si>
    <t>Not getting along</t>
  </si>
  <si>
    <t>Making it work</t>
  </si>
  <si>
    <t>Happy</t>
  </si>
  <si>
    <t>In love</t>
  </si>
  <si>
    <t>Very in love</t>
  </si>
  <si>
    <t>Super in love</t>
  </si>
  <si>
    <t>Soulmates</t>
  </si>
  <si>
    <t>Spouses (fight)</t>
  </si>
  <si>
    <t>Still trying?</t>
  </si>
  <si>
    <t>Making it work?</t>
  </si>
  <si>
    <t>Still happy?</t>
  </si>
  <si>
    <t>Still in love?</t>
  </si>
  <si>
    <t>Still very in love?</t>
  </si>
  <si>
    <t>Still super in love?</t>
  </si>
  <si>
    <t>Still soulmates?</t>
  </si>
  <si>
    <t>Ex-spouses</t>
  </si>
  <si>
    <t>-30 to -20</t>
  </si>
  <si>
    <t>-10 to -10</t>
  </si>
  <si>
    <t>20 to 60</t>
  </si>
  <si>
    <t>60 to 80</t>
  </si>
  <si>
    <t>Divorce</t>
  </si>
  <si>
    <t>Enemies</t>
  </si>
  <si>
    <t>Tries to avoid</t>
  </si>
  <si>
    <t>Not speaking</t>
  </si>
  <si>
    <t>No hard feelings</t>
  </si>
  <si>
    <t>On good terms</t>
  </si>
  <si>
    <t>Still great friends</t>
  </si>
  <si>
    <t>Would try again</t>
  </si>
  <si>
    <t>Ex-friends</t>
  </si>
  <si>
    <t>ExFriend</t>
  </si>
  <si>
    <t>Strained</t>
  </si>
  <si>
    <t>It's complicated</t>
  </si>
  <si>
    <t>Thinkgs about often</t>
  </si>
  <si>
    <t>Hopes to make up</t>
  </si>
  <si>
    <t>Ex-sweethearts</t>
  </si>
  <si>
    <t>ExLover</t>
  </si>
  <si>
    <t>Family</t>
  </si>
  <si>
    <t>-100 to -60</t>
  </si>
  <si>
    <t>-60 to -40</t>
  </si>
  <si>
    <t>-40 to -20</t>
  </si>
  <si>
    <t>-20 to 20</t>
  </si>
  <si>
    <t>20 to 40</t>
  </si>
  <si>
    <t>40 to 60</t>
  </si>
  <si>
    <t>60 to 100</t>
  </si>
  <si>
    <t>Kinda getting along</t>
  </si>
  <si>
    <t>Getting along well</t>
  </si>
  <si>
    <t>Cares for</t>
  </si>
  <si>
    <t>Cares a lot for</t>
  </si>
  <si>
    <t>Cares deeply for</t>
  </si>
  <si>
    <t>Cherishes</t>
  </si>
  <si>
    <t>One-sided love (friend)</t>
  </si>
  <si>
    <t>FriendOneSideLove</t>
  </si>
  <si>
    <t>Giving up</t>
  </si>
  <si>
    <t>Close to giving up</t>
  </si>
  <si>
    <t>Has some hope</t>
  </si>
  <si>
    <t>Likes a lot</t>
  </si>
  <si>
    <t>Crushing</t>
  </si>
  <si>
    <t>Head over heels</t>
  </si>
  <si>
    <t>Ready to risk it all</t>
  </si>
  <si>
    <t>One-sided love (friend, fight)</t>
  </si>
  <si>
    <t>Giving up?</t>
  </si>
  <si>
    <t>Close to giving up?</t>
  </si>
  <si>
    <t>Still interested?</t>
  </si>
  <si>
    <t>Still likes?</t>
  </si>
  <si>
    <t>Still crushing?</t>
  </si>
  <si>
    <t>Still head over heels?</t>
  </si>
  <si>
    <t>Still ready to risk it all?</t>
  </si>
  <si>
    <t>Friends</t>
  </si>
  <si>
    <t>Friend</t>
  </si>
  <si>
    <t>Good friends</t>
  </si>
  <si>
    <t>Great friends</t>
  </si>
  <si>
    <t>Best friends</t>
  </si>
  <si>
    <t>Ultra friends</t>
  </si>
  <si>
    <t>Friends (fight)</t>
  </si>
  <si>
    <t>Not getting along?</t>
  </si>
  <si>
    <t>King getting along?</t>
  </si>
  <si>
    <t>Still friends?</t>
  </si>
  <si>
    <t>Still good friends?</t>
  </si>
  <si>
    <t>Still great friends?</t>
  </si>
  <si>
    <t>Still best friends?</t>
  </si>
  <si>
    <t>Still ultra friends?</t>
  </si>
  <si>
    <t>One-sided love (acquaintance)</t>
  </si>
  <si>
    <t>100 to 200</t>
  </si>
  <si>
    <t>KnowOneSideLove</t>
  </si>
  <si>
    <t>One-sided love (acquaintance, fight)</t>
  </si>
  <si>
    <t>Acquaintances</t>
  </si>
  <si>
    <t>Know</t>
  </si>
  <si>
    <t>Not interested</t>
  </si>
  <si>
    <t>Indifferent</t>
  </si>
  <si>
    <t>Some interest</t>
  </si>
  <si>
    <t>Getting familiar</t>
  </si>
  <si>
    <t>Seems like-minded</t>
  </si>
  <si>
    <t>Vibes with</t>
  </si>
  <si>
    <t>Wants to be friends</t>
  </si>
  <si>
    <t>Sweethearts</t>
  </si>
  <si>
    <t>-80 to -50</t>
  </si>
  <si>
    <t>-50 to -30</t>
  </si>
  <si>
    <t>20 to 30</t>
  </si>
  <si>
    <t>30 to 50</t>
  </si>
  <si>
    <t>50 to 80</t>
  </si>
  <si>
    <t>Lover</t>
  </si>
  <si>
    <t>Really likes</t>
  </si>
  <si>
    <t>Falling in love</t>
  </si>
  <si>
    <t>Wants to marry!</t>
  </si>
  <si>
    <t>Sweethearts (fight)</t>
  </si>
  <si>
    <t>Kinda getting along?</t>
  </si>
  <si>
    <t>Still really likes?</t>
  </si>
  <si>
    <t>Still falling in love?</t>
  </si>
  <si>
    <t>Still wants to marry?</t>
  </si>
  <si>
    <t>Strangers</t>
  </si>
  <si>
    <t>Relatives</t>
  </si>
  <si>
    <t>Relative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</si>
</sst>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9">
    <font>
      <sz val="10.0"/>
      <color rgb="FF000000"/>
      <name val="Arial"/>
      <scheme val="minor"/>
    </font>
    <font>
      <b/>
      <sz val="18.0"/>
      <color theme="1"/>
      <name val="Arial"/>
    </font>
    <font>
      <sz val="12.0"/>
      <color theme="1"/>
      <name val="Arial"/>
    </font>
    <font>
      <u/>
      <sz val="12.0"/>
      <color rgb="FF0000FF"/>
      <name val="Arial"/>
    </font>
    <font>
      <b/>
      <sz val="14.0"/>
      <color theme="1"/>
      <name val="Arial"/>
    </font>
    <font>
      <sz val="12.0"/>
      <color theme="1"/>
      <name val="Arial"/>
      <scheme val="minor"/>
    </font>
    <font>
      <u/>
      <sz val="12.0"/>
      <color rgb="FF0000FF"/>
    </font>
    <font>
      <sz val="12.0"/>
      <color rgb="FF000000"/>
      <name val="Arial"/>
    </font>
    <font>
      <sz val="11.0"/>
      <color theme="1"/>
      <name val="Arial"/>
    </font>
    <font>
      <b/>
      <color rgb="FF000000"/>
      <name val="Arial"/>
      <scheme val="minor"/>
    </font>
    <font>
      <b/>
      <color rgb="FF37415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1F2937"/>
      <name val="Arial"/>
      <scheme val="minor"/>
    </font>
    <font>
      <b/>
      <color rgb="FF374151"/>
      <name val="Arial"/>
    </font>
    <font>
      <b/>
      <color rgb="FF374151"/>
      <name val="-apple-system"/>
    </font>
    <font>
      <b/>
      <color rgb="FF000000"/>
      <name val="-apple-system"/>
    </font>
    <font>
      <color rgb="FF000000"/>
      <name val="Arial"/>
    </font>
    <font>
      <color rgb="FF1F2937"/>
      <name val="-apple-system"/>
    </font>
    <font>
      <color rgb="FF1F2937"/>
      <name val="Arial"/>
    </font>
    <font>
      <color rgb="FF000000"/>
      <name val="-apple-system"/>
    </font>
    <font>
      <b/>
      <color rgb="FF000000"/>
      <name val="Arial"/>
    </font>
    <font>
      <b/>
      <sz val="10.0"/>
      <color rgb="FF374151"/>
      <name val="Arial"/>
      <scheme val="minor"/>
    </font>
    <font>
      <b/>
      <sz val="8.0"/>
      <color rgb="FF374151"/>
      <name val="Arial"/>
      <scheme val="minor"/>
    </font>
    <font>
      <b/>
      <sz val="10.0"/>
      <color rgb="FF000000"/>
      <name val="Arial"/>
      <scheme val="minor"/>
    </font>
    <font>
      <b/>
      <sz val="7.0"/>
      <color rgb="FF374151"/>
      <name val="Arial"/>
      <scheme val="minor"/>
    </font>
    <font>
      <b/>
      <color theme="1"/>
      <name val="Arial"/>
      <scheme val="minor"/>
    </font>
    <font/>
    <font>
      <i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2" fontId="5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5" fontId="5" numFmtId="0" xfId="0" applyAlignment="1" applyFill="1" applyFont="1">
      <alignment readingOrder="0" shrinkToFit="0" vertical="center" wrapText="1"/>
    </xf>
    <xf borderId="0" fillId="6" fontId="5" numFmtId="0" xfId="0" applyAlignment="1" applyFill="1" applyFont="1">
      <alignment readingOrder="0" shrinkToFit="0" vertical="center" wrapText="1"/>
    </xf>
    <xf borderId="0" fillId="7" fontId="5" numFmtId="0" xfId="0" applyAlignment="1" applyFill="1" applyFont="1">
      <alignment readingOrder="0" shrinkToFit="0" vertical="center" wrapText="1"/>
    </xf>
    <xf borderId="0" fillId="8" fontId="5" numFmtId="0" xfId="0" applyAlignment="1" applyFill="1" applyFont="1">
      <alignment readingOrder="0" shrinkToFit="0" vertical="center" wrapText="1"/>
    </xf>
    <xf borderId="0" fillId="9" fontId="5" numFmtId="0" xfId="0" applyAlignment="1" applyFill="1" applyFont="1">
      <alignment readingOrder="0" shrinkToFit="0" vertical="center" wrapText="1"/>
    </xf>
    <xf borderId="0" fillId="10" fontId="5" numFmtId="0" xfId="0" applyAlignment="1" applyFill="1" applyFont="1">
      <alignment readingOrder="0" shrinkToFit="0" vertical="center" wrapText="1"/>
    </xf>
    <xf borderId="0" fillId="11" fontId="5" numFmtId="0" xfId="0" applyAlignment="1" applyFill="1" applyFont="1">
      <alignment readingOrder="0" shrinkToFit="0" vertical="center" wrapText="1"/>
    </xf>
    <xf borderId="0" fillId="12" fontId="7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49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49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164" xfId="0" applyAlignment="1" applyFont="1" applyNumberFormat="1">
      <alignment horizontal="center" readingOrder="0" shrinkToFit="0" vertical="center" wrapText="1"/>
    </xf>
    <xf borderId="0" fillId="13" fontId="13" numFmtId="0" xfId="0" applyAlignment="1" applyFill="1" applyFont="1">
      <alignment horizontal="center" readingOrder="0" shrinkToFit="0" vertical="center" wrapText="1"/>
    </xf>
    <xf borderId="0" fillId="13" fontId="13" numFmtId="164" xfId="0" applyAlignment="1" applyFont="1" applyNumberFormat="1">
      <alignment horizontal="center" readingOrder="0" shrinkToFit="0" vertical="center" wrapText="1"/>
    </xf>
    <xf borderId="0" fillId="13" fontId="11" numFmtId="49" xfId="0" applyAlignment="1" applyFont="1" applyNumberFormat="1">
      <alignment horizontal="center" readingOrder="0" shrinkToFit="0" vertical="center" wrapText="1"/>
    </xf>
    <xf borderId="0" fillId="0" fontId="14" numFmtId="49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13" fontId="17" numFmtId="49" xfId="0" applyAlignment="1" applyFont="1" applyNumberFormat="1">
      <alignment horizontal="center" readingOrder="0" shrinkToFit="0" vertical="center" wrapText="1"/>
    </xf>
    <xf borderId="0" fillId="13" fontId="18" numFmtId="0" xfId="0" applyAlignment="1" applyFont="1">
      <alignment horizontal="center" shrinkToFit="0" vertical="center" wrapText="1"/>
    </xf>
    <xf borderId="0" fillId="13" fontId="17" numFmtId="0" xfId="0" applyAlignment="1" applyFont="1">
      <alignment horizontal="center" readingOrder="0" shrinkToFit="0" vertical="center" wrapText="1"/>
    </xf>
    <xf borderId="0" fillId="13" fontId="18" numFmtId="0" xfId="0" applyAlignment="1" applyFont="1">
      <alignment horizontal="center" readingOrder="0" shrinkToFit="0" vertical="center" wrapText="1"/>
    </xf>
    <xf borderId="0" fillId="13" fontId="18" numFmtId="164" xfId="0" applyAlignment="1" applyFont="1" applyNumberFormat="1">
      <alignment horizontal="center" readingOrder="0" shrinkToFit="0" vertical="center" wrapText="1"/>
    </xf>
    <xf borderId="0" fillId="13" fontId="19" numFmtId="0" xfId="0" applyAlignment="1" applyFont="1">
      <alignment horizontal="center" readingOrder="0" shrinkToFit="0" vertical="center" wrapText="1"/>
    </xf>
    <xf borderId="0" fillId="0" fontId="17" numFmtId="49" xfId="0" applyAlignment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164" xfId="0" applyAlignment="1" applyFont="1" applyNumberForma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13" fontId="20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21" numFmtId="49" xfId="0" applyAlignment="1" applyFont="1" applyNumberForma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0" numFmtId="164" xfId="0" applyAlignment="1" applyFont="1" applyNumberFormat="1">
      <alignment horizontal="center" readingOrder="0" shrinkToFit="0" vertical="center" wrapText="1"/>
    </xf>
    <xf borderId="0" fillId="13" fontId="20" numFmtId="0" xfId="0" applyAlignment="1" applyFont="1">
      <alignment horizontal="center" shrinkToFit="0" vertical="center" wrapText="1"/>
    </xf>
    <xf borderId="0" fillId="13" fontId="20" numFmtId="164" xfId="0" applyAlignment="1" applyFont="1" applyNumberFormat="1">
      <alignment horizontal="center" readingOrder="0" shrinkToFit="0" vertical="center" wrapText="1"/>
    </xf>
    <xf borderId="0" fillId="0" fontId="22" numFmtId="49" xfId="0" applyAlignment="1" applyFont="1" applyNumberFormat="1">
      <alignment horizontal="center" readingOrder="0" shrinkToFit="0" vertical="center" wrapText="1"/>
    </xf>
    <xf borderId="0" fillId="0" fontId="23" numFmtId="49" xfId="0" applyAlignment="1" applyFont="1" applyNumberFormat="1">
      <alignment horizontal="center" readingOrder="0" shrinkToFit="0" vertical="center" wrapText="1"/>
    </xf>
    <xf borderId="0" fillId="0" fontId="24" numFmtId="49" xfId="0" applyAlignment="1" applyFont="1" applyNumberFormat="1">
      <alignment horizontal="center" readingOrder="0" shrinkToFit="0" vertical="center" wrapText="1"/>
    </xf>
    <xf borderId="0" fillId="0" fontId="25" numFmtId="49" xfId="0" applyAlignment="1" applyFont="1" applyNumberFormat="1">
      <alignment horizontal="center" readingOrder="0" shrinkToFit="0" vertical="center" wrapText="1"/>
    </xf>
    <xf borderId="0" fillId="0" fontId="13" numFmtId="49" xfId="0" applyAlignment="1" applyFont="1" applyNumberFormat="1">
      <alignment horizontal="center" readingOrder="0" shrinkToFit="0" vertical="center" wrapText="1"/>
    </xf>
    <xf borderId="0" fillId="0" fontId="12" numFmtId="49" xfId="0" applyAlignment="1" applyFont="1" applyNumberFormat="1">
      <alignment horizontal="center" readingOrder="0" vertical="center"/>
    </xf>
    <xf borderId="0" fillId="13" fontId="13" numFmtId="49" xfId="0" applyAlignment="1" applyFont="1" applyNumberFormat="1">
      <alignment horizontal="center" readingOrder="0" shrinkToFit="0" vertical="center" wrapText="1"/>
    </xf>
    <xf borderId="0" fillId="0" fontId="10" numFmtId="49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164" xfId="0" applyAlignment="1" applyFont="1" applyNumberFormat="1">
      <alignment horizontal="center" readingOrder="0" vertical="center"/>
    </xf>
    <xf borderId="0" fillId="0" fontId="12" numFmtId="164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2" fillId="0" fontId="26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27" numFmtId="0" xfId="0" applyBorder="1" applyFont="1"/>
    <xf borderId="3" fillId="0" fontId="12" numFmtId="0" xfId="0" applyAlignment="1" applyBorder="1" applyFont="1">
      <alignment horizontal="center" readingOrder="0" shrinkToFit="0" vertical="center" wrapText="1"/>
    </xf>
    <xf borderId="4" fillId="0" fontId="27" numFmtId="0" xfId="0" applyBorder="1" applyFont="1"/>
    <xf borderId="5" fillId="0" fontId="27" numFmtId="0" xfId="0" applyBorder="1" applyFont="1"/>
    <xf borderId="3" fillId="0" fontId="2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MHt8OSg2QbjKZutviLcEdDcwXiFxPMqwL7cRyQy1IQ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168.88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 ht="30.0" customHeight="1">
      <c r="A4" s="4" t="s">
        <v>3</v>
      </c>
    </row>
    <row r="5">
      <c r="A5" s="5"/>
      <c r="B5" s="6" t="s">
        <v>4</v>
      </c>
    </row>
    <row r="6">
      <c r="A6" s="7"/>
      <c r="B6" s="6" t="s">
        <v>5</v>
      </c>
    </row>
    <row r="7">
      <c r="A7" s="8"/>
      <c r="B7" s="6" t="s">
        <v>6</v>
      </c>
    </row>
    <row r="8">
      <c r="A8" s="9"/>
      <c r="B8" s="6" t="s">
        <v>7</v>
      </c>
    </row>
    <row r="9">
      <c r="A9" s="10"/>
      <c r="B9" s="6" t="s">
        <v>8</v>
      </c>
    </row>
    <row r="10">
      <c r="A10" s="10"/>
      <c r="B10" s="6" t="s">
        <v>9</v>
      </c>
    </row>
    <row r="11">
      <c r="A11" s="10"/>
      <c r="B11" s="6" t="s">
        <v>10</v>
      </c>
    </row>
    <row r="12">
      <c r="A12" s="10"/>
      <c r="B12" s="6" t="s">
        <v>11</v>
      </c>
    </row>
    <row r="13">
      <c r="A13" s="10"/>
      <c r="B13" s="6" t="s">
        <v>12</v>
      </c>
    </row>
    <row r="14">
      <c r="A14" s="10"/>
      <c r="B14" s="6" t="s">
        <v>13</v>
      </c>
    </row>
    <row r="15">
      <c r="A15" s="10"/>
      <c r="B15" s="6" t="s">
        <v>14</v>
      </c>
    </row>
    <row r="16">
      <c r="A16" s="10"/>
      <c r="B16" s="6" t="s">
        <v>15</v>
      </c>
    </row>
    <row r="17">
      <c r="A17" s="11"/>
      <c r="B17" s="6" t="s">
        <v>16</v>
      </c>
    </row>
    <row r="18">
      <c r="A18" s="12"/>
      <c r="B18" s="6" t="s">
        <v>17</v>
      </c>
    </row>
    <row r="19">
      <c r="A19" s="13"/>
      <c r="B19" s="6" t="s">
        <v>18</v>
      </c>
    </row>
    <row r="20">
      <c r="A20" s="14"/>
      <c r="B20" s="6" t="s">
        <v>19</v>
      </c>
    </row>
    <row r="21">
      <c r="A21" s="15"/>
      <c r="B21" s="6" t="s">
        <v>20</v>
      </c>
    </row>
    <row r="22" ht="30.0" customHeight="1">
      <c r="A22" s="16"/>
    </row>
    <row r="23">
      <c r="A23" s="4" t="s">
        <v>21</v>
      </c>
    </row>
    <row r="24">
      <c r="A24" s="17" t="s">
        <v>22</v>
      </c>
    </row>
  </sheetData>
  <mergeCells count="7">
    <mergeCell ref="A1:B1"/>
    <mergeCell ref="A2:B2"/>
    <mergeCell ref="A3:B3"/>
    <mergeCell ref="A4:B4"/>
    <mergeCell ref="A22:B22"/>
    <mergeCell ref="A23:B23"/>
    <mergeCell ref="A24:B24"/>
  </mergeCells>
  <hyperlinks>
    <hyperlink r:id="rId1" ref="A3"/>
    <hyperlink display="Foods - A list of all Foods present in the data of the game, with their relevant statistics, icon and description" location="Foods!A1" ref="B5"/>
    <hyperlink display="Goods - A list of all Goods present in the data of the game, with their relevant statistics, icon and description" location="Goods!A1" ref="B6"/>
    <hyperlink display="Little quirks - A list of all Little quirks present in the data of the game, with their relevant name, icon and description" location="'Little quirks'!A1" ref="B7"/>
    <hyperlink display="Treasures - A list of all Treasures present in the data of the game, with their relevant statistics, icon and description" location="Treasures!A1" ref="B8"/>
    <hyperlink display="Clothes (Outfits) - A list of all outfits present in the data of the game, with their relevant statistics and icons" location="'Clothes (Outfits)'!A1" ref="B9"/>
    <hyperlink display="Clothes (Tops) - A list of all tops present in the data of the game, with their relevant statistics and icons" location="'Clothes (Tops)'!A1" ref="B10"/>
    <hyperlink display="Clothes (Long Tops) - A list of all long tops present in the data of the game, with their relevant statistics and icons" location="'Clothes (Long Tops)'!A1" ref="B11"/>
    <hyperlink display="Clothes (Legwear) - A list of all legwear present in the data of the game, with their relevant statistics and icons" location="'Clothes (Legwear)'!A1" ref="B12"/>
    <hyperlink display="Clothes (Headwear) - A list of all headwear present in the data of the game, with their relevant statistics and icons" location="'Clothes (Headwear)'!A1" ref="B13"/>
    <hyperlink display="Clothes (Accessories) - A list of all accesories present in the data of the game, with their relevant statistics and icons" location="'Clothes (Accessories)'!A1" ref="B14"/>
    <hyperlink display="Clothes (Shoes) - A list of all shoes present in the data of the game, with their relevant statistics and icons" location="'Clothes (Shoes)'!A1" ref="B15"/>
    <hyperlink display="Clothes (Costumes) - A list of all costumes present in the data of the game, with their relevant statistics and icons" location="'Clothes (Costumes)'!A1" ref="B16"/>
    <hyperlink display="Interior sets - A list of all interior sets present in the data of the game, with their price and icons" location="'Interior sets'!A1" ref="B17"/>
    <hyperlink display="Objects - A list of all map objects present in the data of the game, with their price and icons" location="Objects!A1" ref="B18"/>
    <hyperlink display="Landscaping - A list of all landscape floors present in the data of the game, with their icons and names" location="Landscaping!A1" ref="B19"/>
    <hyperlink display="Travel places - A list of all travel destinations, with their eventual associated foods/treasures and relevant info" location="'Travel places'!A1" ref="B20"/>
    <hyperlink display="Relations - A list of all relation types, with their &quot;steps&quot; and the amount the meter has to be at for each of them" location="Relations!A1" ref="B2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0"/>
    <col customWidth="1" min="2" max="2" width="7.63"/>
    <col customWidth="1" min="3" max="3" width="16.63"/>
    <col customWidth="1" min="5" max="5" width="13.63"/>
    <col customWidth="1" min="7" max="7" width="10.75"/>
    <col customWidth="1" min="8" max="8" width="10.38"/>
    <col customWidth="1" min="9" max="9" width="8.13"/>
    <col customWidth="1" min="10" max="10" width="9.13"/>
    <col customWidth="1" min="11" max="11" width="10.5"/>
    <col customWidth="1" min="12" max="12" width="14.0"/>
    <col customWidth="1" min="13" max="16" width="15.13"/>
    <col customWidth="1" min="17" max="17" width="33.38"/>
    <col customWidth="1" min="18" max="18" width="13.88"/>
  </cols>
  <sheetData>
    <row r="1" ht="31.5" customHeight="1">
      <c r="A1" s="18" t="s">
        <v>23</v>
      </c>
      <c r="B1" s="19" t="s">
        <v>24</v>
      </c>
      <c r="C1" s="19" t="s">
        <v>25</v>
      </c>
      <c r="D1" s="19" t="s">
        <v>26</v>
      </c>
      <c r="E1" s="19" t="s">
        <v>27</v>
      </c>
      <c r="F1" s="19" t="s">
        <v>28</v>
      </c>
      <c r="G1" s="19" t="s">
        <v>29</v>
      </c>
      <c r="H1" s="19" t="s">
        <v>30</v>
      </c>
      <c r="I1" s="19" t="s">
        <v>31</v>
      </c>
      <c r="J1" s="19" t="s">
        <v>32</v>
      </c>
      <c r="K1" s="19" t="s">
        <v>33</v>
      </c>
      <c r="L1" s="19" t="s">
        <v>34</v>
      </c>
      <c r="M1" s="19" t="s">
        <v>35</v>
      </c>
      <c r="N1" s="19" t="s">
        <v>36</v>
      </c>
      <c r="O1" s="19" t="s">
        <v>37</v>
      </c>
      <c r="P1" s="19" t="s">
        <v>38</v>
      </c>
      <c r="Q1" s="19" t="s">
        <v>39</v>
      </c>
      <c r="R1" s="19" t="s">
        <v>40</v>
      </c>
    </row>
    <row r="2" ht="45.0" customHeight="1">
      <c r="A2" s="20" t="s">
        <v>41</v>
      </c>
      <c r="B2" s="21" t="str">
        <f>IMAGE("https://raw.githubusercontent.com/ltdimages/images/refs/heads/main/Food133.png")</f>
        <v/>
      </c>
      <c r="C2" s="22" t="s">
        <v>42</v>
      </c>
      <c r="D2" s="22" t="s">
        <v>43</v>
      </c>
      <c r="E2" s="22" t="s">
        <v>44</v>
      </c>
      <c r="F2" s="23"/>
      <c r="G2" s="23">
        <v>1.0</v>
      </c>
      <c r="H2" s="22" t="s">
        <v>45</v>
      </c>
      <c r="I2" s="22" t="s">
        <v>46</v>
      </c>
      <c r="J2" s="22" t="s">
        <v>45</v>
      </c>
      <c r="K2" s="22" t="s">
        <v>47</v>
      </c>
      <c r="L2" s="22" t="s">
        <v>48</v>
      </c>
      <c r="M2" s="22" t="s">
        <v>49</v>
      </c>
      <c r="N2" s="22" t="s">
        <v>49</v>
      </c>
      <c r="O2" s="22" t="s">
        <v>49</v>
      </c>
      <c r="P2" s="22" t="s">
        <v>49</v>
      </c>
      <c r="Q2" s="22" t="s">
        <v>50</v>
      </c>
      <c r="R2" s="22" t="s">
        <v>51</v>
      </c>
    </row>
    <row r="3" ht="45.0" customHeight="1">
      <c r="A3" s="20" t="s">
        <v>52</v>
      </c>
      <c r="B3" s="21" t="str">
        <f>IMAGE("https://raw.githubusercontent.com/ltdimages/images/refs/heads/main/Food315.png")</f>
        <v/>
      </c>
      <c r="C3" s="22" t="s">
        <v>53</v>
      </c>
      <c r="D3" s="22" t="s">
        <v>43</v>
      </c>
      <c r="E3" s="22" t="s">
        <v>54</v>
      </c>
      <c r="F3" s="23" t="s">
        <v>55</v>
      </c>
      <c r="G3" s="23">
        <v>7.6</v>
      </c>
      <c r="H3" s="22" t="s">
        <v>49</v>
      </c>
      <c r="I3" s="22" t="s">
        <v>46</v>
      </c>
      <c r="J3" s="22" t="s">
        <v>45</v>
      </c>
      <c r="K3" s="22" t="s">
        <v>56</v>
      </c>
      <c r="L3" s="22" t="s">
        <v>57</v>
      </c>
      <c r="M3" s="22" t="s">
        <v>45</v>
      </c>
      <c r="N3" s="22" t="s">
        <v>45</v>
      </c>
      <c r="O3" s="22" t="s">
        <v>49</v>
      </c>
      <c r="P3" s="22" t="s">
        <v>45</v>
      </c>
      <c r="Q3" s="22" t="s">
        <v>58</v>
      </c>
      <c r="R3" s="22" t="s">
        <v>59</v>
      </c>
    </row>
    <row r="4" ht="45.0" customHeight="1">
      <c r="A4" s="20" t="s">
        <v>60</v>
      </c>
      <c r="B4" s="21" t="str">
        <f>IMAGE("https://raw.githubusercontent.com/ltdimages/images/refs/heads/main/Food134.png")</f>
        <v/>
      </c>
      <c r="C4" s="22" t="s">
        <v>61</v>
      </c>
      <c r="D4" s="22" t="s">
        <v>43</v>
      </c>
      <c r="E4" s="22" t="s">
        <v>62</v>
      </c>
      <c r="F4" s="23" t="s">
        <v>55</v>
      </c>
      <c r="G4" s="23">
        <v>3.8</v>
      </c>
      <c r="H4" s="22" t="s">
        <v>49</v>
      </c>
      <c r="I4" s="22" t="s">
        <v>46</v>
      </c>
      <c r="J4" s="22" t="s">
        <v>45</v>
      </c>
      <c r="K4" s="22" t="s">
        <v>47</v>
      </c>
      <c r="L4" s="22" t="s">
        <v>48</v>
      </c>
      <c r="M4" s="22" t="s">
        <v>49</v>
      </c>
      <c r="N4" s="22" t="s">
        <v>49</v>
      </c>
      <c r="O4" s="22" t="s">
        <v>49</v>
      </c>
      <c r="P4" s="22" t="s">
        <v>49</v>
      </c>
      <c r="Q4" s="22" t="s">
        <v>63</v>
      </c>
      <c r="R4" s="22" t="s">
        <v>64</v>
      </c>
    </row>
    <row r="5" ht="45.0" customHeight="1">
      <c r="A5" s="20" t="s">
        <v>65</v>
      </c>
      <c r="B5" s="21" t="str">
        <f>IMAGE("https://raw.githubusercontent.com/ltdimages/images/refs/heads/main/Food326.png")</f>
        <v/>
      </c>
      <c r="C5" s="22" t="s">
        <v>66</v>
      </c>
      <c r="D5" s="22" t="s">
        <v>43</v>
      </c>
      <c r="E5" s="22" t="s">
        <v>67</v>
      </c>
      <c r="F5" s="23"/>
      <c r="G5" s="23">
        <v>1.5</v>
      </c>
      <c r="H5" s="22" t="s">
        <v>45</v>
      </c>
      <c r="I5" s="22" t="s">
        <v>46</v>
      </c>
      <c r="J5" s="22" t="s">
        <v>45</v>
      </c>
      <c r="K5" s="22" t="s">
        <v>56</v>
      </c>
      <c r="L5" s="22" t="s">
        <v>48</v>
      </c>
      <c r="M5" s="22" t="s">
        <v>49</v>
      </c>
      <c r="N5" s="22" t="s">
        <v>49</v>
      </c>
      <c r="O5" s="22" t="s">
        <v>49</v>
      </c>
      <c r="P5" s="22" t="s">
        <v>49</v>
      </c>
      <c r="Q5" s="22" t="s">
        <v>68</v>
      </c>
      <c r="R5" s="22" t="s">
        <v>69</v>
      </c>
    </row>
    <row r="6" ht="45.0" customHeight="1">
      <c r="A6" s="20" t="s">
        <v>70</v>
      </c>
      <c r="B6" s="21" t="str">
        <f>IMAGE("https://raw.githubusercontent.com/ltdimages/images/refs/heads/main/Food271.png")</f>
        <v/>
      </c>
      <c r="C6" s="22" t="s">
        <v>71</v>
      </c>
      <c r="D6" s="22" t="s">
        <v>43</v>
      </c>
      <c r="E6" s="22"/>
      <c r="F6" s="23"/>
      <c r="G6" s="23">
        <v>2.5</v>
      </c>
      <c r="H6" s="22" t="s">
        <v>49</v>
      </c>
      <c r="I6" s="22" t="s">
        <v>46</v>
      </c>
      <c r="J6" s="22" t="s">
        <v>45</v>
      </c>
      <c r="K6" s="22" t="s">
        <v>56</v>
      </c>
      <c r="L6" s="22" t="s">
        <v>57</v>
      </c>
      <c r="M6" s="22" t="s">
        <v>49</v>
      </c>
      <c r="N6" s="22" t="s">
        <v>49</v>
      </c>
      <c r="O6" s="22" t="s">
        <v>49</v>
      </c>
      <c r="P6" s="22" t="s">
        <v>45</v>
      </c>
      <c r="Q6" s="22" t="s">
        <v>72</v>
      </c>
      <c r="R6" s="22" t="s">
        <v>73</v>
      </c>
    </row>
    <row r="7" ht="45.0" customHeight="1">
      <c r="A7" s="20" t="s">
        <v>74</v>
      </c>
      <c r="B7" s="21" t="str">
        <f>IMAGE("https://raw.githubusercontent.com/ltdimages/images/refs/heads/main/Food272.png")</f>
        <v/>
      </c>
      <c r="C7" s="22" t="s">
        <v>75</v>
      </c>
      <c r="D7" s="22" t="s">
        <v>43</v>
      </c>
      <c r="E7" s="22"/>
      <c r="F7" s="23"/>
      <c r="G7" s="23">
        <v>5.0</v>
      </c>
      <c r="H7" s="22" t="s">
        <v>45</v>
      </c>
      <c r="I7" s="22" t="s">
        <v>46</v>
      </c>
      <c r="J7" s="22" t="s">
        <v>45</v>
      </c>
      <c r="K7" s="22" t="s">
        <v>56</v>
      </c>
      <c r="L7" s="22" t="s">
        <v>57</v>
      </c>
      <c r="M7" s="22" t="s">
        <v>49</v>
      </c>
      <c r="N7" s="22" t="s">
        <v>49</v>
      </c>
      <c r="O7" s="22" t="s">
        <v>49</v>
      </c>
      <c r="P7" s="22" t="s">
        <v>45</v>
      </c>
      <c r="Q7" s="22" t="s">
        <v>76</v>
      </c>
      <c r="R7" s="22" t="s">
        <v>77</v>
      </c>
    </row>
    <row r="8" ht="45.0" customHeight="1">
      <c r="A8" s="20" t="s">
        <v>78</v>
      </c>
      <c r="B8" s="21" t="str">
        <f>IMAGE("https://raw.githubusercontent.com/ltdimages/images/refs/heads/main/Food433.png")</f>
        <v/>
      </c>
      <c r="C8" s="22" t="s">
        <v>79</v>
      </c>
      <c r="D8" s="22" t="s">
        <v>43</v>
      </c>
      <c r="E8" s="22" t="s">
        <v>80</v>
      </c>
      <c r="F8" s="23"/>
      <c r="G8" s="23">
        <v>5.6</v>
      </c>
      <c r="H8" s="22" t="s">
        <v>45</v>
      </c>
      <c r="I8" s="22" t="s">
        <v>46</v>
      </c>
      <c r="J8" s="22" t="s">
        <v>45</v>
      </c>
      <c r="K8" s="22" t="s">
        <v>56</v>
      </c>
      <c r="L8" s="22" t="s">
        <v>48</v>
      </c>
      <c r="M8" s="22" t="s">
        <v>49</v>
      </c>
      <c r="N8" s="22" t="s">
        <v>49</v>
      </c>
      <c r="O8" s="22" t="s">
        <v>45</v>
      </c>
      <c r="P8" s="22" t="s">
        <v>45</v>
      </c>
      <c r="Q8" s="22" t="s">
        <v>81</v>
      </c>
      <c r="R8" s="22" t="s">
        <v>82</v>
      </c>
    </row>
    <row r="9" ht="45.0" customHeight="1">
      <c r="A9" s="20" t="s">
        <v>83</v>
      </c>
      <c r="B9" s="21" t="str">
        <f>IMAGE("https://raw.githubusercontent.com/ltdimages/images/refs/heads/main/Food379.png")</f>
        <v/>
      </c>
      <c r="C9" s="22" t="s">
        <v>84</v>
      </c>
      <c r="D9" s="22" t="s">
        <v>43</v>
      </c>
      <c r="E9" s="22" t="s">
        <v>85</v>
      </c>
      <c r="F9" s="23"/>
      <c r="G9" s="23">
        <v>15.0</v>
      </c>
      <c r="H9" s="22" t="s">
        <v>49</v>
      </c>
      <c r="I9" s="22" t="s">
        <v>46</v>
      </c>
      <c r="J9" s="22" t="s">
        <v>45</v>
      </c>
      <c r="K9" s="22" t="s">
        <v>86</v>
      </c>
      <c r="L9" s="22" t="s">
        <v>57</v>
      </c>
      <c r="M9" s="22" t="s">
        <v>49</v>
      </c>
      <c r="N9" s="22" t="s">
        <v>49</v>
      </c>
      <c r="O9" s="22" t="s">
        <v>49</v>
      </c>
      <c r="P9" s="22" t="s">
        <v>49</v>
      </c>
      <c r="Q9" s="22" t="s">
        <v>87</v>
      </c>
      <c r="R9" s="22" t="s">
        <v>88</v>
      </c>
    </row>
    <row r="10" ht="45.0" customHeight="1">
      <c r="A10" s="20" t="s">
        <v>89</v>
      </c>
      <c r="B10" s="21" t="str">
        <f>IMAGE("https://raw.githubusercontent.com/ltdimages/images/refs/heads/main/Food312.png")</f>
        <v/>
      </c>
      <c r="C10" s="22" t="s">
        <v>90</v>
      </c>
      <c r="D10" s="22" t="s">
        <v>43</v>
      </c>
      <c r="E10" s="22" t="s">
        <v>91</v>
      </c>
      <c r="F10" s="23"/>
      <c r="G10" s="23">
        <v>1.5</v>
      </c>
      <c r="H10" s="22" t="s">
        <v>45</v>
      </c>
      <c r="I10" s="22" t="s">
        <v>46</v>
      </c>
      <c r="J10" s="22" t="s">
        <v>45</v>
      </c>
      <c r="K10" s="22" t="s">
        <v>56</v>
      </c>
      <c r="L10" s="22" t="s">
        <v>48</v>
      </c>
      <c r="M10" s="22" t="s">
        <v>45</v>
      </c>
      <c r="N10" s="22" t="s">
        <v>45</v>
      </c>
      <c r="O10" s="22" t="s">
        <v>49</v>
      </c>
      <c r="P10" s="22" t="s">
        <v>45</v>
      </c>
      <c r="Q10" s="22" t="s">
        <v>92</v>
      </c>
      <c r="R10" s="22" t="s">
        <v>93</v>
      </c>
    </row>
    <row r="11" ht="45.0" customHeight="1">
      <c r="A11" s="20" t="s">
        <v>94</v>
      </c>
      <c r="B11" s="21" t="str">
        <f>IMAGE("https://raw.githubusercontent.com/ltdimages/images/refs/heads/main/Food340.png")</f>
        <v/>
      </c>
      <c r="C11" s="22" t="s">
        <v>95</v>
      </c>
      <c r="D11" s="22" t="s">
        <v>43</v>
      </c>
      <c r="E11" s="22" t="s">
        <v>62</v>
      </c>
      <c r="F11" s="23"/>
      <c r="G11" s="23">
        <v>9.8</v>
      </c>
      <c r="H11" s="22" t="s">
        <v>49</v>
      </c>
      <c r="I11" s="22" t="s">
        <v>46</v>
      </c>
      <c r="J11" s="22" t="s">
        <v>45</v>
      </c>
      <c r="K11" s="22" t="s">
        <v>86</v>
      </c>
      <c r="L11" s="22" t="s">
        <v>57</v>
      </c>
      <c r="M11" s="22" t="s">
        <v>49</v>
      </c>
      <c r="N11" s="22" t="s">
        <v>49</v>
      </c>
      <c r="O11" s="22" t="s">
        <v>49</v>
      </c>
      <c r="P11" s="22" t="s">
        <v>45</v>
      </c>
      <c r="Q11" s="22" t="s">
        <v>96</v>
      </c>
      <c r="R11" s="22" t="s">
        <v>97</v>
      </c>
    </row>
    <row r="12" ht="45.0" customHeight="1">
      <c r="A12" s="20" t="s">
        <v>98</v>
      </c>
      <c r="B12" s="21" t="str">
        <f>IMAGE("https://raw.githubusercontent.com/ltdimages/images/refs/heads/main/Food181.png")</f>
        <v/>
      </c>
      <c r="C12" s="22" t="s">
        <v>99</v>
      </c>
      <c r="D12" s="22" t="s">
        <v>43</v>
      </c>
      <c r="E12" s="22" t="s">
        <v>100</v>
      </c>
      <c r="F12" s="23" t="s">
        <v>101</v>
      </c>
      <c r="G12" s="23">
        <v>8.0</v>
      </c>
      <c r="H12" s="22" t="s">
        <v>49</v>
      </c>
      <c r="I12" s="22" t="s">
        <v>46</v>
      </c>
      <c r="J12" s="22" t="s">
        <v>45</v>
      </c>
      <c r="K12" s="22" t="s">
        <v>86</v>
      </c>
      <c r="L12" s="22" t="s">
        <v>57</v>
      </c>
      <c r="M12" s="22" t="s">
        <v>45</v>
      </c>
      <c r="N12" s="22" t="s">
        <v>49</v>
      </c>
      <c r="O12" s="22" t="s">
        <v>45</v>
      </c>
      <c r="P12" s="22" t="s">
        <v>49</v>
      </c>
      <c r="Q12" s="22" t="s">
        <v>102</v>
      </c>
      <c r="R12" s="22" t="s">
        <v>103</v>
      </c>
    </row>
    <row r="13" ht="45.0" customHeight="1">
      <c r="A13" s="20" t="s">
        <v>104</v>
      </c>
      <c r="B13" s="21" t="str">
        <f>IMAGE("https://raw.githubusercontent.com/ltdimages/images/refs/heads/main/Food131.png")</f>
        <v/>
      </c>
      <c r="C13" s="22" t="s">
        <v>105</v>
      </c>
      <c r="D13" s="22" t="s">
        <v>43</v>
      </c>
      <c r="E13" s="22" t="s">
        <v>106</v>
      </c>
      <c r="F13" s="23"/>
      <c r="G13" s="23">
        <v>1.5</v>
      </c>
      <c r="H13" s="22" t="s">
        <v>45</v>
      </c>
      <c r="I13" s="22" t="s">
        <v>46</v>
      </c>
      <c r="J13" s="22" t="s">
        <v>45</v>
      </c>
      <c r="K13" s="22" t="s">
        <v>47</v>
      </c>
      <c r="L13" s="22" t="s">
        <v>48</v>
      </c>
      <c r="M13" s="22" t="s">
        <v>45</v>
      </c>
      <c r="N13" s="22" t="s">
        <v>49</v>
      </c>
      <c r="O13" s="22" t="s">
        <v>45</v>
      </c>
      <c r="P13" s="22" t="s">
        <v>49</v>
      </c>
      <c r="Q13" s="22" t="s">
        <v>107</v>
      </c>
      <c r="R13" s="22" t="s">
        <v>108</v>
      </c>
    </row>
    <row r="14" ht="45.0" customHeight="1">
      <c r="A14" s="20" t="s">
        <v>109</v>
      </c>
      <c r="B14" s="21" t="str">
        <f>IMAGE("https://raw.githubusercontent.com/ltdimages/images/refs/heads/main/Food103.png")</f>
        <v/>
      </c>
      <c r="C14" s="22" t="s">
        <v>110</v>
      </c>
      <c r="D14" s="22" t="s">
        <v>43</v>
      </c>
      <c r="E14" s="22"/>
      <c r="F14" s="23" t="s">
        <v>111</v>
      </c>
      <c r="G14" s="23">
        <v>4.0</v>
      </c>
      <c r="H14" s="22" t="s">
        <v>45</v>
      </c>
      <c r="I14" s="22" t="s">
        <v>112</v>
      </c>
      <c r="J14" s="22" t="s">
        <v>45</v>
      </c>
      <c r="K14" s="22" t="s">
        <v>47</v>
      </c>
      <c r="L14" s="22" t="s">
        <v>48</v>
      </c>
      <c r="M14" s="22" t="s">
        <v>49</v>
      </c>
      <c r="N14" s="22" t="s">
        <v>49</v>
      </c>
      <c r="O14" s="22" t="s">
        <v>49</v>
      </c>
      <c r="P14" s="22" t="s">
        <v>49</v>
      </c>
      <c r="Q14" s="22" t="s">
        <v>113</v>
      </c>
      <c r="R14" s="22" t="s">
        <v>114</v>
      </c>
    </row>
    <row r="15" ht="45.0" customHeight="1">
      <c r="A15" s="20" t="s">
        <v>115</v>
      </c>
      <c r="B15" s="21" t="str">
        <f>IMAGE("https://raw.githubusercontent.com/ltdimages/images/refs/heads/main/Food471.png")</f>
        <v/>
      </c>
      <c r="C15" s="22" t="s">
        <v>116</v>
      </c>
      <c r="D15" s="22" t="s">
        <v>43</v>
      </c>
      <c r="E15" s="22"/>
      <c r="F15" s="23"/>
      <c r="G15" s="23">
        <v>8.5</v>
      </c>
      <c r="H15" s="22" t="s">
        <v>49</v>
      </c>
      <c r="I15" s="22" t="s">
        <v>46</v>
      </c>
      <c r="J15" s="22" t="s">
        <v>45</v>
      </c>
      <c r="K15" s="22" t="s">
        <v>56</v>
      </c>
      <c r="L15" s="22" t="s">
        <v>57</v>
      </c>
      <c r="M15" s="22" t="s">
        <v>49</v>
      </c>
      <c r="N15" s="22" t="s">
        <v>49</v>
      </c>
      <c r="O15" s="22" t="s">
        <v>45</v>
      </c>
      <c r="P15" s="22" t="s">
        <v>49</v>
      </c>
      <c r="Q15" s="22" t="s">
        <v>117</v>
      </c>
      <c r="R15" s="22" t="s">
        <v>118</v>
      </c>
    </row>
    <row r="16" ht="45.0" customHeight="1">
      <c r="A16" s="20" t="s">
        <v>119</v>
      </c>
      <c r="B16" s="21" t="str">
        <f>IMAGE("https://raw.githubusercontent.com/ltdimages/images/refs/heads/main/Food194.png")</f>
        <v/>
      </c>
      <c r="C16" s="22" t="s">
        <v>120</v>
      </c>
      <c r="D16" s="22" t="s">
        <v>43</v>
      </c>
      <c r="E16" s="22" t="s">
        <v>121</v>
      </c>
      <c r="F16" s="23" t="s">
        <v>111</v>
      </c>
      <c r="G16" s="23">
        <v>3.0</v>
      </c>
      <c r="H16" s="22" t="s">
        <v>45</v>
      </c>
      <c r="I16" s="22" t="s">
        <v>46</v>
      </c>
      <c r="J16" s="22" t="s">
        <v>45</v>
      </c>
      <c r="K16" s="22" t="s">
        <v>56</v>
      </c>
      <c r="L16" s="22" t="s">
        <v>48</v>
      </c>
      <c r="M16" s="22" t="s">
        <v>45</v>
      </c>
      <c r="N16" s="22" t="s">
        <v>49</v>
      </c>
      <c r="O16" s="22" t="s">
        <v>49</v>
      </c>
      <c r="P16" s="22" t="s">
        <v>49</v>
      </c>
      <c r="Q16" s="22" t="s">
        <v>122</v>
      </c>
      <c r="R16" s="22" t="s">
        <v>123</v>
      </c>
    </row>
    <row r="17" ht="45.0" customHeight="1">
      <c r="A17" s="20" t="s">
        <v>124</v>
      </c>
      <c r="B17" s="21" t="str">
        <f>IMAGE("https://raw.githubusercontent.com/ltdimages/images/refs/heads/main/Food222.png")</f>
        <v/>
      </c>
      <c r="C17" s="22" t="s">
        <v>125</v>
      </c>
      <c r="D17" s="22" t="s">
        <v>43</v>
      </c>
      <c r="E17" s="22" t="s">
        <v>126</v>
      </c>
      <c r="F17" s="23"/>
      <c r="G17" s="23">
        <v>1.7</v>
      </c>
      <c r="H17" s="22" t="s">
        <v>49</v>
      </c>
      <c r="I17" s="22" t="s">
        <v>46</v>
      </c>
      <c r="J17" s="22" t="s">
        <v>45</v>
      </c>
      <c r="K17" s="22" t="s">
        <v>56</v>
      </c>
      <c r="L17" s="22" t="s">
        <v>57</v>
      </c>
      <c r="M17" s="22" t="s">
        <v>45</v>
      </c>
      <c r="N17" s="22" t="s">
        <v>45</v>
      </c>
      <c r="O17" s="22" t="s">
        <v>45</v>
      </c>
      <c r="P17" s="22" t="s">
        <v>49</v>
      </c>
      <c r="Q17" s="22" t="s">
        <v>127</v>
      </c>
      <c r="R17" s="22" t="s">
        <v>128</v>
      </c>
    </row>
    <row r="18" ht="45.0" customHeight="1">
      <c r="A18" s="20" t="s">
        <v>129</v>
      </c>
      <c r="B18" s="21" t="str">
        <f>IMAGE("https://raw.githubusercontent.com/ltdimages/images/refs/heads/main/Food327.png")</f>
        <v/>
      </c>
      <c r="C18" s="22" t="s">
        <v>130</v>
      </c>
      <c r="D18" s="22" t="s">
        <v>43</v>
      </c>
      <c r="E18" s="22" t="s">
        <v>85</v>
      </c>
      <c r="F18" s="23" t="s">
        <v>131</v>
      </c>
      <c r="G18" s="23">
        <v>7.8</v>
      </c>
      <c r="H18" s="22" t="s">
        <v>49</v>
      </c>
      <c r="I18" s="22" t="s">
        <v>46</v>
      </c>
      <c r="J18" s="22" t="s">
        <v>45</v>
      </c>
      <c r="K18" s="22" t="s">
        <v>86</v>
      </c>
      <c r="L18" s="22" t="s">
        <v>57</v>
      </c>
      <c r="M18" s="22" t="s">
        <v>45</v>
      </c>
      <c r="N18" s="22" t="s">
        <v>45</v>
      </c>
      <c r="O18" s="22" t="s">
        <v>49</v>
      </c>
      <c r="P18" s="22" t="s">
        <v>45</v>
      </c>
      <c r="Q18" s="22" t="s">
        <v>132</v>
      </c>
      <c r="R18" s="22" t="s">
        <v>133</v>
      </c>
    </row>
    <row r="19" ht="45.0" customHeight="1">
      <c r="A19" s="20" t="s">
        <v>134</v>
      </c>
      <c r="B19" s="21" t="str">
        <f>IMAGE("https://raw.githubusercontent.com/ltdimages/images/refs/heads/main/Food135.png")</f>
        <v/>
      </c>
      <c r="C19" s="22" t="s">
        <v>135</v>
      </c>
      <c r="D19" s="22" t="s">
        <v>43</v>
      </c>
      <c r="E19" s="22" t="s">
        <v>106</v>
      </c>
      <c r="F19" s="23"/>
      <c r="G19" s="23">
        <v>1.9</v>
      </c>
      <c r="H19" s="22" t="s">
        <v>45</v>
      </c>
      <c r="I19" s="22" t="s">
        <v>46</v>
      </c>
      <c r="J19" s="22" t="s">
        <v>45</v>
      </c>
      <c r="K19" s="22" t="s">
        <v>47</v>
      </c>
      <c r="L19" s="22" t="s">
        <v>48</v>
      </c>
      <c r="M19" s="22" t="s">
        <v>49</v>
      </c>
      <c r="N19" s="22" t="s">
        <v>49</v>
      </c>
      <c r="O19" s="22" t="s">
        <v>49</v>
      </c>
      <c r="P19" s="22" t="s">
        <v>49</v>
      </c>
      <c r="Q19" s="22" t="s">
        <v>136</v>
      </c>
      <c r="R19" s="22" t="s">
        <v>137</v>
      </c>
    </row>
    <row r="20" ht="45.0" customHeight="1">
      <c r="A20" s="20" t="s">
        <v>138</v>
      </c>
      <c r="B20" s="21" t="str">
        <f>IMAGE("https://raw.githubusercontent.com/ltdimages/images/refs/heads/main/Food297.png")</f>
        <v/>
      </c>
      <c r="C20" s="22" t="s">
        <v>139</v>
      </c>
      <c r="D20" s="22" t="s">
        <v>43</v>
      </c>
      <c r="E20" s="22" t="s">
        <v>106</v>
      </c>
      <c r="F20" s="23"/>
      <c r="G20" s="23">
        <v>1.0</v>
      </c>
      <c r="H20" s="22" t="s">
        <v>49</v>
      </c>
      <c r="I20" s="22" t="s">
        <v>46</v>
      </c>
      <c r="J20" s="22" t="s">
        <v>45</v>
      </c>
      <c r="K20" s="22" t="s">
        <v>56</v>
      </c>
      <c r="L20" s="22" t="s">
        <v>48</v>
      </c>
      <c r="M20" s="22" t="s">
        <v>49</v>
      </c>
      <c r="N20" s="22" t="s">
        <v>49</v>
      </c>
      <c r="O20" s="22" t="s">
        <v>49</v>
      </c>
      <c r="P20" s="22" t="s">
        <v>45</v>
      </c>
      <c r="Q20" s="22" t="s">
        <v>140</v>
      </c>
      <c r="R20" s="22" t="s">
        <v>141</v>
      </c>
    </row>
    <row r="21" ht="45.0" customHeight="1">
      <c r="A21" s="20" t="s">
        <v>142</v>
      </c>
      <c r="B21" s="21" t="str">
        <f>IMAGE("https://raw.githubusercontent.com/ltdimages/images/refs/heads/main/Food214.png")</f>
        <v/>
      </c>
      <c r="C21" s="22" t="s">
        <v>143</v>
      </c>
      <c r="D21" s="22" t="s">
        <v>43</v>
      </c>
      <c r="E21" s="22"/>
      <c r="F21" s="23" t="s">
        <v>144</v>
      </c>
      <c r="G21" s="23">
        <v>5.5</v>
      </c>
      <c r="H21" s="22" t="s">
        <v>49</v>
      </c>
      <c r="I21" s="22" t="s">
        <v>46</v>
      </c>
      <c r="J21" s="22" t="s">
        <v>45</v>
      </c>
      <c r="K21" s="22" t="s">
        <v>56</v>
      </c>
      <c r="L21" s="22" t="s">
        <v>57</v>
      </c>
      <c r="M21" s="22" t="s">
        <v>45</v>
      </c>
      <c r="N21" s="22" t="s">
        <v>49</v>
      </c>
      <c r="O21" s="22" t="s">
        <v>45</v>
      </c>
      <c r="P21" s="22" t="s">
        <v>49</v>
      </c>
      <c r="Q21" s="22" t="s">
        <v>145</v>
      </c>
      <c r="R21" s="22" t="s">
        <v>146</v>
      </c>
    </row>
    <row r="22" ht="45.0" customHeight="1">
      <c r="A22" s="20" t="s">
        <v>147</v>
      </c>
      <c r="B22" s="21" t="str">
        <f>IMAGE("https://raw.githubusercontent.com/ltdimages/images/refs/heads/main/Food423.png")</f>
        <v/>
      </c>
      <c r="C22" s="22" t="s">
        <v>148</v>
      </c>
      <c r="D22" s="22" t="s">
        <v>43</v>
      </c>
      <c r="E22" s="22"/>
      <c r="F22" s="23" t="s">
        <v>149</v>
      </c>
      <c r="G22" s="23">
        <v>6.0</v>
      </c>
      <c r="H22" s="22" t="s">
        <v>49</v>
      </c>
      <c r="I22" s="22" t="s">
        <v>46</v>
      </c>
      <c r="J22" s="22" t="s">
        <v>45</v>
      </c>
      <c r="K22" s="22" t="s">
        <v>86</v>
      </c>
      <c r="L22" s="22" t="s">
        <v>57</v>
      </c>
      <c r="M22" s="22" t="s">
        <v>45</v>
      </c>
      <c r="N22" s="22" t="s">
        <v>49</v>
      </c>
      <c r="O22" s="22" t="s">
        <v>45</v>
      </c>
      <c r="P22" s="22" t="s">
        <v>45</v>
      </c>
      <c r="Q22" s="22" t="s">
        <v>150</v>
      </c>
      <c r="R22" s="22" t="s">
        <v>151</v>
      </c>
    </row>
    <row r="23" ht="45.0" customHeight="1">
      <c r="A23" s="20" t="s">
        <v>152</v>
      </c>
      <c r="B23" s="21" t="str">
        <f>IMAGE("https://raw.githubusercontent.com/ltdimages/images/refs/heads/main/Food275.png")</f>
        <v/>
      </c>
      <c r="C23" s="22" t="s">
        <v>153</v>
      </c>
      <c r="D23" s="22" t="s">
        <v>43</v>
      </c>
      <c r="E23" s="22" t="s">
        <v>62</v>
      </c>
      <c r="F23" s="23" t="s">
        <v>144</v>
      </c>
      <c r="G23" s="23">
        <v>8.6</v>
      </c>
      <c r="H23" s="22" t="s">
        <v>49</v>
      </c>
      <c r="I23" s="22" t="s">
        <v>46</v>
      </c>
      <c r="J23" s="22" t="s">
        <v>45</v>
      </c>
      <c r="K23" s="22" t="s">
        <v>86</v>
      </c>
      <c r="L23" s="22" t="s">
        <v>57</v>
      </c>
      <c r="M23" s="22" t="s">
        <v>49</v>
      </c>
      <c r="N23" s="22" t="s">
        <v>49</v>
      </c>
      <c r="O23" s="22" t="s">
        <v>49</v>
      </c>
      <c r="P23" s="22" t="s">
        <v>45</v>
      </c>
      <c r="Q23" s="22" t="s">
        <v>154</v>
      </c>
      <c r="R23" s="22" t="s">
        <v>155</v>
      </c>
    </row>
    <row r="24" ht="45.0" customHeight="1">
      <c r="A24" s="20" t="s">
        <v>156</v>
      </c>
      <c r="B24" s="21" t="str">
        <f>IMAGE("https://raw.githubusercontent.com/ltdimages/images/refs/heads/main/Food481.png")</f>
        <v/>
      </c>
      <c r="C24" s="22" t="s">
        <v>157</v>
      </c>
      <c r="D24" s="22" t="s">
        <v>43</v>
      </c>
      <c r="E24" s="22" t="s">
        <v>62</v>
      </c>
      <c r="F24" s="23" t="s">
        <v>158</v>
      </c>
      <c r="G24" s="23">
        <v>12.0</v>
      </c>
      <c r="H24" s="22" t="s">
        <v>49</v>
      </c>
      <c r="I24" s="22" t="s">
        <v>46</v>
      </c>
      <c r="J24" s="22" t="s">
        <v>45</v>
      </c>
      <c r="K24" s="22" t="s">
        <v>56</v>
      </c>
      <c r="L24" s="22" t="s">
        <v>57</v>
      </c>
      <c r="M24" s="22" t="s">
        <v>49</v>
      </c>
      <c r="N24" s="22" t="s">
        <v>49</v>
      </c>
      <c r="O24" s="22" t="s">
        <v>45</v>
      </c>
      <c r="P24" s="22" t="s">
        <v>49</v>
      </c>
      <c r="Q24" s="22" t="s">
        <v>159</v>
      </c>
      <c r="R24" s="22" t="s">
        <v>160</v>
      </c>
    </row>
    <row r="25" ht="45.0" customHeight="1">
      <c r="A25" s="20" t="s">
        <v>161</v>
      </c>
      <c r="B25" s="21" t="str">
        <f>IMAGE("https://raw.githubusercontent.com/ltdimages/images/refs/heads/main/Food061.png")</f>
        <v/>
      </c>
      <c r="C25" s="22" t="s">
        <v>162</v>
      </c>
      <c r="D25" s="22" t="s">
        <v>43</v>
      </c>
      <c r="E25" s="22" t="s">
        <v>106</v>
      </c>
      <c r="F25" s="23"/>
      <c r="G25" s="23">
        <v>3.8</v>
      </c>
      <c r="H25" s="22" t="s">
        <v>49</v>
      </c>
      <c r="I25" s="22" t="s">
        <v>46</v>
      </c>
      <c r="J25" s="22" t="s">
        <v>45</v>
      </c>
      <c r="K25" s="22" t="s">
        <v>56</v>
      </c>
      <c r="L25" s="22" t="s">
        <v>57</v>
      </c>
      <c r="M25" s="22" t="s">
        <v>45</v>
      </c>
      <c r="N25" s="22" t="s">
        <v>49</v>
      </c>
      <c r="O25" s="22" t="s">
        <v>49</v>
      </c>
      <c r="P25" s="22" t="s">
        <v>49</v>
      </c>
      <c r="Q25" s="22" t="s">
        <v>163</v>
      </c>
      <c r="R25" s="22" t="s">
        <v>164</v>
      </c>
    </row>
    <row r="26" ht="45.0" customHeight="1">
      <c r="A26" s="20" t="s">
        <v>165</v>
      </c>
      <c r="B26" s="21" t="str">
        <f>IMAGE("https://raw.githubusercontent.com/ltdimages/images/refs/heads/main/Food136.png")</f>
        <v/>
      </c>
      <c r="C26" s="22" t="s">
        <v>166</v>
      </c>
      <c r="D26" s="22" t="s">
        <v>43</v>
      </c>
      <c r="E26" s="22" t="s">
        <v>121</v>
      </c>
      <c r="F26" s="23" t="s">
        <v>167</v>
      </c>
      <c r="G26" s="23">
        <v>4.8</v>
      </c>
      <c r="H26" s="22" t="s">
        <v>49</v>
      </c>
      <c r="I26" s="22" t="s">
        <v>46</v>
      </c>
      <c r="J26" s="22" t="s">
        <v>45</v>
      </c>
      <c r="K26" s="22" t="s">
        <v>56</v>
      </c>
      <c r="L26" s="22" t="s">
        <v>57</v>
      </c>
      <c r="M26" s="22" t="s">
        <v>49</v>
      </c>
      <c r="N26" s="22" t="s">
        <v>49</v>
      </c>
      <c r="O26" s="22" t="s">
        <v>49</v>
      </c>
      <c r="P26" s="22" t="s">
        <v>49</v>
      </c>
      <c r="Q26" s="22" t="s">
        <v>168</v>
      </c>
      <c r="R26" s="22" t="s">
        <v>169</v>
      </c>
    </row>
    <row r="27" ht="45.0" customHeight="1">
      <c r="A27" s="20" t="s">
        <v>170</v>
      </c>
      <c r="B27" s="21" t="str">
        <f>IMAGE("https://raw.githubusercontent.com/ltdimages/images/refs/heads/main/Food443.png")</f>
        <v/>
      </c>
      <c r="C27" s="22" t="s">
        <v>171</v>
      </c>
      <c r="D27" s="22" t="s">
        <v>43</v>
      </c>
      <c r="E27" s="22" t="s">
        <v>106</v>
      </c>
      <c r="F27" s="23"/>
      <c r="G27" s="23">
        <v>8.7</v>
      </c>
      <c r="H27" s="22" t="s">
        <v>49</v>
      </c>
      <c r="I27" s="22" t="s">
        <v>46</v>
      </c>
      <c r="J27" s="22" t="s">
        <v>45</v>
      </c>
      <c r="K27" s="22" t="s">
        <v>56</v>
      </c>
      <c r="L27" s="22" t="s">
        <v>172</v>
      </c>
      <c r="M27" s="22" t="s">
        <v>49</v>
      </c>
      <c r="N27" s="22" t="s">
        <v>49</v>
      </c>
      <c r="O27" s="22" t="s">
        <v>49</v>
      </c>
      <c r="P27" s="22" t="s">
        <v>45</v>
      </c>
      <c r="Q27" s="22" t="s">
        <v>173</v>
      </c>
      <c r="R27" s="22" t="s">
        <v>174</v>
      </c>
    </row>
    <row r="28" ht="45.0" customHeight="1">
      <c r="A28" s="20" t="s">
        <v>175</v>
      </c>
      <c r="B28" s="21" t="str">
        <f>IMAGE("https://raw.githubusercontent.com/ltdimages/images/refs/heads/main/Food031.png")</f>
        <v/>
      </c>
      <c r="C28" s="22" t="s">
        <v>176</v>
      </c>
      <c r="D28" s="22" t="s">
        <v>43</v>
      </c>
      <c r="E28" s="22" t="s">
        <v>177</v>
      </c>
      <c r="F28" s="23" t="s">
        <v>167</v>
      </c>
      <c r="G28" s="23">
        <v>8.8</v>
      </c>
      <c r="H28" s="22" t="s">
        <v>45</v>
      </c>
      <c r="I28" s="22" t="s">
        <v>46</v>
      </c>
      <c r="J28" s="22" t="s">
        <v>45</v>
      </c>
      <c r="K28" s="22" t="s">
        <v>86</v>
      </c>
      <c r="L28" s="22" t="s">
        <v>57</v>
      </c>
      <c r="M28" s="22" t="s">
        <v>49</v>
      </c>
      <c r="N28" s="22" t="s">
        <v>49</v>
      </c>
      <c r="O28" s="22" t="s">
        <v>49</v>
      </c>
      <c r="P28" s="22" t="s">
        <v>49</v>
      </c>
      <c r="Q28" s="22" t="s">
        <v>178</v>
      </c>
      <c r="R28" s="22" t="s">
        <v>179</v>
      </c>
    </row>
    <row r="29" ht="45.0" customHeight="1">
      <c r="A29" s="20" t="s">
        <v>180</v>
      </c>
      <c r="B29" s="21" t="str">
        <f>IMAGE("https://raw.githubusercontent.com/ltdimages/images/refs/heads/main/Food037.png")</f>
        <v/>
      </c>
      <c r="C29" s="22" t="s">
        <v>181</v>
      </c>
      <c r="D29" s="22" t="s">
        <v>43</v>
      </c>
      <c r="E29" s="22" t="s">
        <v>182</v>
      </c>
      <c r="F29" s="23" t="s">
        <v>111</v>
      </c>
      <c r="G29" s="23">
        <v>65.0</v>
      </c>
      <c r="H29" s="22" t="s">
        <v>49</v>
      </c>
      <c r="I29" s="22" t="s">
        <v>46</v>
      </c>
      <c r="J29" s="22" t="s">
        <v>45</v>
      </c>
      <c r="K29" s="22" t="s">
        <v>47</v>
      </c>
      <c r="L29" s="22" t="s">
        <v>48</v>
      </c>
      <c r="M29" s="22" t="s">
        <v>49</v>
      </c>
      <c r="N29" s="22" t="s">
        <v>49</v>
      </c>
      <c r="O29" s="22" t="s">
        <v>49</v>
      </c>
      <c r="P29" s="22" t="s">
        <v>49</v>
      </c>
      <c r="Q29" s="22" t="s">
        <v>183</v>
      </c>
      <c r="R29" s="22" t="s">
        <v>184</v>
      </c>
    </row>
    <row r="30" ht="45.0" customHeight="1">
      <c r="A30" s="20" t="s">
        <v>185</v>
      </c>
      <c r="B30" s="21" t="str">
        <f>IMAGE("https://raw.githubusercontent.com/ltdimages/images/refs/heads/main/Food215.png")</f>
        <v/>
      </c>
      <c r="C30" s="22" t="s">
        <v>186</v>
      </c>
      <c r="D30" s="22" t="s">
        <v>43</v>
      </c>
      <c r="E30" s="22" t="s">
        <v>106</v>
      </c>
      <c r="F30" s="23"/>
      <c r="G30" s="23">
        <v>1.3</v>
      </c>
      <c r="H30" s="22" t="s">
        <v>45</v>
      </c>
      <c r="I30" s="22" t="s">
        <v>46</v>
      </c>
      <c r="J30" s="22" t="s">
        <v>45</v>
      </c>
      <c r="K30" s="22" t="s">
        <v>47</v>
      </c>
      <c r="L30" s="22" t="s">
        <v>48</v>
      </c>
      <c r="M30" s="22" t="s">
        <v>49</v>
      </c>
      <c r="N30" s="22" t="s">
        <v>49</v>
      </c>
      <c r="O30" s="22" t="s">
        <v>49</v>
      </c>
      <c r="P30" s="22" t="s">
        <v>49</v>
      </c>
      <c r="Q30" s="22" t="s">
        <v>187</v>
      </c>
      <c r="R30" s="22" t="s">
        <v>188</v>
      </c>
    </row>
    <row r="31" ht="45.0" customHeight="1">
      <c r="A31" s="20" t="s">
        <v>189</v>
      </c>
      <c r="B31" s="21" t="str">
        <f>IMAGE("https://raw.githubusercontent.com/ltdimages/images/refs/heads/main/Food445.png")</f>
        <v/>
      </c>
      <c r="C31" s="22" t="s">
        <v>190</v>
      </c>
      <c r="D31" s="22" t="s">
        <v>43</v>
      </c>
      <c r="E31" s="22" t="s">
        <v>191</v>
      </c>
      <c r="F31" s="23" t="s">
        <v>131</v>
      </c>
      <c r="G31" s="23">
        <v>9.8</v>
      </c>
      <c r="H31" s="22" t="s">
        <v>49</v>
      </c>
      <c r="I31" s="22" t="s">
        <v>46</v>
      </c>
      <c r="J31" s="22" t="s">
        <v>45</v>
      </c>
      <c r="K31" s="22" t="s">
        <v>56</v>
      </c>
      <c r="L31" s="22" t="s">
        <v>48</v>
      </c>
      <c r="M31" s="22" t="s">
        <v>49</v>
      </c>
      <c r="N31" s="22" t="s">
        <v>45</v>
      </c>
      <c r="O31" s="22" t="s">
        <v>45</v>
      </c>
      <c r="P31" s="22" t="s">
        <v>45</v>
      </c>
      <c r="Q31" s="22" t="s">
        <v>192</v>
      </c>
      <c r="R31" s="22" t="s">
        <v>193</v>
      </c>
    </row>
    <row r="32" ht="45.0" customHeight="1">
      <c r="A32" s="20" t="s">
        <v>194</v>
      </c>
      <c r="B32" s="21" t="str">
        <f>IMAGE("https://raw.githubusercontent.com/ltdimages/images/refs/heads/main/Food083.png")</f>
        <v/>
      </c>
      <c r="C32" s="22" t="s">
        <v>195</v>
      </c>
      <c r="D32" s="22" t="s">
        <v>43</v>
      </c>
      <c r="E32" s="22"/>
      <c r="F32" s="23"/>
      <c r="G32" s="23">
        <v>15.8</v>
      </c>
      <c r="H32" s="22" t="s">
        <v>49</v>
      </c>
      <c r="I32" s="22" t="s">
        <v>46</v>
      </c>
      <c r="J32" s="22" t="s">
        <v>45</v>
      </c>
      <c r="K32" s="22" t="s">
        <v>86</v>
      </c>
      <c r="L32" s="22" t="s">
        <v>57</v>
      </c>
      <c r="M32" s="22" t="s">
        <v>45</v>
      </c>
      <c r="N32" s="22" t="s">
        <v>49</v>
      </c>
      <c r="O32" s="22" t="s">
        <v>45</v>
      </c>
      <c r="P32" s="22" t="s">
        <v>49</v>
      </c>
      <c r="Q32" s="22" t="s">
        <v>196</v>
      </c>
      <c r="R32" s="22" t="s">
        <v>197</v>
      </c>
    </row>
    <row r="33" ht="45.0" customHeight="1">
      <c r="A33" s="20" t="s">
        <v>198</v>
      </c>
      <c r="B33" s="21" t="str">
        <f>IMAGE("https://raw.githubusercontent.com/ltdimages/images/refs/heads/main/Food202.png")</f>
        <v/>
      </c>
      <c r="C33" s="22" t="s">
        <v>199</v>
      </c>
      <c r="D33" s="22" t="s">
        <v>43</v>
      </c>
      <c r="E33" s="22" t="s">
        <v>62</v>
      </c>
      <c r="F33" s="23" t="s">
        <v>167</v>
      </c>
      <c r="G33" s="23">
        <v>13.0</v>
      </c>
      <c r="H33" s="22" t="s">
        <v>49</v>
      </c>
      <c r="I33" s="22" t="s">
        <v>46</v>
      </c>
      <c r="J33" s="22" t="s">
        <v>45</v>
      </c>
      <c r="K33" s="22" t="s">
        <v>56</v>
      </c>
      <c r="L33" s="22" t="s">
        <v>57</v>
      </c>
      <c r="M33" s="22" t="s">
        <v>49</v>
      </c>
      <c r="N33" s="22" t="s">
        <v>49</v>
      </c>
      <c r="O33" s="22" t="s">
        <v>49</v>
      </c>
      <c r="P33" s="22" t="s">
        <v>49</v>
      </c>
      <c r="Q33" s="22" t="s">
        <v>200</v>
      </c>
      <c r="R33" s="22" t="s">
        <v>201</v>
      </c>
    </row>
    <row r="34" ht="45.0" customHeight="1">
      <c r="A34" s="20" t="s">
        <v>202</v>
      </c>
      <c r="B34" s="21" t="str">
        <f>IMAGE("https://raw.githubusercontent.com/ltdimages/images/refs/heads/main/Food200.png")</f>
        <v/>
      </c>
      <c r="C34" s="22" t="s">
        <v>203</v>
      </c>
      <c r="D34" s="22" t="s">
        <v>43</v>
      </c>
      <c r="E34" s="22" t="s">
        <v>204</v>
      </c>
      <c r="F34" s="23"/>
      <c r="G34" s="23">
        <v>5.0</v>
      </c>
      <c r="H34" s="22" t="s">
        <v>49</v>
      </c>
      <c r="I34" s="22" t="s">
        <v>46</v>
      </c>
      <c r="J34" s="22" t="s">
        <v>45</v>
      </c>
      <c r="K34" s="22" t="s">
        <v>56</v>
      </c>
      <c r="L34" s="22" t="s">
        <v>57</v>
      </c>
      <c r="M34" s="22" t="s">
        <v>45</v>
      </c>
      <c r="N34" s="22" t="s">
        <v>49</v>
      </c>
      <c r="O34" s="22" t="s">
        <v>45</v>
      </c>
      <c r="P34" s="22" t="s">
        <v>49</v>
      </c>
      <c r="Q34" s="22" t="s">
        <v>205</v>
      </c>
      <c r="R34" s="22" t="s">
        <v>206</v>
      </c>
    </row>
    <row r="35" ht="45.0" customHeight="1">
      <c r="A35" s="20" t="s">
        <v>207</v>
      </c>
      <c r="B35" s="21" t="str">
        <f>IMAGE("https://raw.githubusercontent.com/ltdimages/images/refs/heads/main/Food187.png")</f>
        <v/>
      </c>
      <c r="C35" s="22" t="s">
        <v>208</v>
      </c>
      <c r="D35" s="22" t="s">
        <v>43</v>
      </c>
      <c r="E35" s="22"/>
      <c r="F35" s="23"/>
      <c r="G35" s="23">
        <v>2.0</v>
      </c>
      <c r="H35" s="22" t="s">
        <v>49</v>
      </c>
      <c r="I35" s="22" t="s">
        <v>112</v>
      </c>
      <c r="J35" s="22" t="s">
        <v>45</v>
      </c>
      <c r="K35" s="22" t="s">
        <v>47</v>
      </c>
      <c r="L35" s="22" t="s">
        <v>48</v>
      </c>
      <c r="M35" s="22" t="s">
        <v>49</v>
      </c>
      <c r="N35" s="22" t="s">
        <v>49</v>
      </c>
      <c r="O35" s="22" t="s">
        <v>49</v>
      </c>
      <c r="P35" s="22" t="s">
        <v>49</v>
      </c>
      <c r="Q35" s="22" t="s">
        <v>209</v>
      </c>
      <c r="R35" s="22" t="s">
        <v>210</v>
      </c>
    </row>
    <row r="36" ht="45.0" customHeight="1">
      <c r="A36" s="20" t="s">
        <v>211</v>
      </c>
      <c r="B36" s="21" t="str">
        <f>IMAGE("https://raw.githubusercontent.com/ltdimages/images/refs/heads/main/Food488.png")</f>
        <v/>
      </c>
      <c r="C36" s="22" t="s">
        <v>212</v>
      </c>
      <c r="D36" s="22" t="s">
        <v>43</v>
      </c>
      <c r="E36" s="22"/>
      <c r="F36" s="23"/>
      <c r="G36" s="23">
        <v>0.0</v>
      </c>
      <c r="H36" s="22" t="s">
        <v>49</v>
      </c>
      <c r="I36" s="22" t="s">
        <v>112</v>
      </c>
      <c r="J36" s="22" t="s">
        <v>45</v>
      </c>
      <c r="K36" s="22" t="s">
        <v>47</v>
      </c>
      <c r="L36" s="22" t="s">
        <v>48</v>
      </c>
      <c r="M36" s="22" t="s">
        <v>45</v>
      </c>
      <c r="N36" s="22" t="s">
        <v>45</v>
      </c>
      <c r="O36" s="22" t="s">
        <v>45</v>
      </c>
      <c r="P36" s="22" t="s">
        <v>45</v>
      </c>
      <c r="Q36" s="22" t="s">
        <v>213</v>
      </c>
      <c r="R36" s="22" t="s">
        <v>214</v>
      </c>
    </row>
    <row r="37" ht="45.0" customHeight="1">
      <c r="A37" s="20" t="s">
        <v>215</v>
      </c>
      <c r="B37" s="21" t="str">
        <f>IMAGE("https://raw.githubusercontent.com/ltdimages/images/refs/heads/main/Food096.png")</f>
        <v/>
      </c>
      <c r="C37" s="22" t="s">
        <v>216</v>
      </c>
      <c r="D37" s="22" t="s">
        <v>43</v>
      </c>
      <c r="E37" s="22" t="s">
        <v>217</v>
      </c>
      <c r="F37" s="23" t="s">
        <v>167</v>
      </c>
      <c r="G37" s="23">
        <v>3.0</v>
      </c>
      <c r="H37" s="22" t="s">
        <v>45</v>
      </c>
      <c r="I37" s="22" t="s">
        <v>46</v>
      </c>
      <c r="J37" s="22" t="s">
        <v>45</v>
      </c>
      <c r="K37" s="22" t="s">
        <v>86</v>
      </c>
      <c r="L37" s="22" t="s">
        <v>48</v>
      </c>
      <c r="M37" s="22" t="s">
        <v>49</v>
      </c>
      <c r="N37" s="22" t="s">
        <v>49</v>
      </c>
      <c r="O37" s="22" t="s">
        <v>49</v>
      </c>
      <c r="P37" s="22" t="s">
        <v>49</v>
      </c>
      <c r="Q37" s="22" t="s">
        <v>218</v>
      </c>
      <c r="R37" s="22" t="s">
        <v>219</v>
      </c>
    </row>
    <row r="38" ht="45.0" customHeight="1">
      <c r="A38" s="20" t="s">
        <v>220</v>
      </c>
      <c r="B38" s="21" t="str">
        <f>IMAGE("https://raw.githubusercontent.com/ltdimages/images/refs/heads/main/Food257.png")</f>
        <v/>
      </c>
      <c r="C38" s="22" t="s">
        <v>221</v>
      </c>
      <c r="D38" s="22" t="s">
        <v>43</v>
      </c>
      <c r="E38" s="22" t="s">
        <v>177</v>
      </c>
      <c r="F38" s="23"/>
      <c r="G38" s="23">
        <v>6.8</v>
      </c>
      <c r="H38" s="22" t="s">
        <v>49</v>
      </c>
      <c r="I38" s="22" t="s">
        <v>46</v>
      </c>
      <c r="J38" s="22" t="s">
        <v>45</v>
      </c>
      <c r="K38" s="22" t="s">
        <v>56</v>
      </c>
      <c r="L38" s="22" t="s">
        <v>57</v>
      </c>
      <c r="M38" s="22" t="s">
        <v>49</v>
      </c>
      <c r="N38" s="22" t="s">
        <v>49</v>
      </c>
      <c r="O38" s="22" t="s">
        <v>49</v>
      </c>
      <c r="P38" s="22" t="s">
        <v>49</v>
      </c>
      <c r="Q38" s="22" t="s">
        <v>222</v>
      </c>
      <c r="R38" s="22" t="s">
        <v>223</v>
      </c>
    </row>
    <row r="39" ht="45.0" customHeight="1">
      <c r="A39" s="20" t="s">
        <v>224</v>
      </c>
      <c r="B39" s="21" t="str">
        <f>IMAGE("https://raw.githubusercontent.com/ltdimages/images/refs/heads/main/Food434.png")</f>
        <v/>
      </c>
      <c r="C39" s="22" t="s">
        <v>225</v>
      </c>
      <c r="D39" s="22" t="s">
        <v>43</v>
      </c>
      <c r="E39" s="22" t="s">
        <v>226</v>
      </c>
      <c r="F39" s="23"/>
      <c r="G39" s="23">
        <v>8.0</v>
      </c>
      <c r="H39" s="22" t="s">
        <v>49</v>
      </c>
      <c r="I39" s="22" t="s">
        <v>46</v>
      </c>
      <c r="J39" s="22" t="s">
        <v>45</v>
      </c>
      <c r="K39" s="22" t="s">
        <v>56</v>
      </c>
      <c r="L39" s="22" t="s">
        <v>48</v>
      </c>
      <c r="M39" s="22" t="s">
        <v>49</v>
      </c>
      <c r="N39" s="22" t="s">
        <v>49</v>
      </c>
      <c r="O39" s="22" t="s">
        <v>45</v>
      </c>
      <c r="P39" s="22" t="s">
        <v>45</v>
      </c>
      <c r="Q39" s="22" t="s">
        <v>227</v>
      </c>
      <c r="R39" s="22" t="s">
        <v>228</v>
      </c>
    </row>
    <row r="40" ht="45.0" customHeight="1">
      <c r="A40" s="20" t="s">
        <v>229</v>
      </c>
      <c r="B40" s="21" t="str">
        <f>IMAGE("https://raw.githubusercontent.com/ltdimages/images/refs/heads/main/Food278.png")</f>
        <v/>
      </c>
      <c r="C40" s="22" t="s">
        <v>230</v>
      </c>
      <c r="D40" s="22" t="s">
        <v>43</v>
      </c>
      <c r="E40" s="22" t="s">
        <v>62</v>
      </c>
      <c r="F40" s="23"/>
      <c r="G40" s="23">
        <v>7.8</v>
      </c>
      <c r="H40" s="22" t="s">
        <v>49</v>
      </c>
      <c r="I40" s="22" t="s">
        <v>46</v>
      </c>
      <c r="J40" s="22" t="s">
        <v>45</v>
      </c>
      <c r="K40" s="22" t="s">
        <v>56</v>
      </c>
      <c r="L40" s="22" t="s">
        <v>57</v>
      </c>
      <c r="M40" s="22" t="s">
        <v>49</v>
      </c>
      <c r="N40" s="22" t="s">
        <v>45</v>
      </c>
      <c r="O40" s="22" t="s">
        <v>45</v>
      </c>
      <c r="P40" s="22" t="s">
        <v>45</v>
      </c>
      <c r="Q40" s="22" t="s">
        <v>231</v>
      </c>
      <c r="R40" s="22" t="s">
        <v>232</v>
      </c>
    </row>
    <row r="41" ht="45.0" customHeight="1">
      <c r="A41" s="20" t="s">
        <v>233</v>
      </c>
      <c r="B41" s="21" t="str">
        <f>IMAGE("https://raw.githubusercontent.com/ltdimages/images/refs/heads/main/Food330.png")</f>
        <v/>
      </c>
      <c r="C41" s="22" t="s">
        <v>234</v>
      </c>
      <c r="D41" s="22" t="s">
        <v>43</v>
      </c>
      <c r="E41" s="22" t="s">
        <v>62</v>
      </c>
      <c r="F41" s="23" t="s">
        <v>101</v>
      </c>
      <c r="G41" s="23">
        <v>12.9</v>
      </c>
      <c r="H41" s="22" t="s">
        <v>49</v>
      </c>
      <c r="I41" s="22" t="s">
        <v>46</v>
      </c>
      <c r="J41" s="22" t="s">
        <v>45</v>
      </c>
      <c r="K41" s="22" t="s">
        <v>86</v>
      </c>
      <c r="L41" s="22" t="s">
        <v>57</v>
      </c>
      <c r="M41" s="22" t="s">
        <v>49</v>
      </c>
      <c r="N41" s="22" t="s">
        <v>49</v>
      </c>
      <c r="O41" s="22" t="s">
        <v>49</v>
      </c>
      <c r="P41" s="22" t="s">
        <v>45</v>
      </c>
      <c r="Q41" s="22" t="s">
        <v>235</v>
      </c>
      <c r="R41" s="22" t="s">
        <v>236</v>
      </c>
    </row>
    <row r="42" ht="45.0" customHeight="1">
      <c r="A42" s="20" t="s">
        <v>237</v>
      </c>
      <c r="B42" s="21" t="str">
        <f>IMAGE("https://raw.githubusercontent.com/ltdimages/images/refs/heads/main/Food081.png")</f>
        <v/>
      </c>
      <c r="C42" s="22" t="s">
        <v>238</v>
      </c>
      <c r="D42" s="22" t="s">
        <v>43</v>
      </c>
      <c r="E42" s="22" t="s">
        <v>121</v>
      </c>
      <c r="F42" s="23"/>
      <c r="G42" s="23">
        <v>1.0</v>
      </c>
      <c r="H42" s="22" t="s">
        <v>45</v>
      </c>
      <c r="I42" s="22" t="s">
        <v>46</v>
      </c>
      <c r="J42" s="22" t="s">
        <v>45</v>
      </c>
      <c r="K42" s="22" t="s">
        <v>47</v>
      </c>
      <c r="L42" s="22" t="s">
        <v>48</v>
      </c>
      <c r="M42" s="22" t="s">
        <v>45</v>
      </c>
      <c r="N42" s="22" t="s">
        <v>49</v>
      </c>
      <c r="O42" s="22" t="s">
        <v>45</v>
      </c>
      <c r="P42" s="22" t="s">
        <v>49</v>
      </c>
      <c r="Q42" s="22" t="s">
        <v>239</v>
      </c>
      <c r="R42" s="22" t="s">
        <v>240</v>
      </c>
    </row>
    <row r="43" ht="45.0" customHeight="1">
      <c r="A43" s="20" t="s">
        <v>241</v>
      </c>
      <c r="B43" s="21" t="str">
        <f>IMAGE("https://raw.githubusercontent.com/ltdimages/images/refs/heads/main/Food191.png")</f>
        <v/>
      </c>
      <c r="C43" s="24" t="s">
        <v>242</v>
      </c>
      <c r="D43" s="24" t="s">
        <v>43</v>
      </c>
      <c r="E43" s="24" t="s">
        <v>121</v>
      </c>
      <c r="F43" s="25" t="s">
        <v>144</v>
      </c>
      <c r="G43" s="25">
        <v>6.4</v>
      </c>
      <c r="H43" s="24" t="s">
        <v>49</v>
      </c>
      <c r="I43" s="24" t="s">
        <v>46</v>
      </c>
      <c r="J43" s="24" t="s">
        <v>45</v>
      </c>
      <c r="K43" s="24" t="s">
        <v>56</v>
      </c>
      <c r="L43" s="24" t="s">
        <v>57</v>
      </c>
      <c r="M43" s="24" t="s">
        <v>49</v>
      </c>
      <c r="N43" s="24" t="s">
        <v>49</v>
      </c>
      <c r="O43" s="24" t="s">
        <v>45</v>
      </c>
      <c r="P43" s="24" t="s">
        <v>49</v>
      </c>
      <c r="Q43" s="24" t="s">
        <v>243</v>
      </c>
      <c r="R43" s="24" t="s">
        <v>244</v>
      </c>
    </row>
    <row r="44" ht="45.0" customHeight="1">
      <c r="A44" s="20" t="s">
        <v>245</v>
      </c>
      <c r="B44" s="21" t="str">
        <f>IMAGE("https://raw.githubusercontent.com/ltdimages/images/refs/heads/main/Food329.png")</f>
        <v/>
      </c>
      <c r="C44" s="22" t="s">
        <v>246</v>
      </c>
      <c r="D44" s="22" t="s">
        <v>43</v>
      </c>
      <c r="E44" s="22" t="s">
        <v>85</v>
      </c>
      <c r="F44" s="23" t="s">
        <v>101</v>
      </c>
      <c r="G44" s="23">
        <v>7.6</v>
      </c>
      <c r="H44" s="22" t="s">
        <v>49</v>
      </c>
      <c r="I44" s="22" t="s">
        <v>46</v>
      </c>
      <c r="J44" s="22" t="s">
        <v>45</v>
      </c>
      <c r="K44" s="22" t="s">
        <v>86</v>
      </c>
      <c r="L44" s="22" t="s">
        <v>57</v>
      </c>
      <c r="M44" s="22" t="s">
        <v>49</v>
      </c>
      <c r="N44" s="22" t="s">
        <v>45</v>
      </c>
      <c r="O44" s="22" t="s">
        <v>49</v>
      </c>
      <c r="P44" s="22" t="s">
        <v>45</v>
      </c>
      <c r="Q44" s="22" t="s">
        <v>247</v>
      </c>
      <c r="R44" s="22" t="s">
        <v>248</v>
      </c>
    </row>
    <row r="45" ht="45.0" customHeight="1">
      <c r="A45" s="20" t="s">
        <v>249</v>
      </c>
      <c r="B45" s="21" t="str">
        <f>IMAGE("https://raw.githubusercontent.com/ltdimages/images/refs/heads/main/Food475.png")</f>
        <v/>
      </c>
      <c r="C45" s="22" t="s">
        <v>250</v>
      </c>
      <c r="D45" s="22" t="s">
        <v>43</v>
      </c>
      <c r="E45" s="22" t="s">
        <v>121</v>
      </c>
      <c r="F45" s="23"/>
      <c r="G45" s="23">
        <v>32.0</v>
      </c>
      <c r="H45" s="22" t="s">
        <v>49</v>
      </c>
      <c r="I45" s="22" t="s">
        <v>46</v>
      </c>
      <c r="J45" s="22" t="s">
        <v>45</v>
      </c>
      <c r="K45" s="22" t="s">
        <v>86</v>
      </c>
      <c r="L45" s="22" t="s">
        <v>57</v>
      </c>
      <c r="M45" s="22" t="s">
        <v>45</v>
      </c>
      <c r="N45" s="22" t="s">
        <v>49</v>
      </c>
      <c r="O45" s="22" t="s">
        <v>45</v>
      </c>
      <c r="P45" s="22" t="s">
        <v>49</v>
      </c>
      <c r="Q45" s="22" t="s">
        <v>251</v>
      </c>
      <c r="R45" s="22" t="s">
        <v>252</v>
      </c>
    </row>
    <row r="46" ht="45.0" customHeight="1">
      <c r="A46" s="20" t="s">
        <v>253</v>
      </c>
      <c r="B46" s="21" t="str">
        <f>IMAGE("https://raw.githubusercontent.com/ltdimages/images/refs/heads/main/Food209.png")</f>
        <v/>
      </c>
      <c r="C46" s="22" t="s">
        <v>254</v>
      </c>
      <c r="D46" s="22" t="s">
        <v>43</v>
      </c>
      <c r="E46" s="22" t="s">
        <v>126</v>
      </c>
      <c r="F46" s="23"/>
      <c r="G46" s="23">
        <v>8.0</v>
      </c>
      <c r="H46" s="22" t="s">
        <v>49</v>
      </c>
      <c r="I46" s="22" t="s">
        <v>46</v>
      </c>
      <c r="J46" s="22" t="s">
        <v>45</v>
      </c>
      <c r="K46" s="22" t="s">
        <v>86</v>
      </c>
      <c r="L46" s="22" t="s">
        <v>48</v>
      </c>
      <c r="M46" s="22" t="s">
        <v>45</v>
      </c>
      <c r="N46" s="22" t="s">
        <v>45</v>
      </c>
      <c r="O46" s="22" t="s">
        <v>45</v>
      </c>
      <c r="P46" s="22" t="s">
        <v>49</v>
      </c>
      <c r="Q46" s="22" t="s">
        <v>255</v>
      </c>
      <c r="R46" s="22" t="s">
        <v>256</v>
      </c>
    </row>
    <row r="47" ht="45.0" customHeight="1">
      <c r="A47" s="20" t="s">
        <v>257</v>
      </c>
      <c r="B47" s="21" t="str">
        <f>IMAGE("https://raw.githubusercontent.com/ltdimages/images/refs/heads/main/Food259.png")</f>
        <v/>
      </c>
      <c r="C47" s="22" t="s">
        <v>258</v>
      </c>
      <c r="D47" s="22" t="s">
        <v>43</v>
      </c>
      <c r="E47" s="22" t="s">
        <v>121</v>
      </c>
      <c r="F47" s="23"/>
      <c r="G47" s="23">
        <v>6.0</v>
      </c>
      <c r="H47" s="22" t="s">
        <v>49</v>
      </c>
      <c r="I47" s="22" t="s">
        <v>46</v>
      </c>
      <c r="J47" s="22" t="s">
        <v>45</v>
      </c>
      <c r="K47" s="22" t="s">
        <v>56</v>
      </c>
      <c r="L47" s="22" t="s">
        <v>57</v>
      </c>
      <c r="M47" s="22" t="s">
        <v>49</v>
      </c>
      <c r="N47" s="22" t="s">
        <v>49</v>
      </c>
      <c r="O47" s="22" t="s">
        <v>45</v>
      </c>
      <c r="P47" s="22" t="s">
        <v>49</v>
      </c>
      <c r="Q47" s="22" t="s">
        <v>259</v>
      </c>
      <c r="R47" s="22" t="s">
        <v>260</v>
      </c>
    </row>
    <row r="48" ht="45.0" customHeight="1">
      <c r="A48" s="20" t="s">
        <v>261</v>
      </c>
      <c r="B48" s="21" t="str">
        <f>IMAGE("https://raw.githubusercontent.com/ltdimages/images/refs/heads/main/Food057.png")</f>
        <v/>
      </c>
      <c r="C48" s="22" t="s">
        <v>262</v>
      </c>
      <c r="D48" s="22" t="s">
        <v>43</v>
      </c>
      <c r="E48" s="22" t="s">
        <v>177</v>
      </c>
      <c r="F48" s="23"/>
      <c r="G48" s="23">
        <v>6.0</v>
      </c>
      <c r="H48" s="22" t="s">
        <v>49</v>
      </c>
      <c r="I48" s="22" t="s">
        <v>46</v>
      </c>
      <c r="J48" s="22" t="s">
        <v>45</v>
      </c>
      <c r="K48" s="22" t="s">
        <v>56</v>
      </c>
      <c r="L48" s="22" t="s">
        <v>172</v>
      </c>
      <c r="M48" s="22" t="s">
        <v>45</v>
      </c>
      <c r="N48" s="22" t="s">
        <v>49</v>
      </c>
      <c r="O48" s="22" t="s">
        <v>45</v>
      </c>
      <c r="P48" s="22" t="s">
        <v>49</v>
      </c>
      <c r="Q48" s="22" t="s">
        <v>263</v>
      </c>
      <c r="R48" s="22" t="s">
        <v>264</v>
      </c>
    </row>
    <row r="49" ht="45.0" customHeight="1">
      <c r="A49" s="20" t="s">
        <v>265</v>
      </c>
      <c r="B49" s="21" t="str">
        <f>IMAGE("https://raw.githubusercontent.com/ltdimages/images/refs/heads/main/Food173.png")</f>
        <v/>
      </c>
      <c r="C49" s="22" t="s">
        <v>266</v>
      </c>
      <c r="D49" s="22" t="s">
        <v>43</v>
      </c>
      <c r="E49" s="22" t="s">
        <v>177</v>
      </c>
      <c r="F49" s="23"/>
      <c r="G49" s="23">
        <v>6.7</v>
      </c>
      <c r="H49" s="22" t="s">
        <v>49</v>
      </c>
      <c r="I49" s="22" t="s">
        <v>46</v>
      </c>
      <c r="J49" s="22" t="s">
        <v>45</v>
      </c>
      <c r="K49" s="22" t="s">
        <v>56</v>
      </c>
      <c r="L49" s="22" t="s">
        <v>172</v>
      </c>
      <c r="M49" s="22" t="s">
        <v>45</v>
      </c>
      <c r="N49" s="22" t="s">
        <v>49</v>
      </c>
      <c r="O49" s="22" t="s">
        <v>45</v>
      </c>
      <c r="P49" s="22" t="s">
        <v>49</v>
      </c>
      <c r="Q49" s="22" t="s">
        <v>267</v>
      </c>
      <c r="R49" s="22" t="s">
        <v>268</v>
      </c>
    </row>
    <row r="50" ht="45.0" customHeight="1">
      <c r="A50" s="20" t="s">
        <v>269</v>
      </c>
      <c r="B50" s="21" t="str">
        <f>IMAGE("https://raw.githubusercontent.com/ltdimages/images/refs/heads/main/Food260.png")</f>
        <v/>
      </c>
      <c r="C50" s="22" t="s">
        <v>270</v>
      </c>
      <c r="D50" s="22" t="s">
        <v>43</v>
      </c>
      <c r="E50" s="22" t="s">
        <v>106</v>
      </c>
      <c r="F50" s="23"/>
      <c r="G50" s="23">
        <v>3.2</v>
      </c>
      <c r="H50" s="22" t="s">
        <v>49</v>
      </c>
      <c r="I50" s="22" t="s">
        <v>46</v>
      </c>
      <c r="J50" s="22" t="s">
        <v>45</v>
      </c>
      <c r="K50" s="22" t="s">
        <v>47</v>
      </c>
      <c r="L50" s="22" t="s">
        <v>172</v>
      </c>
      <c r="M50" s="22" t="s">
        <v>49</v>
      </c>
      <c r="N50" s="22" t="s">
        <v>49</v>
      </c>
      <c r="O50" s="22" t="s">
        <v>49</v>
      </c>
      <c r="P50" s="22" t="s">
        <v>49</v>
      </c>
      <c r="Q50" s="22" t="s">
        <v>271</v>
      </c>
      <c r="R50" s="22" t="s">
        <v>272</v>
      </c>
    </row>
    <row r="51" ht="45.0" customHeight="1">
      <c r="A51" s="20" t="s">
        <v>273</v>
      </c>
      <c r="B51" s="21" t="str">
        <f>IMAGE("https://raw.githubusercontent.com/ltdimages/images/refs/heads/main/Food261.png")</f>
        <v/>
      </c>
      <c r="C51" s="22" t="s">
        <v>274</v>
      </c>
      <c r="D51" s="22" t="s">
        <v>43</v>
      </c>
      <c r="E51" s="22" t="s">
        <v>62</v>
      </c>
      <c r="F51" s="23" t="s">
        <v>167</v>
      </c>
      <c r="G51" s="23">
        <v>2.5</v>
      </c>
      <c r="H51" s="22" t="s">
        <v>45</v>
      </c>
      <c r="I51" s="22" t="s">
        <v>46</v>
      </c>
      <c r="J51" s="22" t="s">
        <v>45</v>
      </c>
      <c r="K51" s="22" t="s">
        <v>56</v>
      </c>
      <c r="L51" s="22" t="s">
        <v>57</v>
      </c>
      <c r="M51" s="22" t="s">
        <v>49</v>
      </c>
      <c r="N51" s="22" t="s">
        <v>49</v>
      </c>
      <c r="O51" s="22" t="s">
        <v>45</v>
      </c>
      <c r="P51" s="22" t="s">
        <v>49</v>
      </c>
      <c r="Q51" s="22" t="s">
        <v>275</v>
      </c>
      <c r="R51" s="22" t="s">
        <v>276</v>
      </c>
    </row>
    <row r="52" ht="45.0" customHeight="1">
      <c r="A52" s="20" t="s">
        <v>277</v>
      </c>
      <c r="B52" s="21" t="str">
        <f>IMAGE("https://raw.githubusercontent.com/ltdimages/images/refs/heads/main/Food141.png")</f>
        <v/>
      </c>
      <c r="C52" s="22" t="s">
        <v>278</v>
      </c>
      <c r="D52" s="22" t="s">
        <v>43</v>
      </c>
      <c r="E52" s="22"/>
      <c r="F52" s="23"/>
      <c r="G52" s="23">
        <v>4.0</v>
      </c>
      <c r="H52" s="22" t="s">
        <v>49</v>
      </c>
      <c r="I52" s="22" t="s">
        <v>46</v>
      </c>
      <c r="J52" s="22" t="s">
        <v>45</v>
      </c>
      <c r="K52" s="22" t="s">
        <v>56</v>
      </c>
      <c r="L52" s="22" t="s">
        <v>172</v>
      </c>
      <c r="M52" s="22" t="s">
        <v>49</v>
      </c>
      <c r="N52" s="22" t="s">
        <v>49</v>
      </c>
      <c r="O52" s="22" t="s">
        <v>49</v>
      </c>
      <c r="P52" s="22" t="s">
        <v>49</v>
      </c>
      <c r="Q52" s="22" t="s">
        <v>279</v>
      </c>
      <c r="R52" s="22" t="s">
        <v>280</v>
      </c>
    </row>
    <row r="53" ht="45.0" customHeight="1">
      <c r="A53" s="20" t="s">
        <v>281</v>
      </c>
      <c r="B53" s="21" t="str">
        <f>IMAGE("https://raw.githubusercontent.com/ltdimages/images/refs/heads/main/Food316.png")</f>
        <v/>
      </c>
      <c r="C53" s="22" t="s">
        <v>282</v>
      </c>
      <c r="D53" s="22" t="s">
        <v>43</v>
      </c>
      <c r="E53" s="22" t="s">
        <v>85</v>
      </c>
      <c r="F53" s="23"/>
      <c r="G53" s="23">
        <v>4.0</v>
      </c>
      <c r="H53" s="22" t="s">
        <v>45</v>
      </c>
      <c r="I53" s="22" t="s">
        <v>46</v>
      </c>
      <c r="J53" s="22" t="s">
        <v>45</v>
      </c>
      <c r="K53" s="22" t="s">
        <v>56</v>
      </c>
      <c r="L53" s="22" t="s">
        <v>48</v>
      </c>
      <c r="M53" s="22" t="s">
        <v>49</v>
      </c>
      <c r="N53" s="22" t="s">
        <v>45</v>
      </c>
      <c r="O53" s="22" t="s">
        <v>49</v>
      </c>
      <c r="P53" s="22" t="s">
        <v>45</v>
      </c>
      <c r="Q53" s="22" t="s">
        <v>283</v>
      </c>
      <c r="R53" s="22" t="s">
        <v>284</v>
      </c>
    </row>
    <row r="54" ht="45.0" customHeight="1">
      <c r="A54" s="20" t="s">
        <v>285</v>
      </c>
      <c r="B54" s="21" t="str">
        <f>IMAGE("https://raw.githubusercontent.com/ltdimages/images/refs/heads/main/Food089.png")</f>
        <v/>
      </c>
      <c r="C54" s="22" t="s">
        <v>286</v>
      </c>
      <c r="D54" s="22" t="s">
        <v>43</v>
      </c>
      <c r="E54" s="22" t="s">
        <v>106</v>
      </c>
      <c r="F54" s="23"/>
      <c r="G54" s="23">
        <v>3.5</v>
      </c>
      <c r="H54" s="22" t="s">
        <v>45</v>
      </c>
      <c r="I54" s="22" t="s">
        <v>46</v>
      </c>
      <c r="J54" s="22" t="s">
        <v>45</v>
      </c>
      <c r="K54" s="22" t="s">
        <v>56</v>
      </c>
      <c r="L54" s="22" t="s">
        <v>48</v>
      </c>
      <c r="M54" s="22" t="s">
        <v>49</v>
      </c>
      <c r="N54" s="22" t="s">
        <v>49</v>
      </c>
      <c r="O54" s="22" t="s">
        <v>49</v>
      </c>
      <c r="P54" s="22" t="s">
        <v>49</v>
      </c>
      <c r="Q54" s="22" t="s">
        <v>287</v>
      </c>
      <c r="R54" s="22" t="s">
        <v>288</v>
      </c>
    </row>
    <row r="55" ht="45.0" customHeight="1">
      <c r="A55" s="20" t="s">
        <v>289</v>
      </c>
      <c r="B55" s="21" t="str">
        <f>IMAGE("https://raw.githubusercontent.com/ltdimages/images/refs/heads/main/Food331.png")</f>
        <v/>
      </c>
      <c r="C55" s="22" t="s">
        <v>290</v>
      </c>
      <c r="D55" s="22" t="s">
        <v>43</v>
      </c>
      <c r="E55" s="22" t="s">
        <v>85</v>
      </c>
      <c r="F55" s="23" t="s">
        <v>101</v>
      </c>
      <c r="G55" s="23">
        <v>9.9</v>
      </c>
      <c r="H55" s="22" t="s">
        <v>49</v>
      </c>
      <c r="I55" s="22" t="s">
        <v>46</v>
      </c>
      <c r="J55" s="22" t="s">
        <v>45</v>
      </c>
      <c r="K55" s="22" t="s">
        <v>86</v>
      </c>
      <c r="L55" s="22" t="s">
        <v>57</v>
      </c>
      <c r="M55" s="22" t="s">
        <v>49</v>
      </c>
      <c r="N55" s="22" t="s">
        <v>45</v>
      </c>
      <c r="O55" s="22" t="s">
        <v>49</v>
      </c>
      <c r="P55" s="22" t="s">
        <v>45</v>
      </c>
      <c r="Q55" s="22" t="s">
        <v>291</v>
      </c>
      <c r="R55" s="22" t="s">
        <v>292</v>
      </c>
    </row>
    <row r="56" ht="45.0" customHeight="1">
      <c r="A56" s="20" t="s">
        <v>293</v>
      </c>
      <c r="B56" s="21" t="str">
        <f>IMAGE("https://raw.githubusercontent.com/ltdimages/images/refs/heads/main/Food028.png")</f>
        <v/>
      </c>
      <c r="C56" s="22" t="s">
        <v>294</v>
      </c>
      <c r="D56" s="22" t="s">
        <v>43</v>
      </c>
      <c r="E56" s="22" t="s">
        <v>121</v>
      </c>
      <c r="F56" s="23"/>
      <c r="G56" s="23">
        <v>60.0</v>
      </c>
      <c r="H56" s="22" t="s">
        <v>45</v>
      </c>
      <c r="I56" s="22" t="s">
        <v>46</v>
      </c>
      <c r="J56" s="22" t="s">
        <v>45</v>
      </c>
      <c r="K56" s="22" t="s">
        <v>86</v>
      </c>
      <c r="L56" s="22" t="s">
        <v>48</v>
      </c>
      <c r="M56" s="22" t="s">
        <v>49</v>
      </c>
      <c r="N56" s="22" t="s">
        <v>49</v>
      </c>
      <c r="O56" s="22" t="s">
        <v>49</v>
      </c>
      <c r="P56" s="22" t="s">
        <v>49</v>
      </c>
      <c r="Q56" s="22" t="s">
        <v>295</v>
      </c>
      <c r="R56" s="22" t="s">
        <v>296</v>
      </c>
    </row>
    <row r="57" ht="45.0" customHeight="1">
      <c r="A57" s="20" t="s">
        <v>297</v>
      </c>
      <c r="B57" s="21" t="str">
        <f>IMAGE("https://raw.githubusercontent.com/ltdimages/images/refs/heads/main/Food050.png")</f>
        <v/>
      </c>
      <c r="C57" s="22" t="s">
        <v>298</v>
      </c>
      <c r="D57" s="22" t="s">
        <v>43</v>
      </c>
      <c r="E57" s="22"/>
      <c r="F57" s="23"/>
      <c r="G57" s="23">
        <v>3.8</v>
      </c>
      <c r="H57" s="22" t="s">
        <v>49</v>
      </c>
      <c r="I57" s="22" t="s">
        <v>46</v>
      </c>
      <c r="J57" s="22" t="s">
        <v>45</v>
      </c>
      <c r="K57" s="22" t="s">
        <v>47</v>
      </c>
      <c r="L57" s="22" t="s">
        <v>57</v>
      </c>
      <c r="M57" s="22" t="s">
        <v>49</v>
      </c>
      <c r="N57" s="22" t="s">
        <v>49</v>
      </c>
      <c r="O57" s="22" t="s">
        <v>49</v>
      </c>
      <c r="P57" s="22" t="s">
        <v>49</v>
      </c>
      <c r="Q57" s="22" t="s">
        <v>299</v>
      </c>
      <c r="R57" s="22" t="s">
        <v>300</v>
      </c>
    </row>
    <row r="58" ht="45.0" customHeight="1">
      <c r="A58" s="20" t="s">
        <v>301</v>
      </c>
      <c r="B58" s="21" t="str">
        <f>IMAGE("https://raw.githubusercontent.com/ltdimages/images/refs/heads/main/Food044.png")</f>
        <v/>
      </c>
      <c r="C58" s="22" t="s">
        <v>302</v>
      </c>
      <c r="D58" s="22" t="s">
        <v>43</v>
      </c>
      <c r="E58" s="22"/>
      <c r="F58" s="23"/>
      <c r="G58" s="23">
        <v>6.8</v>
      </c>
      <c r="H58" s="22" t="s">
        <v>49</v>
      </c>
      <c r="I58" s="22" t="s">
        <v>46</v>
      </c>
      <c r="J58" s="22" t="s">
        <v>45</v>
      </c>
      <c r="K58" s="22" t="s">
        <v>86</v>
      </c>
      <c r="L58" s="22" t="s">
        <v>57</v>
      </c>
      <c r="M58" s="22" t="s">
        <v>49</v>
      </c>
      <c r="N58" s="22" t="s">
        <v>49</v>
      </c>
      <c r="O58" s="22" t="s">
        <v>45</v>
      </c>
      <c r="P58" s="22" t="s">
        <v>49</v>
      </c>
      <c r="Q58" s="22" t="s">
        <v>303</v>
      </c>
      <c r="R58" s="22" t="s">
        <v>304</v>
      </c>
    </row>
    <row r="59" ht="45.0" customHeight="1">
      <c r="A59" s="20" t="s">
        <v>305</v>
      </c>
      <c r="B59" s="21" t="str">
        <f>IMAGE("https://raw.githubusercontent.com/ltdimages/images/refs/heads/main/Food047.png")</f>
        <v/>
      </c>
      <c r="C59" s="22" t="s">
        <v>306</v>
      </c>
      <c r="D59" s="22" t="s">
        <v>43</v>
      </c>
      <c r="E59" s="22" t="s">
        <v>67</v>
      </c>
      <c r="F59" s="23"/>
      <c r="G59" s="23">
        <v>1.2</v>
      </c>
      <c r="H59" s="22" t="s">
        <v>45</v>
      </c>
      <c r="I59" s="22" t="s">
        <v>46</v>
      </c>
      <c r="J59" s="22" t="s">
        <v>45</v>
      </c>
      <c r="K59" s="22" t="s">
        <v>56</v>
      </c>
      <c r="L59" s="22" t="s">
        <v>48</v>
      </c>
      <c r="M59" s="22" t="s">
        <v>49</v>
      </c>
      <c r="N59" s="22" t="s">
        <v>49</v>
      </c>
      <c r="O59" s="22" t="s">
        <v>49</v>
      </c>
      <c r="P59" s="22" t="s">
        <v>49</v>
      </c>
      <c r="Q59" s="22" t="s">
        <v>307</v>
      </c>
      <c r="R59" s="22" t="s">
        <v>308</v>
      </c>
    </row>
    <row r="60" ht="45.0" customHeight="1">
      <c r="A60" s="20" t="s">
        <v>309</v>
      </c>
      <c r="B60" s="21" t="str">
        <f>IMAGE("https://raw.githubusercontent.com/ltdimages/images/refs/heads/main/Food052.png")</f>
        <v/>
      </c>
      <c r="C60" s="22" t="s">
        <v>310</v>
      </c>
      <c r="D60" s="22" t="s">
        <v>43</v>
      </c>
      <c r="E60" s="22"/>
      <c r="F60" s="23" t="s">
        <v>167</v>
      </c>
      <c r="G60" s="23">
        <v>6.8</v>
      </c>
      <c r="H60" s="22" t="s">
        <v>49</v>
      </c>
      <c r="I60" s="22" t="s">
        <v>46</v>
      </c>
      <c r="J60" s="22" t="s">
        <v>45</v>
      </c>
      <c r="K60" s="22" t="s">
        <v>56</v>
      </c>
      <c r="L60" s="22" t="s">
        <v>57</v>
      </c>
      <c r="M60" s="22" t="s">
        <v>49</v>
      </c>
      <c r="N60" s="22" t="s">
        <v>49</v>
      </c>
      <c r="O60" s="22" t="s">
        <v>49</v>
      </c>
      <c r="P60" s="22" t="s">
        <v>49</v>
      </c>
      <c r="Q60" s="22" t="s">
        <v>311</v>
      </c>
      <c r="R60" s="22" t="s">
        <v>312</v>
      </c>
    </row>
    <row r="61" ht="45.0" customHeight="1">
      <c r="A61" s="20" t="s">
        <v>313</v>
      </c>
      <c r="B61" s="21" t="str">
        <f>IMAGE("https://raw.githubusercontent.com/ltdimages/images/refs/heads/main/Food193.png")</f>
        <v/>
      </c>
      <c r="C61" s="22" t="s">
        <v>314</v>
      </c>
      <c r="D61" s="22" t="s">
        <v>43</v>
      </c>
      <c r="E61" s="22" t="s">
        <v>67</v>
      </c>
      <c r="F61" s="23" t="s">
        <v>144</v>
      </c>
      <c r="G61" s="23">
        <v>1.2</v>
      </c>
      <c r="H61" s="22" t="s">
        <v>45</v>
      </c>
      <c r="I61" s="22" t="s">
        <v>46</v>
      </c>
      <c r="J61" s="22" t="s">
        <v>45</v>
      </c>
      <c r="K61" s="22" t="s">
        <v>56</v>
      </c>
      <c r="L61" s="22" t="s">
        <v>48</v>
      </c>
      <c r="M61" s="22" t="s">
        <v>45</v>
      </c>
      <c r="N61" s="22" t="s">
        <v>49</v>
      </c>
      <c r="O61" s="22" t="s">
        <v>45</v>
      </c>
      <c r="P61" s="22" t="s">
        <v>49</v>
      </c>
      <c r="Q61" s="22" t="s">
        <v>315</v>
      </c>
      <c r="R61" s="22" t="s">
        <v>316</v>
      </c>
    </row>
    <row r="62" ht="45.0" customHeight="1">
      <c r="A62" s="20" t="s">
        <v>317</v>
      </c>
      <c r="B62" s="21" t="str">
        <f>IMAGE("https://raw.githubusercontent.com/ltdimages/images/refs/heads/main/Food032.png")</f>
        <v/>
      </c>
      <c r="C62" s="22" t="s">
        <v>318</v>
      </c>
      <c r="D62" s="22" t="s">
        <v>43</v>
      </c>
      <c r="E62" s="22" t="s">
        <v>126</v>
      </c>
      <c r="F62" s="23" t="s">
        <v>101</v>
      </c>
      <c r="G62" s="23">
        <v>7.0</v>
      </c>
      <c r="H62" s="22" t="s">
        <v>49</v>
      </c>
      <c r="I62" s="22" t="s">
        <v>46</v>
      </c>
      <c r="J62" s="22" t="s">
        <v>45</v>
      </c>
      <c r="K62" s="22" t="s">
        <v>86</v>
      </c>
      <c r="L62" s="22" t="s">
        <v>57</v>
      </c>
      <c r="M62" s="22" t="s">
        <v>45</v>
      </c>
      <c r="N62" s="22" t="s">
        <v>49</v>
      </c>
      <c r="O62" s="22" t="s">
        <v>49</v>
      </c>
      <c r="P62" s="22" t="s">
        <v>49</v>
      </c>
      <c r="Q62" s="22" t="s">
        <v>319</v>
      </c>
      <c r="R62" s="22" t="s">
        <v>320</v>
      </c>
    </row>
    <row r="63" ht="45.0" customHeight="1">
      <c r="A63" s="20" t="s">
        <v>321</v>
      </c>
      <c r="B63" s="21" t="str">
        <f>IMAGE("https://raw.githubusercontent.com/ltdimages/images/refs/heads/main/Food470.png")</f>
        <v/>
      </c>
      <c r="C63" s="22" t="s">
        <v>322</v>
      </c>
      <c r="D63" s="22" t="s">
        <v>43</v>
      </c>
      <c r="E63" s="22" t="s">
        <v>204</v>
      </c>
      <c r="F63" s="23"/>
      <c r="G63" s="23">
        <v>8.5</v>
      </c>
      <c r="H63" s="22" t="s">
        <v>49</v>
      </c>
      <c r="I63" s="22" t="s">
        <v>46</v>
      </c>
      <c r="J63" s="22" t="s">
        <v>45</v>
      </c>
      <c r="K63" s="22" t="s">
        <v>56</v>
      </c>
      <c r="L63" s="22" t="s">
        <v>57</v>
      </c>
      <c r="M63" s="22" t="s">
        <v>45</v>
      </c>
      <c r="N63" s="22" t="s">
        <v>49</v>
      </c>
      <c r="O63" s="22" t="s">
        <v>45</v>
      </c>
      <c r="P63" s="22" t="s">
        <v>45</v>
      </c>
      <c r="Q63" s="22" t="s">
        <v>323</v>
      </c>
      <c r="R63" s="22" t="s">
        <v>324</v>
      </c>
    </row>
    <row r="64" ht="45.0" customHeight="1">
      <c r="A64" s="20" t="s">
        <v>325</v>
      </c>
      <c r="B64" s="21" t="str">
        <f>IMAGE("https://raw.githubusercontent.com/ltdimages/images/refs/heads/main/Food437.png")</f>
        <v/>
      </c>
      <c r="C64" s="22" t="s">
        <v>326</v>
      </c>
      <c r="D64" s="22" t="s">
        <v>43</v>
      </c>
      <c r="E64" s="22" t="s">
        <v>204</v>
      </c>
      <c r="F64" s="23"/>
      <c r="G64" s="23">
        <v>6.0</v>
      </c>
      <c r="H64" s="22" t="s">
        <v>49</v>
      </c>
      <c r="I64" s="22" t="s">
        <v>46</v>
      </c>
      <c r="J64" s="22" t="s">
        <v>45</v>
      </c>
      <c r="K64" s="22" t="s">
        <v>47</v>
      </c>
      <c r="L64" s="22" t="s">
        <v>48</v>
      </c>
      <c r="M64" s="22" t="s">
        <v>49</v>
      </c>
      <c r="N64" s="22" t="s">
        <v>45</v>
      </c>
      <c r="O64" s="22" t="s">
        <v>49</v>
      </c>
      <c r="P64" s="22" t="s">
        <v>45</v>
      </c>
      <c r="Q64" s="22" t="s">
        <v>327</v>
      </c>
      <c r="R64" s="22" t="s">
        <v>328</v>
      </c>
    </row>
    <row r="65" ht="45.0" customHeight="1">
      <c r="A65" s="20" t="s">
        <v>329</v>
      </c>
      <c r="B65" s="21" t="str">
        <f>IMAGE("https://raw.githubusercontent.com/ltdimages/images/refs/heads/main/Food482.png")</f>
        <v/>
      </c>
      <c r="C65" s="22" t="s">
        <v>330</v>
      </c>
      <c r="D65" s="22" t="s">
        <v>43</v>
      </c>
      <c r="E65" s="22" t="s">
        <v>62</v>
      </c>
      <c r="F65" s="23"/>
      <c r="G65" s="23">
        <v>9.5</v>
      </c>
      <c r="H65" s="22" t="s">
        <v>49</v>
      </c>
      <c r="I65" s="22" t="s">
        <v>46</v>
      </c>
      <c r="J65" s="22" t="s">
        <v>45</v>
      </c>
      <c r="K65" s="22" t="s">
        <v>56</v>
      </c>
      <c r="L65" s="22" t="s">
        <v>57</v>
      </c>
      <c r="M65" s="22" t="s">
        <v>49</v>
      </c>
      <c r="N65" s="22" t="s">
        <v>49</v>
      </c>
      <c r="O65" s="22" t="s">
        <v>49</v>
      </c>
      <c r="P65" s="22" t="s">
        <v>49</v>
      </c>
      <c r="Q65" s="22" t="s">
        <v>331</v>
      </c>
      <c r="R65" s="22" t="s">
        <v>332</v>
      </c>
    </row>
    <row r="66" ht="45.0" customHeight="1">
      <c r="A66" s="20" t="s">
        <v>333</v>
      </c>
      <c r="B66" s="21" t="str">
        <f>IMAGE("https://raw.githubusercontent.com/ltdimages/images/refs/heads/main/Food406.png")</f>
        <v/>
      </c>
      <c r="C66" s="22" t="s">
        <v>334</v>
      </c>
      <c r="D66" s="22" t="s">
        <v>43</v>
      </c>
      <c r="E66" s="22"/>
      <c r="F66" s="23" t="s">
        <v>111</v>
      </c>
      <c r="G66" s="23">
        <v>5.0</v>
      </c>
      <c r="H66" s="22" t="s">
        <v>49</v>
      </c>
      <c r="I66" s="22" t="s">
        <v>46</v>
      </c>
      <c r="J66" s="22" t="s">
        <v>45</v>
      </c>
      <c r="K66" s="22" t="s">
        <v>56</v>
      </c>
      <c r="L66" s="22" t="s">
        <v>57</v>
      </c>
      <c r="M66" s="22" t="s">
        <v>45</v>
      </c>
      <c r="N66" s="22" t="s">
        <v>49</v>
      </c>
      <c r="O66" s="22" t="s">
        <v>45</v>
      </c>
      <c r="P66" s="22" t="s">
        <v>45</v>
      </c>
      <c r="Q66" s="22" t="s">
        <v>335</v>
      </c>
      <c r="R66" s="22" t="s">
        <v>336</v>
      </c>
    </row>
    <row r="67" ht="45.0" customHeight="1">
      <c r="A67" s="20" t="s">
        <v>337</v>
      </c>
      <c r="B67" s="21" t="str">
        <f>IMAGE("https://raw.githubusercontent.com/ltdimages/images/refs/heads/main/Food232.png")</f>
        <v/>
      </c>
      <c r="C67" s="22" t="s">
        <v>338</v>
      </c>
      <c r="D67" s="22" t="s">
        <v>43</v>
      </c>
      <c r="E67" s="22" t="s">
        <v>217</v>
      </c>
      <c r="F67" s="23" t="s">
        <v>144</v>
      </c>
      <c r="G67" s="23">
        <v>5.9</v>
      </c>
      <c r="H67" s="22" t="s">
        <v>49</v>
      </c>
      <c r="I67" s="22" t="s">
        <v>46</v>
      </c>
      <c r="J67" s="22" t="s">
        <v>45</v>
      </c>
      <c r="K67" s="22" t="s">
        <v>56</v>
      </c>
      <c r="L67" s="22" t="s">
        <v>48</v>
      </c>
      <c r="M67" s="22" t="s">
        <v>49</v>
      </c>
      <c r="N67" s="22" t="s">
        <v>49</v>
      </c>
      <c r="O67" s="22" t="s">
        <v>49</v>
      </c>
      <c r="P67" s="22" t="s">
        <v>45</v>
      </c>
      <c r="Q67" s="22" t="s">
        <v>339</v>
      </c>
      <c r="R67" s="22" t="s">
        <v>340</v>
      </c>
    </row>
    <row r="68" ht="45.0" customHeight="1">
      <c r="A68" s="20" t="s">
        <v>341</v>
      </c>
      <c r="B68" s="21" t="str">
        <f>IMAGE("https://raw.githubusercontent.com/ltdimages/images/refs/heads/main/Food127.png")</f>
        <v/>
      </c>
      <c r="C68" s="22" t="s">
        <v>342</v>
      </c>
      <c r="D68" s="22" t="s">
        <v>43</v>
      </c>
      <c r="E68" s="22"/>
      <c r="F68" s="23" t="s">
        <v>111</v>
      </c>
      <c r="G68" s="23">
        <v>2.0</v>
      </c>
      <c r="H68" s="22" t="s">
        <v>45</v>
      </c>
      <c r="I68" s="22" t="s">
        <v>46</v>
      </c>
      <c r="J68" s="22" t="s">
        <v>45</v>
      </c>
      <c r="K68" s="22" t="s">
        <v>47</v>
      </c>
      <c r="L68" s="22" t="s">
        <v>48</v>
      </c>
      <c r="M68" s="22" t="s">
        <v>45</v>
      </c>
      <c r="N68" s="22" t="s">
        <v>49</v>
      </c>
      <c r="O68" s="22" t="s">
        <v>45</v>
      </c>
      <c r="P68" s="22" t="s">
        <v>49</v>
      </c>
      <c r="Q68" s="22" t="s">
        <v>343</v>
      </c>
      <c r="R68" s="22" t="s">
        <v>344</v>
      </c>
    </row>
    <row r="69" ht="45.0" customHeight="1">
      <c r="A69" s="20" t="s">
        <v>345</v>
      </c>
      <c r="B69" s="21" t="str">
        <f>IMAGE("https://raw.githubusercontent.com/ltdimages/images/refs/heads/main/Food107.png")</f>
        <v/>
      </c>
      <c r="C69" s="22" t="s">
        <v>346</v>
      </c>
      <c r="D69" s="22" t="s">
        <v>43</v>
      </c>
      <c r="E69" s="22" t="s">
        <v>62</v>
      </c>
      <c r="F69" s="23" t="s">
        <v>167</v>
      </c>
      <c r="G69" s="23">
        <v>10.0</v>
      </c>
      <c r="H69" s="22" t="s">
        <v>45</v>
      </c>
      <c r="I69" s="22" t="s">
        <v>46</v>
      </c>
      <c r="J69" s="22" t="s">
        <v>45</v>
      </c>
      <c r="K69" s="22" t="s">
        <v>56</v>
      </c>
      <c r="L69" s="22" t="s">
        <v>57</v>
      </c>
      <c r="M69" s="22" t="s">
        <v>49</v>
      </c>
      <c r="N69" s="22" t="s">
        <v>49</v>
      </c>
      <c r="O69" s="22" t="s">
        <v>49</v>
      </c>
      <c r="P69" s="22" t="s">
        <v>49</v>
      </c>
      <c r="Q69" s="22" t="s">
        <v>347</v>
      </c>
      <c r="R69" s="22" t="s">
        <v>348</v>
      </c>
    </row>
    <row r="70" ht="45.0" customHeight="1">
      <c r="A70" s="20" t="s">
        <v>349</v>
      </c>
      <c r="B70" s="21" t="str">
        <f>IMAGE("https://raw.githubusercontent.com/ltdimages/images/refs/heads/main/Food402.png")</f>
        <v/>
      </c>
      <c r="C70" s="22" t="s">
        <v>350</v>
      </c>
      <c r="D70" s="22" t="s">
        <v>43</v>
      </c>
      <c r="E70" s="22"/>
      <c r="F70" s="23" t="s">
        <v>351</v>
      </c>
      <c r="G70" s="23">
        <v>12.0</v>
      </c>
      <c r="H70" s="22" t="s">
        <v>49</v>
      </c>
      <c r="I70" s="22" t="s">
        <v>46</v>
      </c>
      <c r="J70" s="22" t="s">
        <v>45</v>
      </c>
      <c r="K70" s="22" t="s">
        <v>56</v>
      </c>
      <c r="L70" s="22" t="s">
        <v>57</v>
      </c>
      <c r="M70" s="22" t="s">
        <v>45</v>
      </c>
      <c r="N70" s="22" t="s">
        <v>49</v>
      </c>
      <c r="O70" s="22" t="s">
        <v>45</v>
      </c>
      <c r="P70" s="22" t="s">
        <v>45</v>
      </c>
      <c r="Q70" s="22" t="s">
        <v>352</v>
      </c>
      <c r="R70" s="22" t="s">
        <v>353</v>
      </c>
    </row>
    <row r="71" ht="45.0" customHeight="1">
      <c r="A71" s="20" t="s">
        <v>354</v>
      </c>
      <c r="B71" s="21" t="str">
        <f>IMAGE("https://raw.githubusercontent.com/ltdimages/images/refs/heads/main/Food125.png")</f>
        <v/>
      </c>
      <c r="C71" s="22" t="s">
        <v>355</v>
      </c>
      <c r="D71" s="22" t="s">
        <v>43</v>
      </c>
      <c r="E71" s="22" t="s">
        <v>106</v>
      </c>
      <c r="F71" s="23" t="s">
        <v>111</v>
      </c>
      <c r="G71" s="23">
        <v>3.0</v>
      </c>
      <c r="H71" s="22" t="s">
        <v>49</v>
      </c>
      <c r="I71" s="22" t="s">
        <v>46</v>
      </c>
      <c r="J71" s="22" t="s">
        <v>45</v>
      </c>
      <c r="K71" s="22" t="s">
        <v>47</v>
      </c>
      <c r="L71" s="22" t="s">
        <v>48</v>
      </c>
      <c r="M71" s="22" t="s">
        <v>49</v>
      </c>
      <c r="N71" s="22" t="s">
        <v>49</v>
      </c>
      <c r="O71" s="22" t="s">
        <v>49</v>
      </c>
      <c r="P71" s="22" t="s">
        <v>49</v>
      </c>
      <c r="Q71" s="22" t="s">
        <v>356</v>
      </c>
      <c r="R71" s="22" t="s">
        <v>357</v>
      </c>
    </row>
    <row r="72" ht="45.0" customHeight="1">
      <c r="A72" s="20" t="s">
        <v>358</v>
      </c>
      <c r="B72" s="21" t="str">
        <f>IMAGE("https://raw.githubusercontent.com/ltdimages/images/refs/heads/main/Food346.png")</f>
        <v/>
      </c>
      <c r="C72" s="22" t="s">
        <v>359</v>
      </c>
      <c r="D72" s="22" t="s">
        <v>43</v>
      </c>
      <c r="E72" s="22" t="s">
        <v>106</v>
      </c>
      <c r="F72" s="23" t="s">
        <v>167</v>
      </c>
      <c r="G72" s="23">
        <v>10.0</v>
      </c>
      <c r="H72" s="22" t="s">
        <v>49</v>
      </c>
      <c r="I72" s="22" t="s">
        <v>46</v>
      </c>
      <c r="J72" s="22" t="s">
        <v>45</v>
      </c>
      <c r="K72" s="22" t="s">
        <v>86</v>
      </c>
      <c r="L72" s="22" t="s">
        <v>57</v>
      </c>
      <c r="M72" s="22" t="s">
        <v>49</v>
      </c>
      <c r="N72" s="22" t="s">
        <v>45</v>
      </c>
      <c r="O72" s="22" t="s">
        <v>45</v>
      </c>
      <c r="P72" s="22" t="s">
        <v>45</v>
      </c>
      <c r="Q72" s="22" t="s">
        <v>360</v>
      </c>
      <c r="R72" s="22" t="s">
        <v>361</v>
      </c>
    </row>
    <row r="73" ht="45.0" customHeight="1">
      <c r="A73" s="20" t="s">
        <v>362</v>
      </c>
      <c r="B73" s="21" t="str">
        <f>IMAGE("https://raw.githubusercontent.com/ltdimages/images/refs/heads/main/Food216.png")</f>
        <v/>
      </c>
      <c r="C73" s="22" t="s">
        <v>363</v>
      </c>
      <c r="D73" s="22" t="s">
        <v>43</v>
      </c>
      <c r="E73" s="22" t="s">
        <v>126</v>
      </c>
      <c r="F73" s="23"/>
      <c r="G73" s="23">
        <v>7.0</v>
      </c>
      <c r="H73" s="22" t="s">
        <v>45</v>
      </c>
      <c r="I73" s="22" t="s">
        <v>46</v>
      </c>
      <c r="J73" s="22" t="s">
        <v>45</v>
      </c>
      <c r="K73" s="22" t="s">
        <v>86</v>
      </c>
      <c r="L73" s="22" t="s">
        <v>48</v>
      </c>
      <c r="M73" s="22" t="s">
        <v>45</v>
      </c>
      <c r="N73" s="22" t="s">
        <v>45</v>
      </c>
      <c r="O73" s="22" t="s">
        <v>45</v>
      </c>
      <c r="P73" s="22" t="s">
        <v>364</v>
      </c>
      <c r="Q73" s="22" t="s">
        <v>365</v>
      </c>
      <c r="R73" s="22" t="s">
        <v>366</v>
      </c>
    </row>
    <row r="74" ht="45.0" customHeight="1">
      <c r="A74" s="20" t="s">
        <v>367</v>
      </c>
      <c r="B74" s="21" t="str">
        <f>IMAGE("https://raw.githubusercontent.com/ltdimages/images/refs/heads/main/Food446.png")</f>
        <v/>
      </c>
      <c r="C74" s="22" t="s">
        <v>368</v>
      </c>
      <c r="D74" s="22" t="s">
        <v>43</v>
      </c>
      <c r="E74" s="22" t="s">
        <v>67</v>
      </c>
      <c r="F74" s="23" t="s">
        <v>167</v>
      </c>
      <c r="G74" s="23">
        <v>12.0</v>
      </c>
      <c r="H74" s="22" t="s">
        <v>49</v>
      </c>
      <c r="I74" s="22" t="s">
        <v>46</v>
      </c>
      <c r="J74" s="22" t="s">
        <v>45</v>
      </c>
      <c r="K74" s="22" t="s">
        <v>56</v>
      </c>
      <c r="L74" s="22" t="s">
        <v>48</v>
      </c>
      <c r="M74" s="22" t="s">
        <v>49</v>
      </c>
      <c r="N74" s="22" t="s">
        <v>49</v>
      </c>
      <c r="O74" s="22" t="s">
        <v>45</v>
      </c>
      <c r="P74" s="22" t="s">
        <v>45</v>
      </c>
      <c r="Q74" s="22" t="s">
        <v>369</v>
      </c>
      <c r="R74" s="22" t="s">
        <v>370</v>
      </c>
    </row>
    <row r="75" ht="45.0" customHeight="1">
      <c r="A75" s="20" t="s">
        <v>371</v>
      </c>
      <c r="B75" s="21" t="str">
        <f>IMAGE("https://raw.githubusercontent.com/ltdimages/images/refs/heads/main/Food450.png")</f>
        <v/>
      </c>
      <c r="C75" s="22" t="s">
        <v>372</v>
      </c>
      <c r="D75" s="22" t="s">
        <v>43</v>
      </c>
      <c r="E75" s="22"/>
      <c r="F75" s="23" t="s">
        <v>144</v>
      </c>
      <c r="G75" s="23">
        <v>14.0</v>
      </c>
      <c r="H75" s="22" t="s">
        <v>49</v>
      </c>
      <c r="I75" s="22" t="s">
        <v>46</v>
      </c>
      <c r="J75" s="22" t="s">
        <v>45</v>
      </c>
      <c r="K75" s="22" t="s">
        <v>56</v>
      </c>
      <c r="L75" s="22" t="s">
        <v>57</v>
      </c>
      <c r="M75" s="22" t="s">
        <v>49</v>
      </c>
      <c r="N75" s="22" t="s">
        <v>45</v>
      </c>
      <c r="O75" s="22" t="s">
        <v>49</v>
      </c>
      <c r="P75" s="22" t="s">
        <v>45</v>
      </c>
      <c r="Q75" s="22" t="s">
        <v>373</v>
      </c>
      <c r="R75" s="22" t="s">
        <v>374</v>
      </c>
    </row>
    <row r="76" ht="45.0" customHeight="1">
      <c r="A76" s="20" t="s">
        <v>375</v>
      </c>
      <c r="B76" s="21" t="str">
        <f>IMAGE("https://raw.githubusercontent.com/ltdimages/images/refs/heads/main/Food308.png")</f>
        <v/>
      </c>
      <c r="C76" s="22" t="s">
        <v>376</v>
      </c>
      <c r="D76" s="22" t="s">
        <v>43</v>
      </c>
      <c r="E76" s="22" t="s">
        <v>377</v>
      </c>
      <c r="F76" s="23"/>
      <c r="G76" s="23">
        <v>8.0</v>
      </c>
      <c r="H76" s="22" t="s">
        <v>49</v>
      </c>
      <c r="I76" s="22" t="s">
        <v>46</v>
      </c>
      <c r="J76" s="22" t="s">
        <v>45</v>
      </c>
      <c r="K76" s="22" t="s">
        <v>86</v>
      </c>
      <c r="L76" s="22" t="s">
        <v>57</v>
      </c>
      <c r="M76" s="22" t="s">
        <v>45</v>
      </c>
      <c r="N76" s="22" t="s">
        <v>49</v>
      </c>
      <c r="O76" s="22" t="s">
        <v>49</v>
      </c>
      <c r="P76" s="22" t="s">
        <v>45</v>
      </c>
      <c r="Q76" s="22" t="s">
        <v>378</v>
      </c>
      <c r="R76" s="22" t="s">
        <v>379</v>
      </c>
    </row>
    <row r="77" ht="45.0" customHeight="1">
      <c r="A77" s="20" t="s">
        <v>380</v>
      </c>
      <c r="B77" s="21" t="str">
        <f>IMAGE("https://raw.githubusercontent.com/ltdimages/images/refs/heads/main/Food161.png")</f>
        <v/>
      </c>
      <c r="C77" s="22" t="s">
        <v>381</v>
      </c>
      <c r="D77" s="22" t="s">
        <v>43</v>
      </c>
      <c r="E77" s="22"/>
      <c r="F77" s="23" t="s">
        <v>167</v>
      </c>
      <c r="G77" s="23">
        <v>12.0</v>
      </c>
      <c r="H77" s="22" t="s">
        <v>49</v>
      </c>
      <c r="I77" s="22" t="s">
        <v>46</v>
      </c>
      <c r="J77" s="22" t="s">
        <v>45</v>
      </c>
      <c r="K77" s="22" t="s">
        <v>47</v>
      </c>
      <c r="L77" s="22" t="s">
        <v>48</v>
      </c>
      <c r="M77" s="22" t="s">
        <v>49</v>
      </c>
      <c r="N77" s="22" t="s">
        <v>49</v>
      </c>
      <c r="O77" s="22" t="s">
        <v>49</v>
      </c>
      <c r="P77" s="22" t="s">
        <v>49</v>
      </c>
      <c r="Q77" s="22" t="s">
        <v>382</v>
      </c>
      <c r="R77" s="22" t="s">
        <v>383</v>
      </c>
    </row>
    <row r="78" ht="45.0" customHeight="1">
      <c r="A78" s="20" t="s">
        <v>384</v>
      </c>
      <c r="B78" s="21" t="str">
        <f>IMAGE("https://raw.githubusercontent.com/ltdimages/images/refs/heads/main/Food447.png")</f>
        <v/>
      </c>
      <c r="C78" s="22" t="s">
        <v>385</v>
      </c>
      <c r="D78" s="22" t="s">
        <v>43</v>
      </c>
      <c r="E78" s="22"/>
      <c r="F78" s="23"/>
      <c r="G78" s="23">
        <v>7.8</v>
      </c>
      <c r="H78" s="22" t="s">
        <v>49</v>
      </c>
      <c r="I78" s="22" t="s">
        <v>46</v>
      </c>
      <c r="J78" s="22" t="s">
        <v>45</v>
      </c>
      <c r="K78" s="22" t="s">
        <v>56</v>
      </c>
      <c r="L78" s="22" t="s">
        <v>48</v>
      </c>
      <c r="M78" s="22" t="s">
        <v>49</v>
      </c>
      <c r="N78" s="22" t="s">
        <v>45</v>
      </c>
      <c r="O78" s="22" t="s">
        <v>49</v>
      </c>
      <c r="P78" s="22" t="s">
        <v>45</v>
      </c>
      <c r="Q78" s="22" t="s">
        <v>386</v>
      </c>
      <c r="R78" s="22" t="s">
        <v>387</v>
      </c>
    </row>
    <row r="79" ht="45.0" customHeight="1">
      <c r="A79" s="20" t="s">
        <v>388</v>
      </c>
      <c r="B79" s="21" t="str">
        <f>IMAGE("https://raw.githubusercontent.com/ltdimages/images/refs/heads/main/Food377.png")</f>
        <v/>
      </c>
      <c r="C79" s="22" t="s">
        <v>389</v>
      </c>
      <c r="D79" s="22" t="s">
        <v>43</v>
      </c>
      <c r="E79" s="22" t="s">
        <v>62</v>
      </c>
      <c r="F79" s="23"/>
      <c r="G79" s="23">
        <v>50.0</v>
      </c>
      <c r="H79" s="22" t="s">
        <v>49</v>
      </c>
      <c r="I79" s="22" t="s">
        <v>46</v>
      </c>
      <c r="J79" s="22" t="s">
        <v>45</v>
      </c>
      <c r="K79" s="22" t="s">
        <v>86</v>
      </c>
      <c r="L79" s="22" t="s">
        <v>57</v>
      </c>
      <c r="M79" s="22" t="s">
        <v>49</v>
      </c>
      <c r="N79" s="22" t="s">
        <v>49</v>
      </c>
      <c r="O79" s="22" t="s">
        <v>49</v>
      </c>
      <c r="P79" s="22" t="s">
        <v>49</v>
      </c>
      <c r="Q79" s="22" t="s">
        <v>390</v>
      </c>
      <c r="R79" s="22" t="s">
        <v>391</v>
      </c>
    </row>
    <row r="80" ht="45.0" customHeight="1">
      <c r="A80" s="20" t="s">
        <v>392</v>
      </c>
      <c r="B80" s="21" t="str">
        <f>IMAGE("https://raw.githubusercontent.com/ltdimages/images/refs/heads/main/Food302.png")</f>
        <v/>
      </c>
      <c r="C80" s="22" t="s">
        <v>393</v>
      </c>
      <c r="D80" s="22" t="s">
        <v>43</v>
      </c>
      <c r="E80" s="22" t="s">
        <v>121</v>
      </c>
      <c r="F80" s="23" t="s">
        <v>167</v>
      </c>
      <c r="G80" s="23">
        <v>7.8</v>
      </c>
      <c r="H80" s="22" t="s">
        <v>49</v>
      </c>
      <c r="I80" s="22" t="s">
        <v>46</v>
      </c>
      <c r="J80" s="22" t="s">
        <v>45</v>
      </c>
      <c r="K80" s="22" t="s">
        <v>56</v>
      </c>
      <c r="L80" s="22" t="s">
        <v>57</v>
      </c>
      <c r="M80" s="22" t="s">
        <v>49</v>
      </c>
      <c r="N80" s="22" t="s">
        <v>45</v>
      </c>
      <c r="O80" s="22" t="s">
        <v>49</v>
      </c>
      <c r="P80" s="22" t="s">
        <v>45</v>
      </c>
      <c r="Q80" s="22" t="s">
        <v>394</v>
      </c>
      <c r="R80" s="22" t="s">
        <v>395</v>
      </c>
    </row>
    <row r="81" ht="45.0" customHeight="1">
      <c r="A81" s="20" t="s">
        <v>396</v>
      </c>
      <c r="B81" s="21" t="str">
        <f>IMAGE("https://raw.githubusercontent.com/ltdimages/images/refs/heads/main/Food101.png")</f>
        <v/>
      </c>
      <c r="C81" s="22" t="s">
        <v>397</v>
      </c>
      <c r="D81" s="22" t="s">
        <v>43</v>
      </c>
      <c r="E81" s="22"/>
      <c r="F81" s="23" t="s">
        <v>55</v>
      </c>
      <c r="G81" s="23">
        <v>2.8</v>
      </c>
      <c r="H81" s="22" t="s">
        <v>49</v>
      </c>
      <c r="I81" s="22" t="s">
        <v>46</v>
      </c>
      <c r="J81" s="22" t="s">
        <v>45</v>
      </c>
      <c r="K81" s="22" t="s">
        <v>56</v>
      </c>
      <c r="L81" s="22" t="s">
        <v>57</v>
      </c>
      <c r="M81" s="22" t="s">
        <v>49</v>
      </c>
      <c r="N81" s="22" t="s">
        <v>49</v>
      </c>
      <c r="O81" s="22" t="s">
        <v>49</v>
      </c>
      <c r="P81" s="22" t="s">
        <v>49</v>
      </c>
      <c r="Q81" s="22" t="s">
        <v>398</v>
      </c>
      <c r="R81" s="22" t="s">
        <v>399</v>
      </c>
    </row>
    <row r="82" ht="45.0" customHeight="1">
      <c r="A82" s="20" t="s">
        <v>400</v>
      </c>
      <c r="B82" s="21" t="str">
        <f>IMAGE("https://raw.githubusercontent.com/ltdimages/images/refs/heads/main/Food213.png")</f>
        <v/>
      </c>
      <c r="C82" s="22" t="s">
        <v>401</v>
      </c>
      <c r="D82" s="22" t="s">
        <v>43</v>
      </c>
      <c r="E82" s="22" t="s">
        <v>106</v>
      </c>
      <c r="F82" s="23"/>
      <c r="G82" s="23">
        <v>4.1</v>
      </c>
      <c r="H82" s="22" t="s">
        <v>49</v>
      </c>
      <c r="I82" s="22" t="s">
        <v>46</v>
      </c>
      <c r="J82" s="22" t="s">
        <v>45</v>
      </c>
      <c r="K82" s="22" t="s">
        <v>56</v>
      </c>
      <c r="L82" s="22" t="s">
        <v>57</v>
      </c>
      <c r="M82" s="22" t="s">
        <v>49</v>
      </c>
      <c r="N82" s="22" t="s">
        <v>49</v>
      </c>
      <c r="O82" s="22" t="s">
        <v>49</v>
      </c>
      <c r="P82" s="22" t="s">
        <v>49</v>
      </c>
      <c r="Q82" s="22" t="s">
        <v>402</v>
      </c>
      <c r="R82" s="22" t="s">
        <v>403</v>
      </c>
    </row>
    <row r="83" ht="45.0" customHeight="1">
      <c r="A83" s="20" t="s">
        <v>404</v>
      </c>
      <c r="B83" s="21" t="str">
        <f>IMAGE("https://raw.githubusercontent.com/ltdimages/images/refs/heads/main/Food104.png")</f>
        <v/>
      </c>
      <c r="C83" s="24" t="s">
        <v>405</v>
      </c>
      <c r="D83" s="24" t="s">
        <v>43</v>
      </c>
      <c r="E83" s="24" t="s">
        <v>406</v>
      </c>
      <c r="F83" s="25" t="s">
        <v>407</v>
      </c>
      <c r="G83" s="25">
        <v>3.8</v>
      </c>
      <c r="H83" s="24" t="s">
        <v>49</v>
      </c>
      <c r="I83" s="24" t="s">
        <v>46</v>
      </c>
      <c r="J83" s="24" t="s">
        <v>45</v>
      </c>
      <c r="K83" s="24" t="s">
        <v>86</v>
      </c>
      <c r="L83" s="24" t="s">
        <v>57</v>
      </c>
      <c r="M83" s="24" t="s">
        <v>49</v>
      </c>
      <c r="N83" s="24" t="s">
        <v>49</v>
      </c>
      <c r="O83" s="24" t="s">
        <v>49</v>
      </c>
      <c r="P83" s="24" t="s">
        <v>49</v>
      </c>
      <c r="Q83" s="24" t="s">
        <v>408</v>
      </c>
      <c r="R83" s="24" t="s">
        <v>409</v>
      </c>
    </row>
    <row r="84" ht="45.0" customHeight="1">
      <c r="A84" s="20" t="s">
        <v>410</v>
      </c>
      <c r="B84" s="21" t="str">
        <f>IMAGE("https://raw.githubusercontent.com/ltdimages/images/refs/heads/main/Food211.png")</f>
        <v/>
      </c>
      <c r="C84" s="22" t="s">
        <v>411</v>
      </c>
      <c r="D84" s="22" t="s">
        <v>43</v>
      </c>
      <c r="E84" s="22"/>
      <c r="F84" s="23"/>
      <c r="G84" s="23">
        <v>5.9</v>
      </c>
      <c r="H84" s="22" t="s">
        <v>49</v>
      </c>
      <c r="I84" s="22" t="s">
        <v>46</v>
      </c>
      <c r="J84" s="22" t="s">
        <v>45</v>
      </c>
      <c r="K84" s="22" t="s">
        <v>56</v>
      </c>
      <c r="L84" s="22" t="s">
        <v>172</v>
      </c>
      <c r="M84" s="22" t="s">
        <v>49</v>
      </c>
      <c r="N84" s="22" t="s">
        <v>49</v>
      </c>
      <c r="O84" s="22" t="s">
        <v>49</v>
      </c>
      <c r="P84" s="22" t="s">
        <v>49</v>
      </c>
      <c r="Q84" s="22" t="s">
        <v>412</v>
      </c>
      <c r="R84" s="22" t="s">
        <v>413</v>
      </c>
    </row>
    <row r="85" ht="45.0" customHeight="1">
      <c r="A85" s="20" t="s">
        <v>414</v>
      </c>
      <c r="B85" s="21" t="str">
        <f>IMAGE("https://raw.githubusercontent.com/ltdimages/images/refs/heads/main/Food030.png")</f>
        <v/>
      </c>
      <c r="C85" s="22" t="s">
        <v>415</v>
      </c>
      <c r="D85" s="22" t="s">
        <v>43</v>
      </c>
      <c r="E85" s="22" t="s">
        <v>62</v>
      </c>
      <c r="F85" s="23" t="s">
        <v>167</v>
      </c>
      <c r="G85" s="23">
        <v>4.5</v>
      </c>
      <c r="H85" s="22" t="s">
        <v>49</v>
      </c>
      <c r="I85" s="22" t="s">
        <v>46</v>
      </c>
      <c r="J85" s="22" t="s">
        <v>45</v>
      </c>
      <c r="K85" s="22" t="s">
        <v>56</v>
      </c>
      <c r="L85" s="22" t="s">
        <v>57</v>
      </c>
      <c r="M85" s="22" t="s">
        <v>49</v>
      </c>
      <c r="N85" s="22" t="s">
        <v>49</v>
      </c>
      <c r="O85" s="22" t="s">
        <v>49</v>
      </c>
      <c r="P85" s="22" t="s">
        <v>49</v>
      </c>
      <c r="Q85" s="22" t="s">
        <v>416</v>
      </c>
      <c r="R85" s="22" t="s">
        <v>417</v>
      </c>
    </row>
    <row r="86" ht="45.0" customHeight="1">
      <c r="A86" s="20" t="s">
        <v>418</v>
      </c>
      <c r="B86" s="21" t="str">
        <f>IMAGE("https://raw.githubusercontent.com/ltdimages/images/refs/heads/main/Food114.png")</f>
        <v/>
      </c>
      <c r="C86" s="22" t="s">
        <v>419</v>
      </c>
      <c r="D86" s="22" t="s">
        <v>43</v>
      </c>
      <c r="E86" s="22" t="s">
        <v>204</v>
      </c>
      <c r="F86" s="23"/>
      <c r="G86" s="23">
        <v>3.8</v>
      </c>
      <c r="H86" s="22" t="s">
        <v>49</v>
      </c>
      <c r="I86" s="22" t="s">
        <v>46</v>
      </c>
      <c r="J86" s="22" t="s">
        <v>45</v>
      </c>
      <c r="K86" s="22" t="s">
        <v>47</v>
      </c>
      <c r="L86" s="22" t="s">
        <v>57</v>
      </c>
      <c r="M86" s="22" t="s">
        <v>49</v>
      </c>
      <c r="N86" s="22" t="s">
        <v>49</v>
      </c>
      <c r="O86" s="22" t="s">
        <v>49</v>
      </c>
      <c r="P86" s="22" t="s">
        <v>49</v>
      </c>
      <c r="Q86" s="22" t="s">
        <v>420</v>
      </c>
      <c r="R86" s="22" t="s">
        <v>421</v>
      </c>
    </row>
    <row r="87" ht="45.0" customHeight="1">
      <c r="A87" s="20" t="s">
        <v>422</v>
      </c>
      <c r="B87" s="21" t="str">
        <f>IMAGE("https://raw.githubusercontent.com/ltdimages/images/refs/heads/main/Food082.png")</f>
        <v/>
      </c>
      <c r="C87" s="22" t="s">
        <v>423</v>
      </c>
      <c r="D87" s="22" t="s">
        <v>43</v>
      </c>
      <c r="E87" s="22" t="s">
        <v>126</v>
      </c>
      <c r="F87" s="23" t="s">
        <v>167</v>
      </c>
      <c r="G87" s="23">
        <v>4.8</v>
      </c>
      <c r="H87" s="22" t="s">
        <v>49</v>
      </c>
      <c r="I87" s="22" t="s">
        <v>46</v>
      </c>
      <c r="J87" s="22" t="s">
        <v>45</v>
      </c>
      <c r="K87" s="22" t="s">
        <v>86</v>
      </c>
      <c r="L87" s="22" t="s">
        <v>57</v>
      </c>
      <c r="M87" s="22" t="s">
        <v>49</v>
      </c>
      <c r="N87" s="22" t="s">
        <v>49</v>
      </c>
      <c r="O87" s="22" t="s">
        <v>49</v>
      </c>
      <c r="P87" s="22" t="s">
        <v>49</v>
      </c>
      <c r="Q87" s="22" t="s">
        <v>424</v>
      </c>
      <c r="R87" s="22" t="s">
        <v>425</v>
      </c>
    </row>
    <row r="88" ht="45.0" customHeight="1">
      <c r="A88" s="20" t="s">
        <v>426</v>
      </c>
      <c r="B88" s="21" t="str">
        <f>IMAGE("https://raw.githubusercontent.com/ltdimages/images/refs/heads/main/Food318.png")</f>
        <v/>
      </c>
      <c r="C88" s="22" t="s">
        <v>427</v>
      </c>
      <c r="D88" s="22" t="s">
        <v>43</v>
      </c>
      <c r="E88" s="22" t="s">
        <v>121</v>
      </c>
      <c r="F88" s="23" t="s">
        <v>167</v>
      </c>
      <c r="G88" s="23">
        <v>4.0</v>
      </c>
      <c r="H88" s="22" t="s">
        <v>49</v>
      </c>
      <c r="I88" s="22" t="s">
        <v>46</v>
      </c>
      <c r="J88" s="22" t="s">
        <v>45</v>
      </c>
      <c r="K88" s="22" t="s">
        <v>56</v>
      </c>
      <c r="L88" s="22" t="s">
        <v>57</v>
      </c>
      <c r="M88" s="22" t="s">
        <v>45</v>
      </c>
      <c r="N88" s="22" t="s">
        <v>45</v>
      </c>
      <c r="O88" s="22" t="s">
        <v>49</v>
      </c>
      <c r="P88" s="22" t="s">
        <v>45</v>
      </c>
      <c r="Q88" s="22" t="s">
        <v>428</v>
      </c>
      <c r="R88" s="22" t="s">
        <v>429</v>
      </c>
    </row>
    <row r="89" ht="45.0" customHeight="1">
      <c r="A89" s="20" t="s">
        <v>430</v>
      </c>
      <c r="B89" s="21" t="str">
        <f>IMAGE("https://raw.githubusercontent.com/ltdimages/images/refs/heads/main/Food011.png")</f>
        <v/>
      </c>
      <c r="C89" s="22" t="s">
        <v>431</v>
      </c>
      <c r="D89" s="22" t="s">
        <v>43</v>
      </c>
      <c r="E89" s="22" t="s">
        <v>121</v>
      </c>
      <c r="F89" s="23" t="s">
        <v>167</v>
      </c>
      <c r="G89" s="23">
        <v>3.7</v>
      </c>
      <c r="H89" s="22" t="s">
        <v>45</v>
      </c>
      <c r="I89" s="22" t="s">
        <v>46</v>
      </c>
      <c r="J89" s="22" t="s">
        <v>45</v>
      </c>
      <c r="K89" s="22" t="s">
        <v>56</v>
      </c>
      <c r="L89" s="22" t="s">
        <v>57</v>
      </c>
      <c r="M89" s="22" t="s">
        <v>49</v>
      </c>
      <c r="N89" s="22" t="s">
        <v>49</v>
      </c>
      <c r="O89" s="22" t="s">
        <v>49</v>
      </c>
      <c r="P89" s="22" t="s">
        <v>49</v>
      </c>
      <c r="Q89" s="22" t="s">
        <v>432</v>
      </c>
      <c r="R89" s="22" t="s">
        <v>433</v>
      </c>
    </row>
    <row r="90" ht="45.0" customHeight="1">
      <c r="A90" s="20" t="s">
        <v>434</v>
      </c>
      <c r="B90" s="21" t="str">
        <f>IMAGE("https://raw.githubusercontent.com/ltdimages/images/refs/heads/main/Food095.png")</f>
        <v/>
      </c>
      <c r="C90" s="22" t="s">
        <v>435</v>
      </c>
      <c r="D90" s="22" t="s">
        <v>43</v>
      </c>
      <c r="E90" s="22"/>
      <c r="F90" s="23" t="s">
        <v>167</v>
      </c>
      <c r="G90" s="23">
        <v>6.3</v>
      </c>
      <c r="H90" s="22" t="s">
        <v>49</v>
      </c>
      <c r="I90" s="22" t="s">
        <v>46</v>
      </c>
      <c r="J90" s="22" t="s">
        <v>45</v>
      </c>
      <c r="K90" s="22" t="s">
        <v>56</v>
      </c>
      <c r="L90" s="22" t="s">
        <v>57</v>
      </c>
      <c r="M90" s="22" t="s">
        <v>49</v>
      </c>
      <c r="N90" s="22" t="s">
        <v>49</v>
      </c>
      <c r="O90" s="22" t="s">
        <v>49</v>
      </c>
      <c r="P90" s="22" t="s">
        <v>49</v>
      </c>
      <c r="Q90" s="22" t="s">
        <v>436</v>
      </c>
      <c r="R90" s="22" t="s">
        <v>437</v>
      </c>
    </row>
    <row r="91" ht="45.0" customHeight="1">
      <c r="A91" s="20" t="s">
        <v>438</v>
      </c>
      <c r="B91" s="21" t="str">
        <f>IMAGE("https://raw.githubusercontent.com/ltdimages/images/refs/heads/main/Food375.png")</f>
        <v/>
      </c>
      <c r="C91" s="22" t="s">
        <v>439</v>
      </c>
      <c r="D91" s="22" t="s">
        <v>43</v>
      </c>
      <c r="E91" s="22"/>
      <c r="F91" s="23" t="s">
        <v>167</v>
      </c>
      <c r="G91" s="23">
        <v>2.5</v>
      </c>
      <c r="H91" s="22" t="s">
        <v>49</v>
      </c>
      <c r="I91" s="22" t="s">
        <v>46</v>
      </c>
      <c r="J91" s="22" t="s">
        <v>45</v>
      </c>
      <c r="K91" s="22" t="s">
        <v>56</v>
      </c>
      <c r="L91" s="22" t="s">
        <v>57</v>
      </c>
      <c r="M91" s="22" t="s">
        <v>45</v>
      </c>
      <c r="N91" s="22" t="s">
        <v>49</v>
      </c>
      <c r="O91" s="22" t="s">
        <v>45</v>
      </c>
      <c r="P91" s="22" t="s">
        <v>49</v>
      </c>
      <c r="Q91" s="22" t="s">
        <v>440</v>
      </c>
      <c r="R91" s="22" t="s">
        <v>441</v>
      </c>
    </row>
    <row r="92" ht="45.0" customHeight="1">
      <c r="A92" s="20" t="s">
        <v>442</v>
      </c>
      <c r="B92" s="21" t="str">
        <f>IMAGE("https://raw.githubusercontent.com/ltdimages/images/refs/heads/main/Food266.png")</f>
        <v/>
      </c>
      <c r="C92" s="22" t="s">
        <v>443</v>
      </c>
      <c r="D92" s="22" t="s">
        <v>43</v>
      </c>
      <c r="E92" s="22"/>
      <c r="F92" s="23"/>
      <c r="G92" s="23">
        <v>2.5</v>
      </c>
      <c r="H92" s="22" t="s">
        <v>49</v>
      </c>
      <c r="I92" s="22" t="s">
        <v>46</v>
      </c>
      <c r="J92" s="22" t="s">
        <v>45</v>
      </c>
      <c r="K92" s="22" t="s">
        <v>86</v>
      </c>
      <c r="L92" s="22" t="s">
        <v>172</v>
      </c>
      <c r="M92" s="22" t="s">
        <v>49</v>
      </c>
      <c r="N92" s="22" t="s">
        <v>49</v>
      </c>
      <c r="O92" s="22" t="s">
        <v>49</v>
      </c>
      <c r="P92" s="22" t="s">
        <v>45</v>
      </c>
      <c r="Q92" s="22" t="s">
        <v>444</v>
      </c>
      <c r="R92" s="22" t="s">
        <v>445</v>
      </c>
    </row>
    <row r="93" ht="45.0" customHeight="1">
      <c r="A93" s="20" t="s">
        <v>446</v>
      </c>
      <c r="B93" s="21" t="str">
        <f>IMAGE("https://raw.githubusercontent.com/ltdimages/images/refs/heads/main/Food204.png")</f>
        <v/>
      </c>
      <c r="C93" s="22" t="s">
        <v>447</v>
      </c>
      <c r="D93" s="22" t="s">
        <v>43</v>
      </c>
      <c r="E93" s="22" t="s">
        <v>121</v>
      </c>
      <c r="F93" s="23" t="s">
        <v>111</v>
      </c>
      <c r="G93" s="23">
        <v>29.0</v>
      </c>
      <c r="H93" s="22" t="s">
        <v>49</v>
      </c>
      <c r="I93" s="22" t="s">
        <v>46</v>
      </c>
      <c r="J93" s="22" t="s">
        <v>45</v>
      </c>
      <c r="K93" s="22" t="s">
        <v>56</v>
      </c>
      <c r="L93" s="22" t="s">
        <v>48</v>
      </c>
      <c r="M93" s="22" t="s">
        <v>45</v>
      </c>
      <c r="N93" s="22" t="s">
        <v>49</v>
      </c>
      <c r="O93" s="22" t="s">
        <v>45</v>
      </c>
      <c r="P93" s="22" t="s">
        <v>49</v>
      </c>
      <c r="Q93" s="22" t="s">
        <v>448</v>
      </c>
      <c r="R93" s="22" t="s">
        <v>449</v>
      </c>
    </row>
    <row r="94" ht="45.0" customHeight="1">
      <c r="A94" s="20" t="s">
        <v>450</v>
      </c>
      <c r="B94" s="21" t="str">
        <f>IMAGE("https://raw.githubusercontent.com/ltdimages/images/refs/heads/main/Food217.png")</f>
        <v/>
      </c>
      <c r="C94" s="22" t="s">
        <v>451</v>
      </c>
      <c r="D94" s="22" t="s">
        <v>43</v>
      </c>
      <c r="E94" s="22" t="s">
        <v>106</v>
      </c>
      <c r="F94" s="23"/>
      <c r="G94" s="23">
        <v>4.0</v>
      </c>
      <c r="H94" s="22" t="s">
        <v>49</v>
      </c>
      <c r="I94" s="22" t="s">
        <v>46</v>
      </c>
      <c r="J94" s="22" t="s">
        <v>45</v>
      </c>
      <c r="K94" s="22" t="s">
        <v>47</v>
      </c>
      <c r="L94" s="22" t="s">
        <v>48</v>
      </c>
      <c r="M94" s="22" t="s">
        <v>45</v>
      </c>
      <c r="N94" s="22" t="s">
        <v>45</v>
      </c>
      <c r="O94" s="22" t="s">
        <v>45</v>
      </c>
      <c r="P94" s="22" t="s">
        <v>364</v>
      </c>
      <c r="Q94" s="22" t="s">
        <v>452</v>
      </c>
      <c r="R94" s="22" t="s">
        <v>453</v>
      </c>
    </row>
    <row r="95" ht="45.0" customHeight="1">
      <c r="A95" s="20" t="s">
        <v>454</v>
      </c>
      <c r="B95" s="21" t="str">
        <f>IMAGE("https://raw.githubusercontent.com/ltdimages/images/refs/heads/main/Food430.png")</f>
        <v/>
      </c>
      <c r="C95" s="22" t="s">
        <v>455</v>
      </c>
      <c r="D95" s="22" t="s">
        <v>43</v>
      </c>
      <c r="E95" s="22" t="s">
        <v>62</v>
      </c>
      <c r="F95" s="23" t="s">
        <v>456</v>
      </c>
      <c r="G95" s="23">
        <v>22.0</v>
      </c>
      <c r="H95" s="22" t="s">
        <v>49</v>
      </c>
      <c r="I95" s="22" t="s">
        <v>46</v>
      </c>
      <c r="J95" s="22" t="s">
        <v>45</v>
      </c>
      <c r="K95" s="22" t="s">
        <v>86</v>
      </c>
      <c r="L95" s="22" t="s">
        <v>57</v>
      </c>
      <c r="M95" s="22" t="s">
        <v>45</v>
      </c>
      <c r="N95" s="22" t="s">
        <v>49</v>
      </c>
      <c r="O95" s="22" t="s">
        <v>45</v>
      </c>
      <c r="P95" s="22" t="s">
        <v>45</v>
      </c>
      <c r="Q95" s="22" t="s">
        <v>457</v>
      </c>
      <c r="R95" s="22" t="s">
        <v>458</v>
      </c>
    </row>
    <row r="96" ht="45.0" customHeight="1">
      <c r="A96" s="20" t="s">
        <v>459</v>
      </c>
      <c r="B96" s="21" t="str">
        <f>IMAGE("https://raw.githubusercontent.com/ltdimages/images/refs/heads/main/Food412.png")</f>
        <v/>
      </c>
      <c r="C96" s="22" t="s">
        <v>460</v>
      </c>
      <c r="D96" s="22" t="s">
        <v>43</v>
      </c>
      <c r="E96" s="22" t="s">
        <v>121</v>
      </c>
      <c r="F96" s="23" t="s">
        <v>456</v>
      </c>
      <c r="G96" s="23">
        <v>19.0</v>
      </c>
      <c r="H96" s="22" t="s">
        <v>49</v>
      </c>
      <c r="I96" s="22" t="s">
        <v>46</v>
      </c>
      <c r="J96" s="22" t="s">
        <v>45</v>
      </c>
      <c r="K96" s="22" t="s">
        <v>56</v>
      </c>
      <c r="L96" s="22" t="s">
        <v>48</v>
      </c>
      <c r="M96" s="22" t="s">
        <v>45</v>
      </c>
      <c r="N96" s="22" t="s">
        <v>49</v>
      </c>
      <c r="O96" s="22" t="s">
        <v>45</v>
      </c>
      <c r="P96" s="22" t="s">
        <v>45</v>
      </c>
      <c r="Q96" s="22" t="s">
        <v>461</v>
      </c>
      <c r="R96" s="22" t="s">
        <v>462</v>
      </c>
    </row>
    <row r="97" ht="45.0" customHeight="1">
      <c r="A97" s="20" t="s">
        <v>463</v>
      </c>
      <c r="B97" s="21" t="str">
        <f>IMAGE("https://raw.githubusercontent.com/ltdimages/images/refs/heads/main/Food225.png")</f>
        <v/>
      </c>
      <c r="C97" s="22" t="s">
        <v>464</v>
      </c>
      <c r="D97" s="22" t="s">
        <v>43</v>
      </c>
      <c r="E97" s="22" t="s">
        <v>106</v>
      </c>
      <c r="F97" s="23"/>
      <c r="G97" s="23">
        <v>1.1</v>
      </c>
      <c r="H97" s="22" t="s">
        <v>45</v>
      </c>
      <c r="I97" s="22" t="s">
        <v>46</v>
      </c>
      <c r="J97" s="22" t="s">
        <v>45</v>
      </c>
      <c r="K97" s="22" t="s">
        <v>47</v>
      </c>
      <c r="L97" s="22" t="s">
        <v>48</v>
      </c>
      <c r="M97" s="22" t="s">
        <v>49</v>
      </c>
      <c r="N97" s="22" t="s">
        <v>49</v>
      </c>
      <c r="O97" s="22" t="s">
        <v>49</v>
      </c>
      <c r="P97" s="22" t="s">
        <v>49</v>
      </c>
      <c r="Q97" s="22" t="s">
        <v>465</v>
      </c>
      <c r="R97" s="22" t="s">
        <v>466</v>
      </c>
    </row>
    <row r="98" ht="45.0" customHeight="1">
      <c r="A98" s="20" t="s">
        <v>467</v>
      </c>
      <c r="B98" s="21" t="str">
        <f>IMAGE("https://raw.githubusercontent.com/ltdimages/images/refs/heads/main/Food334.png")</f>
        <v/>
      </c>
      <c r="C98" s="22" t="s">
        <v>468</v>
      </c>
      <c r="D98" s="22" t="s">
        <v>43</v>
      </c>
      <c r="E98" s="22" t="s">
        <v>106</v>
      </c>
      <c r="F98" s="23"/>
      <c r="G98" s="23">
        <v>4.9</v>
      </c>
      <c r="H98" s="22" t="s">
        <v>49</v>
      </c>
      <c r="I98" s="22" t="s">
        <v>46</v>
      </c>
      <c r="J98" s="22" t="s">
        <v>45</v>
      </c>
      <c r="K98" s="22" t="s">
        <v>56</v>
      </c>
      <c r="L98" s="22" t="s">
        <v>172</v>
      </c>
      <c r="M98" s="22" t="s">
        <v>49</v>
      </c>
      <c r="N98" s="22" t="s">
        <v>45</v>
      </c>
      <c r="O98" s="22" t="s">
        <v>49</v>
      </c>
      <c r="P98" s="22" t="s">
        <v>45</v>
      </c>
      <c r="Q98" s="22" t="s">
        <v>469</v>
      </c>
      <c r="R98" s="22" t="s">
        <v>470</v>
      </c>
    </row>
    <row r="99" ht="45.0" customHeight="1">
      <c r="A99" s="20" t="s">
        <v>471</v>
      </c>
      <c r="B99" s="21" t="str">
        <f>IMAGE("https://raw.githubusercontent.com/ltdimages/images/refs/heads/main/Food388.png")</f>
        <v/>
      </c>
      <c r="C99" s="22" t="s">
        <v>472</v>
      </c>
      <c r="D99" s="22" t="s">
        <v>43</v>
      </c>
      <c r="E99" s="22"/>
      <c r="F99" s="23" t="s">
        <v>55</v>
      </c>
      <c r="G99" s="23">
        <v>2.0</v>
      </c>
      <c r="H99" s="22" t="s">
        <v>49</v>
      </c>
      <c r="I99" s="22" t="s">
        <v>46</v>
      </c>
      <c r="J99" s="22" t="s">
        <v>45</v>
      </c>
      <c r="K99" s="22" t="s">
        <v>47</v>
      </c>
      <c r="L99" s="22" t="s">
        <v>48</v>
      </c>
      <c r="M99" s="22" t="s">
        <v>49</v>
      </c>
      <c r="N99" s="22" t="s">
        <v>49</v>
      </c>
      <c r="O99" s="22" t="s">
        <v>45</v>
      </c>
      <c r="P99" s="22" t="s">
        <v>49</v>
      </c>
      <c r="Q99" s="22" t="s">
        <v>473</v>
      </c>
      <c r="R99" s="22" t="s">
        <v>474</v>
      </c>
    </row>
    <row r="100" ht="45.0" customHeight="1">
      <c r="A100" s="20" t="s">
        <v>475</v>
      </c>
      <c r="B100" s="21" t="str">
        <f>IMAGE("https://raw.githubusercontent.com/ltdimages/images/refs/heads/main/Food384.png")</f>
        <v/>
      </c>
      <c r="C100" s="22" t="s">
        <v>476</v>
      </c>
      <c r="D100" s="22" t="s">
        <v>43</v>
      </c>
      <c r="E100" s="22" t="s">
        <v>106</v>
      </c>
      <c r="F100" s="23"/>
      <c r="G100" s="23">
        <v>50.0</v>
      </c>
      <c r="H100" s="22" t="s">
        <v>45</v>
      </c>
      <c r="I100" s="22" t="s">
        <v>46</v>
      </c>
      <c r="J100" s="22" t="s">
        <v>45</v>
      </c>
      <c r="K100" s="22" t="s">
        <v>47</v>
      </c>
      <c r="L100" s="22" t="s">
        <v>48</v>
      </c>
      <c r="M100" s="22" t="s">
        <v>45</v>
      </c>
      <c r="N100" s="22" t="s">
        <v>49</v>
      </c>
      <c r="O100" s="22" t="s">
        <v>45</v>
      </c>
      <c r="P100" s="22" t="s">
        <v>45</v>
      </c>
      <c r="Q100" s="22" t="s">
        <v>477</v>
      </c>
      <c r="R100" s="22" t="s">
        <v>478</v>
      </c>
    </row>
    <row r="101" ht="45.0" customHeight="1">
      <c r="A101" s="20" t="s">
        <v>479</v>
      </c>
      <c r="B101" s="21" t="str">
        <f>IMAGE("https://raw.githubusercontent.com/ltdimages/images/refs/heads/main/Food343.png")</f>
        <v/>
      </c>
      <c r="C101" s="22" t="s">
        <v>480</v>
      </c>
      <c r="D101" s="22" t="s">
        <v>43</v>
      </c>
      <c r="E101" s="22" t="s">
        <v>177</v>
      </c>
      <c r="F101" s="23"/>
      <c r="G101" s="23">
        <v>5.6</v>
      </c>
      <c r="H101" s="22" t="s">
        <v>49</v>
      </c>
      <c r="I101" s="22" t="s">
        <v>46</v>
      </c>
      <c r="J101" s="22" t="s">
        <v>45</v>
      </c>
      <c r="K101" s="22" t="s">
        <v>47</v>
      </c>
      <c r="L101" s="22" t="s">
        <v>57</v>
      </c>
      <c r="M101" s="22" t="s">
        <v>49</v>
      </c>
      <c r="N101" s="22" t="s">
        <v>45</v>
      </c>
      <c r="O101" s="22" t="s">
        <v>49</v>
      </c>
      <c r="P101" s="22" t="s">
        <v>45</v>
      </c>
      <c r="Q101" s="22" t="s">
        <v>481</v>
      </c>
      <c r="R101" s="22" t="s">
        <v>482</v>
      </c>
    </row>
    <row r="102" ht="45.0" customHeight="1">
      <c r="A102" s="20" t="s">
        <v>483</v>
      </c>
      <c r="B102" s="21" t="str">
        <f>IMAGE("https://raw.githubusercontent.com/ltdimages/images/refs/heads/main/Food405.png")</f>
        <v/>
      </c>
      <c r="C102" s="22" t="s">
        <v>484</v>
      </c>
      <c r="D102" s="22" t="s">
        <v>43</v>
      </c>
      <c r="E102" s="22"/>
      <c r="F102" s="23" t="s">
        <v>485</v>
      </c>
      <c r="G102" s="23">
        <v>1.5</v>
      </c>
      <c r="H102" s="22" t="s">
        <v>49</v>
      </c>
      <c r="I102" s="22" t="s">
        <v>46</v>
      </c>
      <c r="J102" s="22" t="s">
        <v>45</v>
      </c>
      <c r="K102" s="22" t="s">
        <v>47</v>
      </c>
      <c r="L102" s="22" t="s">
        <v>48</v>
      </c>
      <c r="M102" s="22" t="s">
        <v>45</v>
      </c>
      <c r="N102" s="22" t="s">
        <v>49</v>
      </c>
      <c r="O102" s="22" t="s">
        <v>45</v>
      </c>
      <c r="P102" s="22" t="s">
        <v>45</v>
      </c>
      <c r="Q102" s="22" t="s">
        <v>486</v>
      </c>
      <c r="R102" s="22" t="s">
        <v>487</v>
      </c>
    </row>
    <row r="103" ht="45.0" customHeight="1">
      <c r="A103" s="20" t="s">
        <v>488</v>
      </c>
      <c r="B103" s="21" t="str">
        <f>IMAGE("https://raw.githubusercontent.com/ltdimages/images/refs/heads/main/Food362.png")</f>
        <v/>
      </c>
      <c r="C103" s="22" t="s">
        <v>489</v>
      </c>
      <c r="D103" s="22" t="s">
        <v>43</v>
      </c>
      <c r="E103" s="22" t="s">
        <v>106</v>
      </c>
      <c r="F103" s="23"/>
      <c r="G103" s="23">
        <v>1.5</v>
      </c>
      <c r="H103" s="22" t="s">
        <v>49</v>
      </c>
      <c r="I103" s="22" t="s">
        <v>46</v>
      </c>
      <c r="J103" s="22" t="s">
        <v>45</v>
      </c>
      <c r="K103" s="22" t="s">
        <v>56</v>
      </c>
      <c r="L103" s="22" t="s">
        <v>48</v>
      </c>
      <c r="M103" s="22" t="s">
        <v>45</v>
      </c>
      <c r="N103" s="22" t="s">
        <v>49</v>
      </c>
      <c r="O103" s="22" t="s">
        <v>49</v>
      </c>
      <c r="P103" s="22" t="s">
        <v>49</v>
      </c>
      <c r="Q103" s="22" t="s">
        <v>490</v>
      </c>
      <c r="R103" s="22" t="s">
        <v>491</v>
      </c>
    </row>
    <row r="104" ht="45.0" customHeight="1">
      <c r="A104" s="20" t="s">
        <v>492</v>
      </c>
      <c r="B104" s="21" t="str">
        <f>IMAGE("https://raw.githubusercontent.com/ltdimages/images/refs/heads/main/Food043.png")</f>
        <v/>
      </c>
      <c r="C104" s="22" t="s">
        <v>493</v>
      </c>
      <c r="D104" s="22" t="s">
        <v>43</v>
      </c>
      <c r="E104" s="22"/>
      <c r="F104" s="23" t="s">
        <v>167</v>
      </c>
      <c r="G104" s="23">
        <v>9.8</v>
      </c>
      <c r="H104" s="22" t="s">
        <v>49</v>
      </c>
      <c r="I104" s="22" t="s">
        <v>46</v>
      </c>
      <c r="J104" s="22" t="s">
        <v>45</v>
      </c>
      <c r="K104" s="22" t="s">
        <v>86</v>
      </c>
      <c r="L104" s="22" t="s">
        <v>57</v>
      </c>
      <c r="M104" s="22" t="s">
        <v>49</v>
      </c>
      <c r="N104" s="22" t="s">
        <v>49</v>
      </c>
      <c r="O104" s="22" t="s">
        <v>49</v>
      </c>
      <c r="P104" s="22" t="s">
        <v>49</v>
      </c>
      <c r="Q104" s="22" t="s">
        <v>494</v>
      </c>
      <c r="R104" s="22" t="s">
        <v>495</v>
      </c>
    </row>
    <row r="105" ht="45.0" customHeight="1">
      <c r="A105" s="20" t="s">
        <v>496</v>
      </c>
      <c r="B105" s="21" t="str">
        <f>IMAGE("https://raw.githubusercontent.com/ltdimages/images/refs/heads/main/Food344.png")</f>
        <v/>
      </c>
      <c r="C105" s="22" t="s">
        <v>497</v>
      </c>
      <c r="D105" s="22" t="s">
        <v>43</v>
      </c>
      <c r="E105" s="22" t="s">
        <v>106</v>
      </c>
      <c r="F105" s="23" t="s">
        <v>111</v>
      </c>
      <c r="G105" s="23">
        <v>6.8</v>
      </c>
      <c r="H105" s="22" t="s">
        <v>49</v>
      </c>
      <c r="I105" s="22" t="s">
        <v>46</v>
      </c>
      <c r="J105" s="22" t="s">
        <v>45</v>
      </c>
      <c r="K105" s="22" t="s">
        <v>56</v>
      </c>
      <c r="L105" s="22" t="s">
        <v>172</v>
      </c>
      <c r="M105" s="22" t="s">
        <v>49</v>
      </c>
      <c r="N105" s="22" t="s">
        <v>45</v>
      </c>
      <c r="O105" s="22" t="s">
        <v>49</v>
      </c>
      <c r="P105" s="22" t="s">
        <v>45</v>
      </c>
      <c r="Q105" s="22" t="s">
        <v>498</v>
      </c>
      <c r="R105" s="22" t="s">
        <v>499</v>
      </c>
    </row>
    <row r="106" ht="45.0" customHeight="1">
      <c r="A106" s="20" t="s">
        <v>500</v>
      </c>
      <c r="B106" s="21" t="str">
        <f>IMAGE("https://raw.githubusercontent.com/ltdimages/images/refs/heads/main/Food439.png")</f>
        <v/>
      </c>
      <c r="C106" s="22" t="s">
        <v>501</v>
      </c>
      <c r="D106" s="22" t="s">
        <v>43</v>
      </c>
      <c r="E106" s="22"/>
      <c r="F106" s="23" t="s">
        <v>101</v>
      </c>
      <c r="G106" s="23">
        <v>9.5</v>
      </c>
      <c r="H106" s="22" t="s">
        <v>49</v>
      </c>
      <c r="I106" s="22" t="s">
        <v>46</v>
      </c>
      <c r="J106" s="22" t="s">
        <v>45</v>
      </c>
      <c r="K106" s="22" t="s">
        <v>56</v>
      </c>
      <c r="L106" s="22" t="s">
        <v>57</v>
      </c>
      <c r="M106" s="22" t="s">
        <v>49</v>
      </c>
      <c r="N106" s="22" t="s">
        <v>49</v>
      </c>
      <c r="O106" s="22" t="s">
        <v>49</v>
      </c>
      <c r="P106" s="22" t="s">
        <v>49</v>
      </c>
      <c r="Q106" s="22" t="s">
        <v>502</v>
      </c>
      <c r="R106" s="22" t="s">
        <v>503</v>
      </c>
    </row>
    <row r="107" ht="45.0" customHeight="1">
      <c r="A107" s="20" t="s">
        <v>504</v>
      </c>
      <c r="B107" s="21" t="str">
        <f>IMAGE("https://raw.githubusercontent.com/ltdimages/images/refs/heads/main/Food195.png")</f>
        <v/>
      </c>
      <c r="C107" s="22" t="s">
        <v>505</v>
      </c>
      <c r="D107" s="22" t="s">
        <v>43</v>
      </c>
      <c r="E107" s="22" t="s">
        <v>106</v>
      </c>
      <c r="F107" s="23"/>
      <c r="G107" s="23">
        <v>1.1</v>
      </c>
      <c r="H107" s="22" t="s">
        <v>45</v>
      </c>
      <c r="I107" s="22" t="s">
        <v>46</v>
      </c>
      <c r="J107" s="22" t="s">
        <v>45</v>
      </c>
      <c r="K107" s="22" t="s">
        <v>47</v>
      </c>
      <c r="L107" s="22" t="s">
        <v>48</v>
      </c>
      <c r="M107" s="22" t="s">
        <v>49</v>
      </c>
      <c r="N107" s="22" t="s">
        <v>49</v>
      </c>
      <c r="O107" s="22" t="s">
        <v>49</v>
      </c>
      <c r="P107" s="22" t="s">
        <v>49</v>
      </c>
      <c r="Q107" s="22" t="s">
        <v>506</v>
      </c>
      <c r="R107" s="22" t="s">
        <v>507</v>
      </c>
    </row>
    <row r="108" ht="45.0" customHeight="1">
      <c r="A108" s="20" t="s">
        <v>508</v>
      </c>
      <c r="B108" s="21" t="str">
        <f>IMAGE("https://raw.githubusercontent.com/ltdimages/images/refs/heads/main/Food282.png")</f>
        <v/>
      </c>
      <c r="C108" s="22" t="s">
        <v>509</v>
      </c>
      <c r="D108" s="22" t="s">
        <v>43</v>
      </c>
      <c r="E108" s="22" t="s">
        <v>67</v>
      </c>
      <c r="F108" s="23" t="s">
        <v>167</v>
      </c>
      <c r="G108" s="23">
        <v>2.0</v>
      </c>
      <c r="H108" s="22" t="s">
        <v>45</v>
      </c>
      <c r="I108" s="22" t="s">
        <v>46</v>
      </c>
      <c r="J108" s="22" t="s">
        <v>45</v>
      </c>
      <c r="K108" s="22" t="s">
        <v>56</v>
      </c>
      <c r="L108" s="22" t="s">
        <v>57</v>
      </c>
      <c r="M108" s="22" t="s">
        <v>49</v>
      </c>
      <c r="N108" s="22" t="s">
        <v>45</v>
      </c>
      <c r="O108" s="22" t="s">
        <v>49</v>
      </c>
      <c r="P108" s="22" t="s">
        <v>45</v>
      </c>
      <c r="Q108" s="22" t="s">
        <v>510</v>
      </c>
      <c r="R108" s="22" t="s">
        <v>511</v>
      </c>
    </row>
    <row r="109" ht="45.0" customHeight="1">
      <c r="A109" s="20" t="s">
        <v>512</v>
      </c>
      <c r="B109" s="21" t="str">
        <f>IMAGE("https://raw.githubusercontent.com/ltdimages/images/refs/heads/main/Food398.png")</f>
        <v/>
      </c>
      <c r="C109" s="22" t="s">
        <v>513</v>
      </c>
      <c r="D109" s="22" t="s">
        <v>43</v>
      </c>
      <c r="E109" s="22" t="s">
        <v>121</v>
      </c>
      <c r="F109" s="23" t="s">
        <v>111</v>
      </c>
      <c r="G109" s="23">
        <v>4.0</v>
      </c>
      <c r="H109" s="22" t="s">
        <v>49</v>
      </c>
      <c r="I109" s="22" t="s">
        <v>46</v>
      </c>
      <c r="J109" s="22" t="s">
        <v>45</v>
      </c>
      <c r="K109" s="22" t="s">
        <v>47</v>
      </c>
      <c r="L109" s="22" t="s">
        <v>57</v>
      </c>
      <c r="M109" s="22" t="s">
        <v>45</v>
      </c>
      <c r="N109" s="22" t="s">
        <v>49</v>
      </c>
      <c r="O109" s="22" t="s">
        <v>45</v>
      </c>
      <c r="P109" s="22" t="s">
        <v>45</v>
      </c>
      <c r="Q109" s="22" t="s">
        <v>514</v>
      </c>
      <c r="R109" s="22" t="s">
        <v>515</v>
      </c>
    </row>
    <row r="110" ht="45.0" customHeight="1">
      <c r="A110" s="20" t="s">
        <v>516</v>
      </c>
      <c r="B110" s="21" t="str">
        <f>IMAGE("https://raw.githubusercontent.com/ltdimages/images/refs/heads/main/Food007.png")</f>
        <v/>
      </c>
      <c r="C110" s="22" t="s">
        <v>517</v>
      </c>
      <c r="D110" s="22" t="s">
        <v>43</v>
      </c>
      <c r="E110" s="22" t="s">
        <v>518</v>
      </c>
      <c r="F110" s="23"/>
      <c r="G110" s="23">
        <v>28.0</v>
      </c>
      <c r="H110" s="22" t="s">
        <v>49</v>
      </c>
      <c r="I110" s="22" t="s">
        <v>46</v>
      </c>
      <c r="J110" s="22" t="s">
        <v>45</v>
      </c>
      <c r="K110" s="22" t="s">
        <v>86</v>
      </c>
      <c r="L110" s="22" t="s">
        <v>57</v>
      </c>
      <c r="M110" s="22" t="s">
        <v>45</v>
      </c>
      <c r="N110" s="22" t="s">
        <v>49</v>
      </c>
      <c r="O110" s="22" t="s">
        <v>45</v>
      </c>
      <c r="P110" s="22" t="s">
        <v>49</v>
      </c>
      <c r="Q110" s="22" t="s">
        <v>519</v>
      </c>
      <c r="R110" s="22" t="s">
        <v>520</v>
      </c>
    </row>
    <row r="111" ht="45.0" customHeight="1">
      <c r="A111" s="20" t="s">
        <v>521</v>
      </c>
      <c r="B111" s="21" t="str">
        <f>IMAGE("https://raw.githubusercontent.com/ltdimages/images/refs/heads/main/Food060.png")</f>
        <v/>
      </c>
      <c r="C111" s="22" t="s">
        <v>522</v>
      </c>
      <c r="D111" s="22" t="s">
        <v>43</v>
      </c>
      <c r="E111" s="22" t="s">
        <v>121</v>
      </c>
      <c r="F111" s="23" t="s">
        <v>111</v>
      </c>
      <c r="G111" s="23">
        <v>4.8</v>
      </c>
      <c r="H111" s="22" t="s">
        <v>49</v>
      </c>
      <c r="I111" s="22" t="s">
        <v>46</v>
      </c>
      <c r="J111" s="22" t="s">
        <v>45</v>
      </c>
      <c r="K111" s="22" t="s">
        <v>56</v>
      </c>
      <c r="L111" s="22" t="s">
        <v>57</v>
      </c>
      <c r="M111" s="22" t="s">
        <v>49</v>
      </c>
      <c r="N111" s="22" t="s">
        <v>49</v>
      </c>
      <c r="O111" s="22" t="s">
        <v>49</v>
      </c>
      <c r="P111" s="22" t="s">
        <v>49</v>
      </c>
      <c r="Q111" s="22" t="s">
        <v>523</v>
      </c>
      <c r="R111" s="22" t="s">
        <v>524</v>
      </c>
    </row>
    <row r="112" ht="45.0" customHeight="1">
      <c r="A112" s="20" t="s">
        <v>525</v>
      </c>
      <c r="B112" s="21" t="str">
        <f>IMAGE("https://raw.githubusercontent.com/ltdimages/images/refs/heads/main/Food003.png")</f>
        <v/>
      </c>
      <c r="C112" s="22" t="s">
        <v>526</v>
      </c>
      <c r="D112" s="22" t="s">
        <v>43</v>
      </c>
      <c r="E112" s="22" t="s">
        <v>121</v>
      </c>
      <c r="F112" s="23" t="s">
        <v>111</v>
      </c>
      <c r="G112" s="23">
        <v>4.5</v>
      </c>
      <c r="H112" s="22" t="s">
        <v>45</v>
      </c>
      <c r="I112" s="22" t="s">
        <v>46</v>
      </c>
      <c r="J112" s="22" t="s">
        <v>45</v>
      </c>
      <c r="K112" s="22" t="s">
        <v>56</v>
      </c>
      <c r="L112" s="22" t="s">
        <v>57</v>
      </c>
      <c r="M112" s="22" t="s">
        <v>45</v>
      </c>
      <c r="N112" s="22" t="s">
        <v>45</v>
      </c>
      <c r="O112" s="22" t="s">
        <v>49</v>
      </c>
      <c r="P112" s="22" t="s">
        <v>49</v>
      </c>
      <c r="Q112" s="22" t="s">
        <v>527</v>
      </c>
      <c r="R112" s="22" t="s">
        <v>528</v>
      </c>
    </row>
    <row r="113" ht="45.0" customHeight="1">
      <c r="A113" s="20" t="s">
        <v>529</v>
      </c>
      <c r="B113" s="21" t="str">
        <f>IMAGE("https://raw.githubusercontent.com/ltdimages/images/refs/heads/main/Food055.png")</f>
        <v/>
      </c>
      <c r="C113" s="22" t="s">
        <v>530</v>
      </c>
      <c r="D113" s="22" t="s">
        <v>43</v>
      </c>
      <c r="E113" s="22" t="s">
        <v>121</v>
      </c>
      <c r="F113" s="23"/>
      <c r="G113" s="23">
        <v>6.5</v>
      </c>
      <c r="H113" s="22" t="s">
        <v>45</v>
      </c>
      <c r="I113" s="22" t="s">
        <v>46</v>
      </c>
      <c r="J113" s="22" t="s">
        <v>45</v>
      </c>
      <c r="K113" s="22" t="s">
        <v>47</v>
      </c>
      <c r="L113" s="22" t="s">
        <v>57</v>
      </c>
      <c r="M113" s="22" t="s">
        <v>45</v>
      </c>
      <c r="N113" s="22" t="s">
        <v>49</v>
      </c>
      <c r="O113" s="22" t="s">
        <v>45</v>
      </c>
      <c r="P113" s="22" t="s">
        <v>49</v>
      </c>
      <c r="Q113" s="22" t="s">
        <v>531</v>
      </c>
      <c r="R113" s="22" t="s">
        <v>532</v>
      </c>
    </row>
    <row r="114" ht="45.0" customHeight="1">
      <c r="A114" s="20" t="s">
        <v>533</v>
      </c>
      <c r="B114" s="21" t="str">
        <f>IMAGE("https://raw.githubusercontent.com/ltdimages/images/refs/heads/main/Food263.png")</f>
        <v/>
      </c>
      <c r="C114" s="22" t="s">
        <v>534</v>
      </c>
      <c r="D114" s="22" t="s">
        <v>43</v>
      </c>
      <c r="E114" s="22" t="s">
        <v>106</v>
      </c>
      <c r="F114" s="23"/>
      <c r="G114" s="23">
        <v>5.0</v>
      </c>
      <c r="H114" s="22" t="s">
        <v>49</v>
      </c>
      <c r="I114" s="22" t="s">
        <v>46</v>
      </c>
      <c r="J114" s="22" t="s">
        <v>45</v>
      </c>
      <c r="K114" s="22" t="s">
        <v>56</v>
      </c>
      <c r="L114" s="22" t="s">
        <v>57</v>
      </c>
      <c r="M114" s="22" t="s">
        <v>49</v>
      </c>
      <c r="N114" s="22" t="s">
        <v>45</v>
      </c>
      <c r="O114" s="22" t="s">
        <v>45</v>
      </c>
      <c r="P114" s="22" t="s">
        <v>45</v>
      </c>
      <c r="Q114" s="22" t="s">
        <v>535</v>
      </c>
      <c r="R114" s="22" t="s">
        <v>536</v>
      </c>
    </row>
    <row r="115" ht="45.0" customHeight="1">
      <c r="A115" s="20" t="s">
        <v>537</v>
      </c>
      <c r="B115" s="21" t="str">
        <f>IMAGE("https://raw.githubusercontent.com/ltdimages/images/refs/heads/main/Food392.png")</f>
        <v/>
      </c>
      <c r="C115" s="22" t="s">
        <v>538</v>
      </c>
      <c r="D115" s="22" t="s">
        <v>43</v>
      </c>
      <c r="E115" s="22" t="s">
        <v>204</v>
      </c>
      <c r="F115" s="23" t="s">
        <v>111</v>
      </c>
      <c r="G115" s="23">
        <v>3.0</v>
      </c>
      <c r="H115" s="22" t="s">
        <v>49</v>
      </c>
      <c r="I115" s="22" t="s">
        <v>46</v>
      </c>
      <c r="J115" s="22" t="s">
        <v>45</v>
      </c>
      <c r="K115" s="22" t="s">
        <v>56</v>
      </c>
      <c r="L115" s="22" t="s">
        <v>57</v>
      </c>
      <c r="M115" s="22" t="s">
        <v>45</v>
      </c>
      <c r="N115" s="22" t="s">
        <v>49</v>
      </c>
      <c r="O115" s="22" t="s">
        <v>45</v>
      </c>
      <c r="P115" s="22" t="s">
        <v>45</v>
      </c>
      <c r="Q115" s="22" t="s">
        <v>539</v>
      </c>
      <c r="R115" s="22" t="s">
        <v>540</v>
      </c>
    </row>
    <row r="116" ht="45.0" customHeight="1">
      <c r="A116" s="20" t="s">
        <v>541</v>
      </c>
      <c r="B116" s="21" t="str">
        <f>IMAGE("https://raw.githubusercontent.com/ltdimages/images/refs/heads/main/Food038.png")</f>
        <v/>
      </c>
      <c r="C116" s="22" t="s">
        <v>542</v>
      </c>
      <c r="D116" s="22" t="s">
        <v>43</v>
      </c>
      <c r="E116" s="22" t="s">
        <v>543</v>
      </c>
      <c r="F116" s="23" t="s">
        <v>167</v>
      </c>
      <c r="G116" s="23">
        <v>6.0</v>
      </c>
      <c r="H116" s="22" t="s">
        <v>49</v>
      </c>
      <c r="I116" s="22" t="s">
        <v>46</v>
      </c>
      <c r="J116" s="22" t="s">
        <v>45</v>
      </c>
      <c r="K116" s="22" t="s">
        <v>86</v>
      </c>
      <c r="L116" s="22" t="s">
        <v>57</v>
      </c>
      <c r="M116" s="22" t="s">
        <v>49</v>
      </c>
      <c r="N116" s="22" t="s">
        <v>49</v>
      </c>
      <c r="O116" s="22" t="s">
        <v>45</v>
      </c>
      <c r="P116" s="22" t="s">
        <v>49</v>
      </c>
      <c r="Q116" s="22" t="s">
        <v>544</v>
      </c>
      <c r="R116" s="22" t="s">
        <v>545</v>
      </c>
    </row>
    <row r="117" ht="45.0" customHeight="1">
      <c r="A117" s="20" t="s">
        <v>546</v>
      </c>
      <c r="B117" s="21" t="str">
        <f>IMAGE("https://raw.githubusercontent.com/ltdimages/images/refs/heads/main/Food352.png")</f>
        <v/>
      </c>
      <c r="C117" s="22" t="s">
        <v>547</v>
      </c>
      <c r="D117" s="22" t="s">
        <v>43</v>
      </c>
      <c r="E117" s="22" t="s">
        <v>106</v>
      </c>
      <c r="F117" s="23" t="s">
        <v>101</v>
      </c>
      <c r="G117" s="23">
        <v>1.0</v>
      </c>
      <c r="H117" s="22" t="s">
        <v>45</v>
      </c>
      <c r="I117" s="22" t="s">
        <v>46</v>
      </c>
      <c r="J117" s="22" t="s">
        <v>45</v>
      </c>
      <c r="K117" s="22" t="s">
        <v>47</v>
      </c>
      <c r="L117" s="22" t="s">
        <v>48</v>
      </c>
      <c r="M117" s="22" t="s">
        <v>49</v>
      </c>
      <c r="N117" s="22" t="s">
        <v>49</v>
      </c>
      <c r="O117" s="22" t="s">
        <v>49</v>
      </c>
      <c r="P117" s="22" t="s">
        <v>45</v>
      </c>
      <c r="Q117" s="22" t="s">
        <v>548</v>
      </c>
      <c r="R117" s="22" t="s">
        <v>549</v>
      </c>
    </row>
    <row r="118" ht="45.0" customHeight="1">
      <c r="A118" s="20" t="s">
        <v>550</v>
      </c>
      <c r="B118" s="21" t="str">
        <f>IMAGE("https://raw.githubusercontent.com/ltdimages/images/refs/heads/main/Food455.png")</f>
        <v/>
      </c>
      <c r="C118" s="22" t="s">
        <v>551</v>
      </c>
      <c r="D118" s="22" t="s">
        <v>43</v>
      </c>
      <c r="E118" s="22" t="s">
        <v>62</v>
      </c>
      <c r="F118" s="23" t="s">
        <v>167</v>
      </c>
      <c r="G118" s="23">
        <v>6.5</v>
      </c>
      <c r="H118" s="22" t="s">
        <v>49</v>
      </c>
      <c r="I118" s="22" t="s">
        <v>46</v>
      </c>
      <c r="J118" s="22" t="s">
        <v>45</v>
      </c>
      <c r="K118" s="22" t="s">
        <v>56</v>
      </c>
      <c r="L118" s="22" t="s">
        <v>57</v>
      </c>
      <c r="M118" s="22" t="s">
        <v>45</v>
      </c>
      <c r="N118" s="22" t="s">
        <v>45</v>
      </c>
      <c r="O118" s="22" t="s">
        <v>552</v>
      </c>
      <c r="P118" s="22" t="s">
        <v>45</v>
      </c>
      <c r="Q118" s="22" t="s">
        <v>553</v>
      </c>
      <c r="R118" s="22" t="s">
        <v>554</v>
      </c>
    </row>
    <row r="119" ht="45.0" customHeight="1">
      <c r="A119" s="20" t="s">
        <v>555</v>
      </c>
      <c r="B119" s="21" t="str">
        <f>IMAGE("https://raw.githubusercontent.com/ltdimages/images/refs/heads/main/Food321.png")</f>
        <v/>
      </c>
      <c r="C119" s="22" t="s">
        <v>556</v>
      </c>
      <c r="D119" s="22" t="s">
        <v>43</v>
      </c>
      <c r="E119" s="22" t="s">
        <v>121</v>
      </c>
      <c r="F119" s="23"/>
      <c r="G119" s="23">
        <v>7.0</v>
      </c>
      <c r="H119" s="22" t="s">
        <v>49</v>
      </c>
      <c r="I119" s="22" t="s">
        <v>46</v>
      </c>
      <c r="J119" s="22" t="s">
        <v>45</v>
      </c>
      <c r="K119" s="22" t="s">
        <v>56</v>
      </c>
      <c r="L119" s="22" t="s">
        <v>57</v>
      </c>
      <c r="M119" s="22" t="s">
        <v>45</v>
      </c>
      <c r="N119" s="22" t="s">
        <v>45</v>
      </c>
      <c r="O119" s="22" t="s">
        <v>49</v>
      </c>
      <c r="P119" s="22" t="s">
        <v>45</v>
      </c>
      <c r="Q119" s="22" t="s">
        <v>557</v>
      </c>
      <c r="R119" s="22" t="s">
        <v>558</v>
      </c>
    </row>
    <row r="120" ht="45.0" customHeight="1">
      <c r="A120" s="20" t="s">
        <v>559</v>
      </c>
      <c r="B120" s="21" t="str">
        <f>IMAGE("https://raw.githubusercontent.com/ltdimages/images/refs/heads/main/Food325.png")</f>
        <v/>
      </c>
      <c r="C120" s="24" t="s">
        <v>560</v>
      </c>
      <c r="D120" s="24" t="s">
        <v>43</v>
      </c>
      <c r="E120" s="24" t="s">
        <v>85</v>
      </c>
      <c r="F120" s="25" t="s">
        <v>111</v>
      </c>
      <c r="G120" s="25">
        <v>6.0</v>
      </c>
      <c r="H120" s="24" t="s">
        <v>49</v>
      </c>
      <c r="I120" s="24" t="s">
        <v>46</v>
      </c>
      <c r="J120" s="24" t="s">
        <v>45</v>
      </c>
      <c r="K120" s="24" t="s">
        <v>56</v>
      </c>
      <c r="L120" s="24" t="s">
        <v>48</v>
      </c>
      <c r="M120" s="24" t="s">
        <v>45</v>
      </c>
      <c r="N120" s="24" t="s">
        <v>45</v>
      </c>
      <c r="O120" s="24" t="s">
        <v>49</v>
      </c>
      <c r="P120" s="24" t="s">
        <v>45</v>
      </c>
      <c r="Q120" s="24" t="s">
        <v>561</v>
      </c>
      <c r="R120" s="24" t="s">
        <v>562</v>
      </c>
    </row>
    <row r="121" ht="45.0" customHeight="1">
      <c r="A121" s="20" t="s">
        <v>563</v>
      </c>
      <c r="B121" s="21" t="str">
        <f>IMAGE("https://raw.githubusercontent.com/ltdimages/images/refs/heads/main/Food120.png")</f>
        <v/>
      </c>
      <c r="C121" s="22" t="s">
        <v>564</v>
      </c>
      <c r="D121" s="22" t="s">
        <v>43</v>
      </c>
      <c r="E121" s="22" t="s">
        <v>204</v>
      </c>
      <c r="F121" s="23"/>
      <c r="G121" s="23">
        <v>1.0</v>
      </c>
      <c r="H121" s="22" t="s">
        <v>45</v>
      </c>
      <c r="I121" s="22" t="s">
        <v>46</v>
      </c>
      <c r="J121" s="22" t="s">
        <v>45</v>
      </c>
      <c r="K121" s="22" t="s">
        <v>47</v>
      </c>
      <c r="L121" s="22" t="s">
        <v>48</v>
      </c>
      <c r="M121" s="22" t="s">
        <v>49</v>
      </c>
      <c r="N121" s="22" t="s">
        <v>49</v>
      </c>
      <c r="O121" s="22" t="s">
        <v>49</v>
      </c>
      <c r="P121" s="22" t="s">
        <v>49</v>
      </c>
      <c r="Q121" s="22" t="s">
        <v>565</v>
      </c>
      <c r="R121" s="22" t="s">
        <v>566</v>
      </c>
    </row>
    <row r="122" ht="45.0" customHeight="1">
      <c r="A122" s="20" t="s">
        <v>567</v>
      </c>
      <c r="B122" s="21" t="str">
        <f>IMAGE("https://raw.githubusercontent.com/ltdimages/images/refs/heads/main/Food264.png")</f>
        <v/>
      </c>
      <c r="C122" s="22" t="s">
        <v>568</v>
      </c>
      <c r="D122" s="22" t="s">
        <v>43</v>
      </c>
      <c r="E122" s="22"/>
      <c r="F122" s="23" t="s">
        <v>167</v>
      </c>
      <c r="G122" s="23">
        <v>1.5</v>
      </c>
      <c r="H122" s="22" t="s">
        <v>45</v>
      </c>
      <c r="I122" s="22" t="s">
        <v>46</v>
      </c>
      <c r="J122" s="22" t="s">
        <v>45</v>
      </c>
      <c r="K122" s="22" t="s">
        <v>56</v>
      </c>
      <c r="L122" s="22" t="s">
        <v>57</v>
      </c>
      <c r="M122" s="22" t="s">
        <v>49</v>
      </c>
      <c r="N122" s="22" t="s">
        <v>49</v>
      </c>
      <c r="O122" s="22" t="s">
        <v>49</v>
      </c>
      <c r="P122" s="22" t="s">
        <v>49</v>
      </c>
      <c r="Q122" s="22" t="s">
        <v>569</v>
      </c>
      <c r="R122" s="22" t="s">
        <v>570</v>
      </c>
    </row>
    <row r="123" ht="45.0" customHeight="1">
      <c r="A123" s="20" t="s">
        <v>571</v>
      </c>
      <c r="B123" s="21" t="str">
        <f>IMAGE("https://raw.githubusercontent.com/ltdimages/images/refs/heads/main/Food176.png")</f>
        <v/>
      </c>
      <c r="C123" s="22" t="s">
        <v>572</v>
      </c>
      <c r="D123" s="22" t="s">
        <v>43</v>
      </c>
      <c r="E123" s="22" t="s">
        <v>543</v>
      </c>
      <c r="F123" s="23" t="s">
        <v>573</v>
      </c>
      <c r="G123" s="23">
        <v>7.8</v>
      </c>
      <c r="H123" s="22" t="s">
        <v>49</v>
      </c>
      <c r="I123" s="22" t="s">
        <v>46</v>
      </c>
      <c r="J123" s="22" t="s">
        <v>45</v>
      </c>
      <c r="K123" s="22" t="s">
        <v>86</v>
      </c>
      <c r="L123" s="22" t="s">
        <v>57</v>
      </c>
      <c r="M123" s="22" t="s">
        <v>45</v>
      </c>
      <c r="N123" s="22" t="s">
        <v>49</v>
      </c>
      <c r="O123" s="22" t="s">
        <v>45</v>
      </c>
      <c r="P123" s="22" t="s">
        <v>49</v>
      </c>
      <c r="Q123" s="22" t="s">
        <v>574</v>
      </c>
      <c r="R123" s="22" t="s">
        <v>575</v>
      </c>
    </row>
    <row r="124" ht="45.0" customHeight="1">
      <c r="A124" s="20" t="s">
        <v>576</v>
      </c>
      <c r="B124" s="21" t="str">
        <f>IMAGE("https://raw.githubusercontent.com/ltdimages/images/refs/heads/main/Food248.png")</f>
        <v/>
      </c>
      <c r="C124" s="22" t="s">
        <v>577</v>
      </c>
      <c r="D124" s="22" t="s">
        <v>43</v>
      </c>
      <c r="E124" s="22" t="s">
        <v>121</v>
      </c>
      <c r="F124" s="23" t="s">
        <v>111</v>
      </c>
      <c r="G124" s="23">
        <v>4.5</v>
      </c>
      <c r="H124" s="22" t="s">
        <v>49</v>
      </c>
      <c r="I124" s="22" t="s">
        <v>46</v>
      </c>
      <c r="J124" s="22" t="s">
        <v>45</v>
      </c>
      <c r="K124" s="22" t="s">
        <v>56</v>
      </c>
      <c r="L124" s="22" t="s">
        <v>48</v>
      </c>
      <c r="M124" s="22" t="s">
        <v>49</v>
      </c>
      <c r="N124" s="22" t="s">
        <v>45</v>
      </c>
      <c r="O124" s="22" t="s">
        <v>49</v>
      </c>
      <c r="P124" s="22" t="s">
        <v>45</v>
      </c>
      <c r="Q124" s="22" t="s">
        <v>578</v>
      </c>
      <c r="R124" s="22" t="s">
        <v>579</v>
      </c>
    </row>
    <row r="125" ht="45.0" customHeight="1">
      <c r="A125" s="20" t="s">
        <v>580</v>
      </c>
      <c r="B125" s="21" t="str">
        <f>IMAGE("https://raw.githubusercontent.com/ltdimages/images/refs/heads/main/Food205.png")</f>
        <v/>
      </c>
      <c r="C125" s="22" t="s">
        <v>581</v>
      </c>
      <c r="D125" s="22" t="s">
        <v>43</v>
      </c>
      <c r="E125" s="22" t="s">
        <v>177</v>
      </c>
      <c r="F125" s="23" t="s">
        <v>351</v>
      </c>
      <c r="G125" s="23">
        <v>6.0</v>
      </c>
      <c r="H125" s="22" t="s">
        <v>49</v>
      </c>
      <c r="I125" s="22" t="s">
        <v>46</v>
      </c>
      <c r="J125" s="22" t="s">
        <v>45</v>
      </c>
      <c r="K125" s="22" t="s">
        <v>86</v>
      </c>
      <c r="L125" s="22" t="s">
        <v>172</v>
      </c>
      <c r="M125" s="22" t="s">
        <v>45</v>
      </c>
      <c r="N125" s="22" t="s">
        <v>49</v>
      </c>
      <c r="O125" s="22" t="s">
        <v>45</v>
      </c>
      <c r="P125" s="22" t="s">
        <v>49</v>
      </c>
      <c r="Q125" s="22" t="s">
        <v>582</v>
      </c>
      <c r="R125" s="22" t="s">
        <v>583</v>
      </c>
    </row>
    <row r="126" ht="45.0" customHeight="1">
      <c r="A126" s="20" t="s">
        <v>584</v>
      </c>
      <c r="B126" s="21" t="str">
        <f>IMAGE("https://raw.githubusercontent.com/ltdimages/images/refs/heads/main/Food404.png")</f>
        <v/>
      </c>
      <c r="C126" s="22" t="s">
        <v>585</v>
      </c>
      <c r="D126" s="22" t="s">
        <v>43</v>
      </c>
      <c r="E126" s="22" t="s">
        <v>106</v>
      </c>
      <c r="F126" s="23" t="s">
        <v>167</v>
      </c>
      <c r="G126" s="23">
        <v>4.5</v>
      </c>
      <c r="H126" s="22" t="s">
        <v>49</v>
      </c>
      <c r="I126" s="22" t="s">
        <v>46</v>
      </c>
      <c r="J126" s="22" t="s">
        <v>45</v>
      </c>
      <c r="K126" s="22" t="s">
        <v>56</v>
      </c>
      <c r="L126" s="22" t="s">
        <v>57</v>
      </c>
      <c r="M126" s="22" t="s">
        <v>45</v>
      </c>
      <c r="N126" s="22" t="s">
        <v>49</v>
      </c>
      <c r="O126" s="22" t="s">
        <v>45</v>
      </c>
      <c r="P126" s="22" t="s">
        <v>45</v>
      </c>
      <c r="Q126" s="22" t="s">
        <v>586</v>
      </c>
      <c r="R126" s="22" t="s">
        <v>587</v>
      </c>
    </row>
    <row r="127" ht="45.0" customHeight="1">
      <c r="A127" s="20" t="s">
        <v>588</v>
      </c>
      <c r="B127" s="21" t="str">
        <f>IMAGE("https://raw.githubusercontent.com/ltdimages/images/refs/heads/main/Food486.png")</f>
        <v/>
      </c>
      <c r="C127" s="22" t="s">
        <v>589</v>
      </c>
      <c r="D127" s="22" t="s">
        <v>43</v>
      </c>
      <c r="E127" s="22"/>
      <c r="F127" s="23" t="s">
        <v>590</v>
      </c>
      <c r="G127" s="23">
        <v>14.0</v>
      </c>
      <c r="H127" s="22" t="s">
        <v>49</v>
      </c>
      <c r="I127" s="22" t="s">
        <v>46</v>
      </c>
      <c r="J127" s="22" t="s">
        <v>45</v>
      </c>
      <c r="K127" s="22" t="s">
        <v>56</v>
      </c>
      <c r="L127" s="22" t="s">
        <v>57</v>
      </c>
      <c r="M127" s="22" t="s">
        <v>49</v>
      </c>
      <c r="N127" s="22" t="s">
        <v>49</v>
      </c>
      <c r="O127" s="22" t="s">
        <v>45</v>
      </c>
      <c r="P127" s="22" t="s">
        <v>45</v>
      </c>
      <c r="Q127" s="22" t="s">
        <v>591</v>
      </c>
      <c r="R127" s="22" t="s">
        <v>592</v>
      </c>
    </row>
    <row r="128" ht="45.0" customHeight="1">
      <c r="A128" s="20" t="s">
        <v>593</v>
      </c>
      <c r="B128" s="21" t="str">
        <f>IMAGE("https://raw.githubusercontent.com/ltdimages/images/refs/heads/main/Food186.png")</f>
        <v/>
      </c>
      <c r="C128" s="22" t="s">
        <v>594</v>
      </c>
      <c r="D128" s="22" t="s">
        <v>43</v>
      </c>
      <c r="E128" s="22" t="s">
        <v>217</v>
      </c>
      <c r="F128" s="23"/>
      <c r="G128" s="23">
        <v>2.8</v>
      </c>
      <c r="H128" s="22" t="s">
        <v>45</v>
      </c>
      <c r="I128" s="22" t="s">
        <v>46</v>
      </c>
      <c r="J128" s="22" t="s">
        <v>45</v>
      </c>
      <c r="K128" s="22" t="s">
        <v>56</v>
      </c>
      <c r="L128" s="22" t="s">
        <v>48</v>
      </c>
      <c r="M128" s="22" t="s">
        <v>49</v>
      </c>
      <c r="N128" s="22" t="s">
        <v>49</v>
      </c>
      <c r="O128" s="22" t="s">
        <v>49</v>
      </c>
      <c r="P128" s="22" t="s">
        <v>49</v>
      </c>
      <c r="Q128" s="22" t="s">
        <v>595</v>
      </c>
      <c r="R128" s="22" t="s">
        <v>596</v>
      </c>
    </row>
    <row r="129" ht="45.0" customHeight="1">
      <c r="A129" s="20" t="s">
        <v>597</v>
      </c>
      <c r="B129" s="21" t="str">
        <f>IMAGE("https://raw.githubusercontent.com/ltdimages/images/refs/heads/main/Food472.png")</f>
        <v/>
      </c>
      <c r="C129" s="22" t="s">
        <v>598</v>
      </c>
      <c r="D129" s="22" t="s">
        <v>43</v>
      </c>
      <c r="E129" s="22" t="s">
        <v>106</v>
      </c>
      <c r="F129" s="23" t="s">
        <v>101</v>
      </c>
      <c r="G129" s="23">
        <v>16.0</v>
      </c>
      <c r="H129" s="22" t="s">
        <v>49</v>
      </c>
      <c r="I129" s="22" t="s">
        <v>46</v>
      </c>
      <c r="J129" s="22" t="s">
        <v>45</v>
      </c>
      <c r="K129" s="22" t="s">
        <v>86</v>
      </c>
      <c r="L129" s="22" t="s">
        <v>57</v>
      </c>
      <c r="M129" s="22" t="s">
        <v>45</v>
      </c>
      <c r="N129" s="22" t="s">
        <v>49</v>
      </c>
      <c r="O129" s="22" t="s">
        <v>45</v>
      </c>
      <c r="P129" s="22" t="s">
        <v>45</v>
      </c>
      <c r="Q129" s="22" t="s">
        <v>599</v>
      </c>
      <c r="R129" s="22" t="s">
        <v>600</v>
      </c>
    </row>
    <row r="130" ht="45.0" customHeight="1">
      <c r="A130" s="20" t="s">
        <v>601</v>
      </c>
      <c r="B130" s="21" t="str">
        <f>IMAGE("https://raw.githubusercontent.com/ltdimages/images/refs/heads/main/Food345.png")</f>
        <v/>
      </c>
      <c r="C130" s="22" t="s">
        <v>602</v>
      </c>
      <c r="D130" s="22" t="s">
        <v>43</v>
      </c>
      <c r="E130" s="22" t="s">
        <v>106</v>
      </c>
      <c r="F130" s="23" t="s">
        <v>111</v>
      </c>
      <c r="G130" s="23">
        <v>5.3</v>
      </c>
      <c r="H130" s="22" t="s">
        <v>49</v>
      </c>
      <c r="I130" s="22" t="s">
        <v>46</v>
      </c>
      <c r="J130" s="22" t="s">
        <v>45</v>
      </c>
      <c r="K130" s="22" t="s">
        <v>47</v>
      </c>
      <c r="L130" s="22" t="s">
        <v>48</v>
      </c>
      <c r="M130" s="22" t="s">
        <v>49</v>
      </c>
      <c r="N130" s="22" t="s">
        <v>45</v>
      </c>
      <c r="O130" s="22" t="s">
        <v>49</v>
      </c>
      <c r="P130" s="22" t="s">
        <v>45</v>
      </c>
      <c r="Q130" s="22" t="s">
        <v>603</v>
      </c>
      <c r="R130" s="22" t="s">
        <v>604</v>
      </c>
    </row>
    <row r="131" ht="45.0" customHeight="1">
      <c r="A131" s="20" t="s">
        <v>605</v>
      </c>
      <c r="B131" s="21" t="str">
        <f>IMAGE("https://raw.githubusercontent.com/ltdimages/images/refs/heads/main/Food356.png")</f>
        <v/>
      </c>
      <c r="C131" s="22" t="s">
        <v>606</v>
      </c>
      <c r="D131" s="22" t="s">
        <v>43</v>
      </c>
      <c r="E131" s="22" t="s">
        <v>62</v>
      </c>
      <c r="F131" s="23" t="s">
        <v>111</v>
      </c>
      <c r="G131" s="23">
        <v>12.0</v>
      </c>
      <c r="H131" s="22" t="s">
        <v>49</v>
      </c>
      <c r="I131" s="22" t="s">
        <v>46</v>
      </c>
      <c r="J131" s="22" t="s">
        <v>45</v>
      </c>
      <c r="K131" s="22" t="s">
        <v>47</v>
      </c>
      <c r="L131" s="22" t="s">
        <v>48</v>
      </c>
      <c r="M131" s="22" t="s">
        <v>49</v>
      </c>
      <c r="N131" s="22" t="s">
        <v>45</v>
      </c>
      <c r="O131" s="22" t="s">
        <v>49</v>
      </c>
      <c r="P131" s="22" t="s">
        <v>45</v>
      </c>
      <c r="Q131" s="22" t="s">
        <v>607</v>
      </c>
      <c r="R131" s="22" t="s">
        <v>608</v>
      </c>
    </row>
    <row r="132" ht="45.0" customHeight="1">
      <c r="A132" s="20" t="s">
        <v>609</v>
      </c>
      <c r="B132" s="21" t="str">
        <f>IMAGE("https://raw.githubusercontent.com/ltdimages/images/refs/heads/main/Food006.png")</f>
        <v/>
      </c>
      <c r="C132" s="22" t="s">
        <v>610</v>
      </c>
      <c r="D132" s="22" t="s">
        <v>43</v>
      </c>
      <c r="E132" s="22" t="s">
        <v>126</v>
      </c>
      <c r="F132" s="23" t="s">
        <v>407</v>
      </c>
      <c r="G132" s="23">
        <v>1.5</v>
      </c>
      <c r="H132" s="22" t="s">
        <v>49</v>
      </c>
      <c r="I132" s="22" t="s">
        <v>46</v>
      </c>
      <c r="J132" s="22" t="s">
        <v>45</v>
      </c>
      <c r="K132" s="22" t="s">
        <v>56</v>
      </c>
      <c r="L132" s="22" t="s">
        <v>48</v>
      </c>
      <c r="M132" s="22" t="s">
        <v>45</v>
      </c>
      <c r="N132" s="22" t="s">
        <v>49</v>
      </c>
      <c r="O132" s="22" t="s">
        <v>45</v>
      </c>
      <c r="P132" s="22" t="s">
        <v>49</v>
      </c>
      <c r="Q132" s="22" t="s">
        <v>611</v>
      </c>
      <c r="R132" s="22" t="s">
        <v>612</v>
      </c>
    </row>
    <row r="133" ht="45.0" customHeight="1">
      <c r="A133" s="20" t="s">
        <v>613</v>
      </c>
      <c r="B133" s="21" t="str">
        <f>IMAGE("https://raw.githubusercontent.com/ltdimages/images/refs/heads/main/Food175.png")</f>
        <v/>
      </c>
      <c r="C133" s="22" t="s">
        <v>614</v>
      </c>
      <c r="D133" s="22" t="s">
        <v>43</v>
      </c>
      <c r="E133" s="22" t="s">
        <v>177</v>
      </c>
      <c r="F133" s="23" t="s">
        <v>111</v>
      </c>
      <c r="G133" s="23">
        <v>1.9</v>
      </c>
      <c r="H133" s="22" t="s">
        <v>45</v>
      </c>
      <c r="I133" s="22" t="s">
        <v>46</v>
      </c>
      <c r="J133" s="22" t="s">
        <v>45</v>
      </c>
      <c r="K133" s="22" t="s">
        <v>56</v>
      </c>
      <c r="L133" s="22" t="s">
        <v>57</v>
      </c>
      <c r="M133" s="22" t="s">
        <v>49</v>
      </c>
      <c r="N133" s="22" t="s">
        <v>49</v>
      </c>
      <c r="O133" s="22" t="s">
        <v>49</v>
      </c>
      <c r="P133" s="22" t="s">
        <v>49</v>
      </c>
      <c r="Q133" s="22" t="s">
        <v>615</v>
      </c>
      <c r="R133" s="22" t="s">
        <v>616</v>
      </c>
    </row>
    <row r="134" ht="45.0" customHeight="1">
      <c r="A134" s="20" t="s">
        <v>617</v>
      </c>
      <c r="B134" s="21" t="str">
        <f>IMAGE("https://raw.githubusercontent.com/ltdimages/images/refs/heads/main/Food393.png")</f>
        <v/>
      </c>
      <c r="C134" s="22" t="s">
        <v>618</v>
      </c>
      <c r="D134" s="22" t="s">
        <v>43</v>
      </c>
      <c r="E134" s="22" t="s">
        <v>177</v>
      </c>
      <c r="F134" s="23" t="s">
        <v>619</v>
      </c>
      <c r="G134" s="23">
        <v>4.5</v>
      </c>
      <c r="H134" s="22" t="s">
        <v>49</v>
      </c>
      <c r="I134" s="22" t="s">
        <v>46</v>
      </c>
      <c r="J134" s="22" t="s">
        <v>45</v>
      </c>
      <c r="K134" s="22" t="s">
        <v>56</v>
      </c>
      <c r="L134" s="22" t="s">
        <v>57</v>
      </c>
      <c r="M134" s="22" t="s">
        <v>45</v>
      </c>
      <c r="N134" s="22" t="s">
        <v>49</v>
      </c>
      <c r="O134" s="22" t="s">
        <v>45</v>
      </c>
      <c r="P134" s="22" t="s">
        <v>45</v>
      </c>
      <c r="Q134" s="22" t="s">
        <v>620</v>
      </c>
      <c r="R134" s="22" t="s">
        <v>621</v>
      </c>
    </row>
    <row r="135" ht="45.0" customHeight="1">
      <c r="A135" s="20" t="s">
        <v>622</v>
      </c>
      <c r="B135" s="21" t="str">
        <f>IMAGE("https://raw.githubusercontent.com/ltdimages/images/refs/heads/main/Food390.png")</f>
        <v/>
      </c>
      <c r="C135" s="22" t="s">
        <v>623</v>
      </c>
      <c r="D135" s="22" t="s">
        <v>43</v>
      </c>
      <c r="E135" s="22" t="s">
        <v>177</v>
      </c>
      <c r="F135" s="23"/>
      <c r="G135" s="23">
        <v>3.5</v>
      </c>
      <c r="H135" s="22" t="s">
        <v>49</v>
      </c>
      <c r="I135" s="22" t="s">
        <v>46</v>
      </c>
      <c r="J135" s="22" t="s">
        <v>45</v>
      </c>
      <c r="K135" s="22" t="s">
        <v>56</v>
      </c>
      <c r="L135" s="22" t="s">
        <v>57</v>
      </c>
      <c r="M135" s="22" t="s">
        <v>45</v>
      </c>
      <c r="N135" s="22" t="s">
        <v>49</v>
      </c>
      <c r="O135" s="22" t="s">
        <v>45</v>
      </c>
      <c r="P135" s="22" t="s">
        <v>45</v>
      </c>
      <c r="Q135" s="22" t="s">
        <v>624</v>
      </c>
      <c r="R135" s="22" t="s">
        <v>625</v>
      </c>
    </row>
    <row r="136" ht="45.0" customHeight="1">
      <c r="A136" s="20" t="s">
        <v>626</v>
      </c>
      <c r="B136" s="21" t="str">
        <f>IMAGE("https://raw.githubusercontent.com/ltdimages/images/refs/heads/main/Food422.png")</f>
        <v/>
      </c>
      <c r="C136" s="22" t="s">
        <v>627</v>
      </c>
      <c r="D136" s="22" t="s">
        <v>43</v>
      </c>
      <c r="E136" s="22" t="s">
        <v>177</v>
      </c>
      <c r="F136" s="23" t="s">
        <v>167</v>
      </c>
      <c r="G136" s="23">
        <v>5.0</v>
      </c>
      <c r="H136" s="22" t="s">
        <v>49</v>
      </c>
      <c r="I136" s="22" t="s">
        <v>46</v>
      </c>
      <c r="J136" s="22" t="s">
        <v>45</v>
      </c>
      <c r="K136" s="22" t="s">
        <v>86</v>
      </c>
      <c r="L136" s="22" t="s">
        <v>57</v>
      </c>
      <c r="M136" s="22" t="s">
        <v>45</v>
      </c>
      <c r="N136" s="22" t="s">
        <v>49</v>
      </c>
      <c r="O136" s="22" t="s">
        <v>45</v>
      </c>
      <c r="P136" s="22" t="s">
        <v>49</v>
      </c>
      <c r="Q136" s="22" t="s">
        <v>628</v>
      </c>
      <c r="R136" s="22" t="s">
        <v>629</v>
      </c>
    </row>
    <row r="137" ht="45.0" customHeight="1">
      <c r="A137" s="20" t="s">
        <v>630</v>
      </c>
      <c r="B137" s="21" t="str">
        <f>IMAGE("https://raw.githubusercontent.com/ltdimages/images/refs/heads/main/Food401.png")</f>
        <v/>
      </c>
      <c r="C137" s="22" t="s">
        <v>631</v>
      </c>
      <c r="D137" s="22" t="s">
        <v>43</v>
      </c>
      <c r="E137" s="22" t="s">
        <v>518</v>
      </c>
      <c r="F137" s="23" t="s">
        <v>111</v>
      </c>
      <c r="G137" s="23">
        <v>8.0</v>
      </c>
      <c r="H137" s="22" t="s">
        <v>49</v>
      </c>
      <c r="I137" s="22" t="s">
        <v>46</v>
      </c>
      <c r="J137" s="22" t="s">
        <v>45</v>
      </c>
      <c r="K137" s="22" t="s">
        <v>56</v>
      </c>
      <c r="L137" s="22" t="s">
        <v>57</v>
      </c>
      <c r="M137" s="22" t="s">
        <v>45</v>
      </c>
      <c r="N137" s="22" t="s">
        <v>49</v>
      </c>
      <c r="O137" s="22" t="s">
        <v>45</v>
      </c>
      <c r="P137" s="22" t="s">
        <v>45</v>
      </c>
      <c r="Q137" s="22" t="s">
        <v>632</v>
      </c>
      <c r="R137" s="22" t="s">
        <v>633</v>
      </c>
    </row>
    <row r="138" ht="45.0" customHeight="1">
      <c r="A138" s="20" t="s">
        <v>634</v>
      </c>
      <c r="B138" s="21" t="str">
        <f>IMAGE("https://raw.githubusercontent.com/ltdimages/images/refs/heads/main/Food220.png")</f>
        <v/>
      </c>
      <c r="C138" s="22" t="s">
        <v>635</v>
      </c>
      <c r="D138" s="22" t="s">
        <v>43</v>
      </c>
      <c r="E138" s="22"/>
      <c r="F138" s="23"/>
      <c r="G138" s="23">
        <v>2.5</v>
      </c>
      <c r="H138" s="22" t="s">
        <v>49</v>
      </c>
      <c r="I138" s="22" t="s">
        <v>46</v>
      </c>
      <c r="J138" s="22" t="s">
        <v>45</v>
      </c>
      <c r="K138" s="22" t="s">
        <v>47</v>
      </c>
      <c r="L138" s="22" t="s">
        <v>57</v>
      </c>
      <c r="M138" s="22" t="s">
        <v>45</v>
      </c>
      <c r="N138" s="22" t="s">
        <v>45</v>
      </c>
      <c r="O138" s="22" t="s">
        <v>45</v>
      </c>
      <c r="P138" s="22" t="s">
        <v>49</v>
      </c>
      <c r="Q138" s="22" t="s">
        <v>636</v>
      </c>
      <c r="R138" s="22" t="s">
        <v>637</v>
      </c>
    </row>
    <row r="139" ht="45.0" customHeight="1">
      <c r="A139" s="20" t="s">
        <v>638</v>
      </c>
      <c r="B139" s="21" t="str">
        <f>IMAGE("https://raw.githubusercontent.com/ltdimages/images/refs/heads/main/Food206.png")</f>
        <v/>
      </c>
      <c r="C139" s="22" t="s">
        <v>639</v>
      </c>
      <c r="D139" s="22" t="s">
        <v>43</v>
      </c>
      <c r="E139" s="22" t="s">
        <v>640</v>
      </c>
      <c r="F139" s="23" t="s">
        <v>167</v>
      </c>
      <c r="G139" s="23">
        <v>6.8</v>
      </c>
      <c r="H139" s="22" t="s">
        <v>49</v>
      </c>
      <c r="I139" s="22" t="s">
        <v>46</v>
      </c>
      <c r="J139" s="22" t="s">
        <v>45</v>
      </c>
      <c r="K139" s="22" t="s">
        <v>86</v>
      </c>
      <c r="L139" s="22" t="s">
        <v>57</v>
      </c>
      <c r="M139" s="22" t="s">
        <v>45</v>
      </c>
      <c r="N139" s="22" t="s">
        <v>49</v>
      </c>
      <c r="O139" s="22" t="s">
        <v>45</v>
      </c>
      <c r="P139" s="22" t="s">
        <v>49</v>
      </c>
      <c r="Q139" s="22" t="s">
        <v>641</v>
      </c>
      <c r="R139" s="22" t="s">
        <v>642</v>
      </c>
    </row>
    <row r="140" ht="45.0" customHeight="1">
      <c r="A140" s="20" t="s">
        <v>643</v>
      </c>
      <c r="B140" s="21" t="str">
        <f>IMAGE("https://raw.githubusercontent.com/ltdimages/images/refs/heads/main/Food485.png")</f>
        <v/>
      </c>
      <c r="C140" s="22" t="s">
        <v>644</v>
      </c>
      <c r="D140" s="22" t="s">
        <v>43</v>
      </c>
      <c r="E140" s="22" t="s">
        <v>543</v>
      </c>
      <c r="F140" s="23"/>
      <c r="G140" s="23">
        <v>11.0</v>
      </c>
      <c r="H140" s="22" t="s">
        <v>49</v>
      </c>
      <c r="I140" s="22" t="s">
        <v>46</v>
      </c>
      <c r="J140" s="22" t="s">
        <v>45</v>
      </c>
      <c r="K140" s="22" t="s">
        <v>56</v>
      </c>
      <c r="L140" s="22" t="s">
        <v>48</v>
      </c>
      <c r="M140" s="22" t="s">
        <v>45</v>
      </c>
      <c r="N140" s="22" t="s">
        <v>49</v>
      </c>
      <c r="O140" s="22" t="s">
        <v>45</v>
      </c>
      <c r="P140" s="22" t="s">
        <v>45</v>
      </c>
      <c r="Q140" s="22" t="s">
        <v>645</v>
      </c>
      <c r="R140" s="22" t="s">
        <v>646</v>
      </c>
    </row>
    <row r="141" ht="45.0" customHeight="1">
      <c r="A141" s="20" t="s">
        <v>647</v>
      </c>
      <c r="B141" s="21" t="str">
        <f>IMAGE("https://raw.githubusercontent.com/ltdimages/images/refs/heads/main/Food012.png")</f>
        <v/>
      </c>
      <c r="C141" s="22" t="s">
        <v>648</v>
      </c>
      <c r="D141" s="22" t="s">
        <v>43</v>
      </c>
      <c r="E141" s="22" t="s">
        <v>649</v>
      </c>
      <c r="F141" s="23"/>
      <c r="G141" s="23">
        <v>7.0</v>
      </c>
      <c r="H141" s="22" t="s">
        <v>49</v>
      </c>
      <c r="I141" s="22" t="s">
        <v>46</v>
      </c>
      <c r="J141" s="22" t="s">
        <v>45</v>
      </c>
      <c r="K141" s="22" t="s">
        <v>56</v>
      </c>
      <c r="L141" s="22" t="s">
        <v>48</v>
      </c>
      <c r="M141" s="22" t="s">
        <v>45</v>
      </c>
      <c r="N141" s="22" t="s">
        <v>49</v>
      </c>
      <c r="O141" s="22" t="s">
        <v>45</v>
      </c>
      <c r="P141" s="22" t="s">
        <v>49</v>
      </c>
      <c r="Q141" s="22" t="s">
        <v>650</v>
      </c>
      <c r="R141" s="22" t="s">
        <v>651</v>
      </c>
    </row>
    <row r="142" ht="45.0" customHeight="1">
      <c r="A142" s="20" t="s">
        <v>652</v>
      </c>
      <c r="B142" s="21" t="str">
        <f>IMAGE("https://raw.githubusercontent.com/ltdimages/images/refs/heads/main/Food036.png")</f>
        <v/>
      </c>
      <c r="C142" s="22" t="s">
        <v>653</v>
      </c>
      <c r="D142" s="22" t="s">
        <v>43</v>
      </c>
      <c r="E142" s="22" t="s">
        <v>106</v>
      </c>
      <c r="F142" s="23" t="s">
        <v>456</v>
      </c>
      <c r="G142" s="23">
        <v>2.8</v>
      </c>
      <c r="H142" s="22" t="s">
        <v>49</v>
      </c>
      <c r="I142" s="22" t="s">
        <v>46</v>
      </c>
      <c r="J142" s="22" t="s">
        <v>45</v>
      </c>
      <c r="K142" s="22" t="s">
        <v>47</v>
      </c>
      <c r="L142" s="22" t="s">
        <v>48</v>
      </c>
      <c r="M142" s="22" t="s">
        <v>49</v>
      </c>
      <c r="N142" s="22" t="s">
        <v>49</v>
      </c>
      <c r="O142" s="22" t="s">
        <v>49</v>
      </c>
      <c r="P142" s="22" t="s">
        <v>49</v>
      </c>
      <c r="Q142" s="22" t="s">
        <v>654</v>
      </c>
      <c r="R142" s="22" t="s">
        <v>655</v>
      </c>
    </row>
    <row r="143" ht="45.0" customHeight="1">
      <c r="A143" s="20" t="s">
        <v>656</v>
      </c>
      <c r="B143" s="21" t="str">
        <f>IMAGE("https://raw.githubusercontent.com/ltdimages/images/refs/heads/main/Food413.png")</f>
        <v/>
      </c>
      <c r="C143" s="22" t="s">
        <v>657</v>
      </c>
      <c r="D143" s="22" t="s">
        <v>43</v>
      </c>
      <c r="E143" s="22" t="s">
        <v>658</v>
      </c>
      <c r="F143" s="23" t="s">
        <v>659</v>
      </c>
      <c r="G143" s="23">
        <v>6.0</v>
      </c>
      <c r="H143" s="22" t="s">
        <v>49</v>
      </c>
      <c r="I143" s="22" t="s">
        <v>46</v>
      </c>
      <c r="J143" s="22" t="s">
        <v>45</v>
      </c>
      <c r="K143" s="22" t="s">
        <v>86</v>
      </c>
      <c r="L143" s="22" t="s">
        <v>57</v>
      </c>
      <c r="M143" s="22" t="s">
        <v>45</v>
      </c>
      <c r="N143" s="22" t="s">
        <v>49</v>
      </c>
      <c r="O143" s="22" t="s">
        <v>45</v>
      </c>
      <c r="P143" s="22" t="s">
        <v>49</v>
      </c>
      <c r="Q143" s="22" t="s">
        <v>660</v>
      </c>
      <c r="R143" s="22" t="s">
        <v>661</v>
      </c>
    </row>
    <row r="144" ht="45.0" customHeight="1">
      <c r="A144" s="20" t="s">
        <v>662</v>
      </c>
      <c r="B144" s="21" t="str">
        <f>IMAGE("https://raw.githubusercontent.com/ltdimages/images/refs/heads/main/Food391.png")</f>
        <v/>
      </c>
      <c r="C144" s="22" t="s">
        <v>663</v>
      </c>
      <c r="D144" s="22" t="s">
        <v>43</v>
      </c>
      <c r="E144" s="22"/>
      <c r="F144" s="23" t="s">
        <v>664</v>
      </c>
      <c r="G144" s="23">
        <v>8.0</v>
      </c>
      <c r="H144" s="22" t="s">
        <v>49</v>
      </c>
      <c r="I144" s="22" t="s">
        <v>46</v>
      </c>
      <c r="J144" s="22" t="s">
        <v>45</v>
      </c>
      <c r="K144" s="22" t="s">
        <v>56</v>
      </c>
      <c r="L144" s="22" t="s">
        <v>57</v>
      </c>
      <c r="M144" s="22" t="s">
        <v>45</v>
      </c>
      <c r="N144" s="22" t="s">
        <v>49</v>
      </c>
      <c r="O144" s="22" t="s">
        <v>45</v>
      </c>
      <c r="P144" s="22" t="s">
        <v>49</v>
      </c>
      <c r="Q144" s="22" t="s">
        <v>665</v>
      </c>
      <c r="R144" s="22" t="s">
        <v>666</v>
      </c>
    </row>
    <row r="145" ht="45.0" customHeight="1">
      <c r="A145" s="20" t="s">
        <v>667</v>
      </c>
      <c r="B145" s="21" t="str">
        <f>IMAGE("https://raw.githubusercontent.com/ltdimages/images/refs/heads/main/Food429.png")</f>
        <v/>
      </c>
      <c r="C145" s="22" t="s">
        <v>668</v>
      </c>
      <c r="D145" s="22" t="s">
        <v>43</v>
      </c>
      <c r="E145" s="22" t="s">
        <v>106</v>
      </c>
      <c r="F145" s="23" t="s">
        <v>149</v>
      </c>
      <c r="G145" s="23">
        <v>5.0</v>
      </c>
      <c r="H145" s="22" t="s">
        <v>49</v>
      </c>
      <c r="I145" s="22" t="s">
        <v>46</v>
      </c>
      <c r="J145" s="22" t="s">
        <v>45</v>
      </c>
      <c r="K145" s="22" t="s">
        <v>56</v>
      </c>
      <c r="L145" s="22" t="s">
        <v>57</v>
      </c>
      <c r="M145" s="22" t="s">
        <v>45</v>
      </c>
      <c r="N145" s="22" t="s">
        <v>49</v>
      </c>
      <c r="O145" s="22" t="s">
        <v>45</v>
      </c>
      <c r="P145" s="22" t="s">
        <v>49</v>
      </c>
      <c r="Q145" s="22" t="s">
        <v>669</v>
      </c>
      <c r="R145" s="22" t="s">
        <v>670</v>
      </c>
    </row>
    <row r="146" ht="45.0" customHeight="1">
      <c r="A146" s="20" t="s">
        <v>671</v>
      </c>
      <c r="B146" s="21" t="str">
        <f>IMAGE("https://raw.githubusercontent.com/ltdimages/images/refs/heads/main/Food034.png")</f>
        <v/>
      </c>
      <c r="C146" s="22" t="s">
        <v>672</v>
      </c>
      <c r="D146" s="22" t="s">
        <v>43</v>
      </c>
      <c r="E146" s="22" t="s">
        <v>177</v>
      </c>
      <c r="F146" s="23"/>
      <c r="G146" s="23">
        <v>6.5</v>
      </c>
      <c r="H146" s="22" t="s">
        <v>49</v>
      </c>
      <c r="I146" s="22" t="s">
        <v>46</v>
      </c>
      <c r="J146" s="22" t="s">
        <v>45</v>
      </c>
      <c r="K146" s="22" t="s">
        <v>56</v>
      </c>
      <c r="L146" s="22" t="s">
        <v>57</v>
      </c>
      <c r="M146" s="22" t="s">
        <v>49</v>
      </c>
      <c r="N146" s="22" t="s">
        <v>49</v>
      </c>
      <c r="O146" s="22" t="s">
        <v>45</v>
      </c>
      <c r="P146" s="22" t="s">
        <v>49</v>
      </c>
      <c r="Q146" s="22" t="s">
        <v>673</v>
      </c>
      <c r="R146" s="22" t="s">
        <v>674</v>
      </c>
    </row>
    <row r="147" ht="45.0" customHeight="1">
      <c r="A147" s="20" t="s">
        <v>675</v>
      </c>
      <c r="B147" s="21" t="str">
        <f>IMAGE("https://raw.githubusercontent.com/ltdimages/images/refs/heads/main/Food427.png")</f>
        <v/>
      </c>
      <c r="C147" s="22" t="s">
        <v>676</v>
      </c>
      <c r="D147" s="22" t="s">
        <v>43</v>
      </c>
      <c r="E147" s="22" t="s">
        <v>106</v>
      </c>
      <c r="F147" s="23" t="s">
        <v>456</v>
      </c>
      <c r="G147" s="23">
        <v>2.5</v>
      </c>
      <c r="H147" s="22" t="s">
        <v>49</v>
      </c>
      <c r="I147" s="22" t="s">
        <v>46</v>
      </c>
      <c r="J147" s="22" t="s">
        <v>45</v>
      </c>
      <c r="K147" s="22" t="s">
        <v>47</v>
      </c>
      <c r="L147" s="22" t="s">
        <v>48</v>
      </c>
      <c r="M147" s="22" t="s">
        <v>45</v>
      </c>
      <c r="N147" s="22" t="s">
        <v>49</v>
      </c>
      <c r="O147" s="22" t="s">
        <v>45</v>
      </c>
      <c r="P147" s="22" t="s">
        <v>45</v>
      </c>
      <c r="Q147" s="22" t="s">
        <v>677</v>
      </c>
      <c r="R147" s="22" t="s">
        <v>678</v>
      </c>
    </row>
    <row r="148" ht="45.0" customHeight="1">
      <c r="A148" s="20" t="s">
        <v>679</v>
      </c>
      <c r="B148" s="21" t="str">
        <f>IMAGE("https://raw.githubusercontent.com/ltdimages/images/refs/heads/main/Food201.png")</f>
        <v/>
      </c>
      <c r="C148" s="22" t="s">
        <v>680</v>
      </c>
      <c r="D148" s="22" t="s">
        <v>43</v>
      </c>
      <c r="E148" s="22"/>
      <c r="F148" s="23"/>
      <c r="G148" s="23">
        <v>1.0</v>
      </c>
      <c r="H148" s="22" t="s">
        <v>45</v>
      </c>
      <c r="I148" s="22" t="s">
        <v>46</v>
      </c>
      <c r="J148" s="22" t="s">
        <v>45</v>
      </c>
      <c r="K148" s="22" t="s">
        <v>47</v>
      </c>
      <c r="L148" s="22" t="s">
        <v>48</v>
      </c>
      <c r="M148" s="22" t="s">
        <v>45</v>
      </c>
      <c r="N148" s="22" t="s">
        <v>49</v>
      </c>
      <c r="O148" s="22" t="s">
        <v>45</v>
      </c>
      <c r="P148" s="22" t="s">
        <v>49</v>
      </c>
      <c r="Q148" s="22" t="s">
        <v>681</v>
      </c>
      <c r="R148" s="22" t="s">
        <v>682</v>
      </c>
    </row>
    <row r="149" ht="45.0" customHeight="1">
      <c r="A149" s="20" t="s">
        <v>683</v>
      </c>
      <c r="B149" s="21" t="str">
        <f>IMAGE("https://raw.githubusercontent.com/ltdimages/images/refs/heads/main/Food383.png")</f>
        <v/>
      </c>
      <c r="C149" s="22" t="s">
        <v>684</v>
      </c>
      <c r="D149" s="22" t="s">
        <v>43</v>
      </c>
      <c r="E149" s="22" t="s">
        <v>106</v>
      </c>
      <c r="F149" s="23" t="s">
        <v>101</v>
      </c>
      <c r="G149" s="23">
        <v>0.5</v>
      </c>
      <c r="H149" s="22" t="s">
        <v>45</v>
      </c>
      <c r="I149" s="22" t="s">
        <v>46</v>
      </c>
      <c r="J149" s="22" t="s">
        <v>45</v>
      </c>
      <c r="K149" s="22" t="s">
        <v>47</v>
      </c>
      <c r="L149" s="22" t="s">
        <v>48</v>
      </c>
      <c r="M149" s="22" t="s">
        <v>49</v>
      </c>
      <c r="N149" s="22" t="s">
        <v>45</v>
      </c>
      <c r="O149" s="22" t="s">
        <v>45</v>
      </c>
      <c r="P149" s="22" t="s">
        <v>45</v>
      </c>
      <c r="Q149" s="22" t="s">
        <v>685</v>
      </c>
      <c r="R149" s="22" t="s">
        <v>686</v>
      </c>
    </row>
    <row r="150" ht="45.0" customHeight="1">
      <c r="A150" s="20" t="s">
        <v>687</v>
      </c>
      <c r="B150" s="21" t="str">
        <f>IMAGE("https://raw.githubusercontent.com/ltdimages/images/refs/heads/main/Food386.png")</f>
        <v/>
      </c>
      <c r="C150" s="22" t="s">
        <v>688</v>
      </c>
      <c r="D150" s="22" t="s">
        <v>43</v>
      </c>
      <c r="E150" s="22" t="s">
        <v>62</v>
      </c>
      <c r="F150" s="23"/>
      <c r="G150" s="23">
        <v>3.0</v>
      </c>
      <c r="H150" s="22" t="s">
        <v>49</v>
      </c>
      <c r="I150" s="22" t="s">
        <v>46</v>
      </c>
      <c r="J150" s="22" t="s">
        <v>45</v>
      </c>
      <c r="K150" s="22" t="s">
        <v>56</v>
      </c>
      <c r="L150" s="22" t="s">
        <v>57</v>
      </c>
      <c r="M150" s="22" t="s">
        <v>45</v>
      </c>
      <c r="N150" s="22" t="s">
        <v>49</v>
      </c>
      <c r="O150" s="22" t="s">
        <v>45</v>
      </c>
      <c r="P150" s="22" t="s">
        <v>45</v>
      </c>
      <c r="Q150" s="22" t="s">
        <v>689</v>
      </c>
      <c r="R150" s="22" t="s">
        <v>690</v>
      </c>
    </row>
    <row r="151" ht="45.0" customHeight="1">
      <c r="A151" s="20" t="s">
        <v>691</v>
      </c>
      <c r="B151" s="21" t="str">
        <f>IMAGE("https://raw.githubusercontent.com/ltdimages/images/refs/heads/main/Food146.png")</f>
        <v/>
      </c>
      <c r="C151" s="22" t="s">
        <v>692</v>
      </c>
      <c r="D151" s="22" t="s">
        <v>43</v>
      </c>
      <c r="E151" s="22" t="s">
        <v>177</v>
      </c>
      <c r="F151" s="23" t="s">
        <v>167</v>
      </c>
      <c r="G151" s="23">
        <v>6.5</v>
      </c>
      <c r="H151" s="22" t="s">
        <v>49</v>
      </c>
      <c r="I151" s="22" t="s">
        <v>46</v>
      </c>
      <c r="J151" s="22" t="s">
        <v>45</v>
      </c>
      <c r="K151" s="22" t="s">
        <v>86</v>
      </c>
      <c r="L151" s="22" t="s">
        <v>57</v>
      </c>
      <c r="M151" s="22" t="s">
        <v>49</v>
      </c>
      <c r="N151" s="22" t="s">
        <v>49</v>
      </c>
      <c r="O151" s="22" t="s">
        <v>49</v>
      </c>
      <c r="P151" s="22" t="s">
        <v>49</v>
      </c>
      <c r="Q151" s="22" t="s">
        <v>693</v>
      </c>
      <c r="R151" s="22" t="s">
        <v>694</v>
      </c>
    </row>
    <row r="152" ht="45.0" customHeight="1">
      <c r="A152" s="20" t="s">
        <v>695</v>
      </c>
      <c r="B152" s="21" t="str">
        <f>IMAGE("https://raw.githubusercontent.com/ltdimages/images/refs/heads/main/Food124.png")</f>
        <v/>
      </c>
      <c r="C152" s="22" t="s">
        <v>696</v>
      </c>
      <c r="D152" s="22" t="s">
        <v>43</v>
      </c>
      <c r="E152" s="22" t="s">
        <v>62</v>
      </c>
      <c r="F152" s="23"/>
      <c r="G152" s="23">
        <v>4.8</v>
      </c>
      <c r="H152" s="22" t="s">
        <v>49</v>
      </c>
      <c r="I152" s="22" t="s">
        <v>46</v>
      </c>
      <c r="J152" s="22" t="s">
        <v>45</v>
      </c>
      <c r="K152" s="22" t="s">
        <v>56</v>
      </c>
      <c r="L152" s="22" t="s">
        <v>48</v>
      </c>
      <c r="M152" s="22" t="s">
        <v>49</v>
      </c>
      <c r="N152" s="22" t="s">
        <v>49</v>
      </c>
      <c r="O152" s="22" t="s">
        <v>49</v>
      </c>
      <c r="P152" s="22" t="s">
        <v>49</v>
      </c>
      <c r="Q152" s="22" t="s">
        <v>697</v>
      </c>
      <c r="R152" s="22" t="s">
        <v>698</v>
      </c>
    </row>
    <row r="153" ht="45.0" customHeight="1">
      <c r="A153" s="20" t="s">
        <v>699</v>
      </c>
      <c r="B153" s="21" t="str">
        <f>IMAGE("https://raw.githubusercontent.com/ltdimages/images/refs/heads/main/Food353.png")</f>
        <v/>
      </c>
      <c r="C153" s="22" t="s">
        <v>700</v>
      </c>
      <c r="D153" s="22" t="s">
        <v>43</v>
      </c>
      <c r="E153" s="22" t="s">
        <v>121</v>
      </c>
      <c r="F153" s="23"/>
      <c r="G153" s="23">
        <v>9.8</v>
      </c>
      <c r="H153" s="22" t="s">
        <v>45</v>
      </c>
      <c r="I153" s="22" t="s">
        <v>46</v>
      </c>
      <c r="J153" s="22" t="s">
        <v>45</v>
      </c>
      <c r="K153" s="22" t="s">
        <v>86</v>
      </c>
      <c r="L153" s="22" t="s">
        <v>57</v>
      </c>
      <c r="M153" s="22" t="s">
        <v>49</v>
      </c>
      <c r="N153" s="22" t="s">
        <v>49</v>
      </c>
      <c r="O153" s="22" t="s">
        <v>49</v>
      </c>
      <c r="P153" s="22" t="s">
        <v>45</v>
      </c>
      <c r="Q153" s="22" t="s">
        <v>701</v>
      </c>
      <c r="R153" s="22" t="s">
        <v>702</v>
      </c>
    </row>
    <row r="154" ht="45.0" customHeight="1">
      <c r="A154" s="20" t="s">
        <v>703</v>
      </c>
      <c r="B154" s="21" t="str">
        <f>IMAGE("https://raw.githubusercontent.com/ltdimages/images/refs/heads/main/Food451.png")</f>
        <v/>
      </c>
      <c r="C154" s="22" t="s">
        <v>704</v>
      </c>
      <c r="D154" s="22" t="s">
        <v>43</v>
      </c>
      <c r="E154" s="22" t="s">
        <v>705</v>
      </c>
      <c r="F154" s="23"/>
      <c r="G154" s="23">
        <v>18.0</v>
      </c>
      <c r="H154" s="22" t="s">
        <v>45</v>
      </c>
      <c r="I154" s="22" t="s">
        <v>46</v>
      </c>
      <c r="J154" s="22" t="s">
        <v>45</v>
      </c>
      <c r="K154" s="22" t="s">
        <v>86</v>
      </c>
      <c r="L154" s="22" t="s">
        <v>48</v>
      </c>
      <c r="M154" s="22" t="s">
        <v>49</v>
      </c>
      <c r="N154" s="22" t="s">
        <v>49</v>
      </c>
      <c r="O154" s="22" t="s">
        <v>45</v>
      </c>
      <c r="P154" s="22" t="s">
        <v>45</v>
      </c>
      <c r="Q154" s="22" t="s">
        <v>706</v>
      </c>
      <c r="R154" s="22" t="s">
        <v>707</v>
      </c>
    </row>
    <row r="155" ht="45.0" customHeight="1">
      <c r="A155" s="20" t="s">
        <v>708</v>
      </c>
      <c r="B155" s="21" t="str">
        <f>IMAGE("https://raw.githubusercontent.com/ltdimages/images/refs/heads/main/Food351.png")</f>
        <v/>
      </c>
      <c r="C155" s="22" t="s">
        <v>709</v>
      </c>
      <c r="D155" s="22" t="s">
        <v>43</v>
      </c>
      <c r="E155" s="22" t="s">
        <v>100</v>
      </c>
      <c r="F155" s="23" t="s">
        <v>167</v>
      </c>
      <c r="G155" s="23">
        <v>8.1</v>
      </c>
      <c r="H155" s="22" t="s">
        <v>49</v>
      </c>
      <c r="I155" s="22" t="s">
        <v>46</v>
      </c>
      <c r="J155" s="22" t="s">
        <v>45</v>
      </c>
      <c r="K155" s="22" t="s">
        <v>86</v>
      </c>
      <c r="L155" s="22" t="s">
        <v>57</v>
      </c>
      <c r="M155" s="22" t="s">
        <v>49</v>
      </c>
      <c r="N155" s="22" t="s">
        <v>49</v>
      </c>
      <c r="O155" s="22" t="s">
        <v>45</v>
      </c>
      <c r="P155" s="22" t="s">
        <v>45</v>
      </c>
      <c r="Q155" s="22" t="s">
        <v>710</v>
      </c>
      <c r="R155" s="22" t="s">
        <v>711</v>
      </c>
    </row>
    <row r="156" ht="45.0" customHeight="1">
      <c r="A156" s="20" t="s">
        <v>712</v>
      </c>
      <c r="B156" s="21" t="str">
        <f>IMAGE("https://raw.githubusercontent.com/ltdimages/images/refs/heads/main/Food286.png")</f>
        <v/>
      </c>
      <c r="C156" s="22" t="s">
        <v>713</v>
      </c>
      <c r="D156" s="22" t="s">
        <v>43</v>
      </c>
      <c r="E156" s="22" t="s">
        <v>177</v>
      </c>
      <c r="F156" s="23" t="s">
        <v>167</v>
      </c>
      <c r="G156" s="23">
        <v>5.8</v>
      </c>
      <c r="H156" s="22" t="s">
        <v>49</v>
      </c>
      <c r="I156" s="22" t="s">
        <v>46</v>
      </c>
      <c r="J156" s="22" t="s">
        <v>45</v>
      </c>
      <c r="K156" s="22" t="s">
        <v>56</v>
      </c>
      <c r="L156" s="22" t="s">
        <v>57</v>
      </c>
      <c r="M156" s="22" t="s">
        <v>49</v>
      </c>
      <c r="N156" s="22" t="s">
        <v>49</v>
      </c>
      <c r="O156" s="22" t="s">
        <v>49</v>
      </c>
      <c r="P156" s="22" t="s">
        <v>45</v>
      </c>
      <c r="Q156" s="22" t="s">
        <v>714</v>
      </c>
      <c r="R156" s="22" t="s">
        <v>715</v>
      </c>
    </row>
    <row r="157" ht="45.0" customHeight="1">
      <c r="A157" s="20" t="s">
        <v>716</v>
      </c>
      <c r="B157" s="21" t="str">
        <f>IMAGE("https://raw.githubusercontent.com/ltdimages/images/refs/heads/main/Food108.png")</f>
        <v/>
      </c>
      <c r="C157" s="22" t="s">
        <v>717</v>
      </c>
      <c r="D157" s="22" t="s">
        <v>43</v>
      </c>
      <c r="E157" s="22"/>
      <c r="F157" s="23" t="s">
        <v>101</v>
      </c>
      <c r="G157" s="23">
        <v>6.7</v>
      </c>
      <c r="H157" s="22" t="s">
        <v>49</v>
      </c>
      <c r="I157" s="22" t="s">
        <v>46</v>
      </c>
      <c r="J157" s="22" t="s">
        <v>45</v>
      </c>
      <c r="K157" s="22" t="s">
        <v>86</v>
      </c>
      <c r="L157" s="22" t="s">
        <v>57</v>
      </c>
      <c r="M157" s="22" t="s">
        <v>45</v>
      </c>
      <c r="N157" s="22" t="s">
        <v>49</v>
      </c>
      <c r="O157" s="22" t="s">
        <v>45</v>
      </c>
      <c r="P157" s="22" t="s">
        <v>49</v>
      </c>
      <c r="Q157" s="22" t="s">
        <v>718</v>
      </c>
      <c r="R157" s="22" t="s">
        <v>719</v>
      </c>
    </row>
    <row r="158" ht="45.0" customHeight="1">
      <c r="A158" s="20" t="s">
        <v>720</v>
      </c>
      <c r="B158" s="21" t="str">
        <f>IMAGE("https://raw.githubusercontent.com/ltdimages/images/refs/heads/main/Food250.png")</f>
        <v/>
      </c>
      <c r="C158" s="22" t="s">
        <v>721</v>
      </c>
      <c r="D158" s="22" t="s">
        <v>43</v>
      </c>
      <c r="E158" s="22"/>
      <c r="F158" s="23"/>
      <c r="G158" s="23">
        <v>3.5</v>
      </c>
      <c r="H158" s="22" t="s">
        <v>49</v>
      </c>
      <c r="I158" s="22" t="s">
        <v>46</v>
      </c>
      <c r="J158" s="22" t="s">
        <v>45</v>
      </c>
      <c r="K158" s="22" t="s">
        <v>56</v>
      </c>
      <c r="L158" s="22" t="s">
        <v>57</v>
      </c>
      <c r="M158" s="22" t="s">
        <v>49</v>
      </c>
      <c r="N158" s="22" t="s">
        <v>49</v>
      </c>
      <c r="O158" s="22" t="s">
        <v>49</v>
      </c>
      <c r="P158" s="22" t="s">
        <v>49</v>
      </c>
      <c r="Q158" s="22" t="s">
        <v>722</v>
      </c>
      <c r="R158" s="22" t="s">
        <v>723</v>
      </c>
    </row>
    <row r="159" ht="45.0" customHeight="1">
      <c r="A159" s="20" t="s">
        <v>724</v>
      </c>
      <c r="B159" s="21" t="str">
        <f>IMAGE("https://raw.githubusercontent.com/ltdimages/images/refs/heads/main/Food110.png")</f>
        <v/>
      </c>
      <c r="C159" s="22" t="s">
        <v>725</v>
      </c>
      <c r="D159" s="22" t="s">
        <v>43</v>
      </c>
      <c r="E159" s="22" t="s">
        <v>106</v>
      </c>
      <c r="F159" s="23"/>
      <c r="G159" s="23">
        <v>78.0</v>
      </c>
      <c r="H159" s="22" t="s">
        <v>45</v>
      </c>
      <c r="I159" s="22" t="s">
        <v>46</v>
      </c>
      <c r="J159" s="22" t="s">
        <v>45</v>
      </c>
      <c r="K159" s="22" t="s">
        <v>47</v>
      </c>
      <c r="L159" s="22" t="s">
        <v>48</v>
      </c>
      <c r="M159" s="22" t="s">
        <v>49</v>
      </c>
      <c r="N159" s="22" t="s">
        <v>49</v>
      </c>
      <c r="O159" s="22" t="s">
        <v>45</v>
      </c>
      <c r="P159" s="22" t="s">
        <v>49</v>
      </c>
      <c r="Q159" s="22" t="s">
        <v>726</v>
      </c>
      <c r="R159" s="22" t="s">
        <v>727</v>
      </c>
    </row>
    <row r="160" ht="45.0" customHeight="1">
      <c r="A160" s="20" t="s">
        <v>728</v>
      </c>
      <c r="B160" s="21" t="str">
        <f>IMAGE("https://raw.githubusercontent.com/ltdimages/images/refs/heads/main/Food129.png")</f>
        <v/>
      </c>
      <c r="C160" s="22" t="s">
        <v>729</v>
      </c>
      <c r="D160" s="22" t="s">
        <v>43</v>
      </c>
      <c r="E160" s="22" t="s">
        <v>85</v>
      </c>
      <c r="F160" s="23"/>
      <c r="G160" s="23">
        <v>6.0</v>
      </c>
      <c r="H160" s="22" t="s">
        <v>49</v>
      </c>
      <c r="I160" s="22" t="s">
        <v>46</v>
      </c>
      <c r="J160" s="22" t="s">
        <v>45</v>
      </c>
      <c r="K160" s="22" t="s">
        <v>56</v>
      </c>
      <c r="L160" s="22" t="s">
        <v>57</v>
      </c>
      <c r="M160" s="22" t="s">
        <v>45</v>
      </c>
      <c r="N160" s="22" t="s">
        <v>49</v>
      </c>
      <c r="O160" s="22" t="s">
        <v>45</v>
      </c>
      <c r="P160" s="22" t="s">
        <v>49</v>
      </c>
      <c r="Q160" s="22" t="s">
        <v>730</v>
      </c>
      <c r="R160" s="22" t="s">
        <v>731</v>
      </c>
    </row>
    <row r="161" ht="45.0" customHeight="1">
      <c r="A161" s="20" t="s">
        <v>732</v>
      </c>
      <c r="B161" s="21" t="str">
        <f>IMAGE("https://raw.githubusercontent.com/ltdimages/images/refs/heads/main/Food148.png")</f>
        <v/>
      </c>
      <c r="C161" s="22" t="s">
        <v>733</v>
      </c>
      <c r="D161" s="22" t="s">
        <v>43</v>
      </c>
      <c r="E161" s="22" t="s">
        <v>62</v>
      </c>
      <c r="F161" s="23"/>
      <c r="G161" s="23">
        <v>5.0</v>
      </c>
      <c r="H161" s="22" t="s">
        <v>49</v>
      </c>
      <c r="I161" s="22" t="s">
        <v>46</v>
      </c>
      <c r="J161" s="22" t="s">
        <v>45</v>
      </c>
      <c r="K161" s="22" t="s">
        <v>86</v>
      </c>
      <c r="L161" s="22" t="s">
        <v>57</v>
      </c>
      <c r="M161" s="22" t="s">
        <v>49</v>
      </c>
      <c r="N161" s="22" t="s">
        <v>49</v>
      </c>
      <c r="O161" s="22" t="s">
        <v>49</v>
      </c>
      <c r="P161" s="22" t="s">
        <v>49</v>
      </c>
      <c r="Q161" s="22" t="s">
        <v>734</v>
      </c>
      <c r="R161" s="22" t="s">
        <v>735</v>
      </c>
    </row>
    <row r="162" ht="45.0" customHeight="1">
      <c r="A162" s="20" t="s">
        <v>736</v>
      </c>
      <c r="B162" s="21" t="str">
        <f>IMAGE("https://raw.githubusercontent.com/ltdimages/images/refs/heads/main/Food337.png")</f>
        <v/>
      </c>
      <c r="C162" s="22" t="s">
        <v>737</v>
      </c>
      <c r="D162" s="22" t="s">
        <v>43</v>
      </c>
      <c r="E162" s="22" t="s">
        <v>106</v>
      </c>
      <c r="F162" s="23"/>
      <c r="G162" s="23">
        <v>7.0</v>
      </c>
      <c r="H162" s="22" t="s">
        <v>49</v>
      </c>
      <c r="I162" s="22" t="s">
        <v>46</v>
      </c>
      <c r="J162" s="22" t="s">
        <v>45</v>
      </c>
      <c r="K162" s="22" t="s">
        <v>56</v>
      </c>
      <c r="L162" s="22" t="s">
        <v>57</v>
      </c>
      <c r="M162" s="22" t="s">
        <v>49</v>
      </c>
      <c r="N162" s="22" t="s">
        <v>49</v>
      </c>
      <c r="O162" s="22" t="s">
        <v>49</v>
      </c>
      <c r="P162" s="22" t="s">
        <v>49</v>
      </c>
      <c r="Q162" s="22" t="s">
        <v>738</v>
      </c>
      <c r="R162" s="22" t="s">
        <v>739</v>
      </c>
    </row>
    <row r="163" ht="45.0" customHeight="1">
      <c r="A163" s="20" t="s">
        <v>740</v>
      </c>
      <c r="B163" s="21" t="str">
        <f>IMAGE("https://raw.githubusercontent.com/ltdimages/images/refs/heads/main/Food113.png")</f>
        <v/>
      </c>
      <c r="C163" s="22" t="s">
        <v>741</v>
      </c>
      <c r="D163" s="22" t="s">
        <v>43</v>
      </c>
      <c r="E163" s="22"/>
      <c r="F163" s="23" t="s">
        <v>111</v>
      </c>
      <c r="G163" s="23">
        <v>2.8</v>
      </c>
      <c r="H163" s="22" t="s">
        <v>49</v>
      </c>
      <c r="I163" s="22" t="s">
        <v>46</v>
      </c>
      <c r="J163" s="22" t="s">
        <v>45</v>
      </c>
      <c r="K163" s="22" t="s">
        <v>47</v>
      </c>
      <c r="L163" s="22" t="s">
        <v>57</v>
      </c>
      <c r="M163" s="22" t="s">
        <v>49</v>
      </c>
      <c r="N163" s="22" t="s">
        <v>49</v>
      </c>
      <c r="O163" s="22" t="s">
        <v>49</v>
      </c>
      <c r="P163" s="22" t="s">
        <v>49</v>
      </c>
      <c r="Q163" s="22" t="s">
        <v>742</v>
      </c>
      <c r="R163" s="22" t="s">
        <v>743</v>
      </c>
    </row>
    <row r="164" ht="45.0" customHeight="1">
      <c r="A164" s="20" t="s">
        <v>744</v>
      </c>
      <c r="B164" s="21" t="str">
        <f>IMAGE("https://raw.githubusercontent.com/ltdimages/images/refs/heads/main/Food409.png")</f>
        <v/>
      </c>
      <c r="C164" s="22" t="s">
        <v>745</v>
      </c>
      <c r="D164" s="22" t="s">
        <v>43</v>
      </c>
      <c r="E164" s="22"/>
      <c r="F164" s="23" t="s">
        <v>111</v>
      </c>
      <c r="G164" s="23">
        <v>3.0</v>
      </c>
      <c r="H164" s="22" t="s">
        <v>49</v>
      </c>
      <c r="I164" s="22" t="s">
        <v>46</v>
      </c>
      <c r="J164" s="22" t="s">
        <v>45</v>
      </c>
      <c r="K164" s="22" t="s">
        <v>47</v>
      </c>
      <c r="L164" s="22" t="s">
        <v>57</v>
      </c>
      <c r="M164" s="22" t="s">
        <v>45</v>
      </c>
      <c r="N164" s="22" t="s">
        <v>49</v>
      </c>
      <c r="O164" s="22" t="s">
        <v>45</v>
      </c>
      <c r="P164" s="22" t="s">
        <v>49</v>
      </c>
      <c r="Q164" s="22" t="s">
        <v>746</v>
      </c>
      <c r="R164" s="22" t="s">
        <v>747</v>
      </c>
    </row>
    <row r="165" ht="45.0" customHeight="1">
      <c r="A165" s="20" t="s">
        <v>748</v>
      </c>
      <c r="B165" s="21" t="str">
        <f>IMAGE("https://raw.githubusercontent.com/ltdimages/images/refs/heads/main/Food021.png")</f>
        <v/>
      </c>
      <c r="C165" s="22" t="s">
        <v>749</v>
      </c>
      <c r="D165" s="22" t="s">
        <v>43</v>
      </c>
      <c r="E165" s="22"/>
      <c r="F165" s="23"/>
      <c r="G165" s="23">
        <v>1.5</v>
      </c>
      <c r="H165" s="22" t="s">
        <v>45</v>
      </c>
      <c r="I165" s="22" t="s">
        <v>46</v>
      </c>
      <c r="J165" s="22" t="s">
        <v>45</v>
      </c>
      <c r="K165" s="22" t="s">
        <v>56</v>
      </c>
      <c r="L165" s="22" t="s">
        <v>57</v>
      </c>
      <c r="M165" s="22" t="s">
        <v>45</v>
      </c>
      <c r="N165" s="22" t="s">
        <v>49</v>
      </c>
      <c r="O165" s="22" t="s">
        <v>45</v>
      </c>
      <c r="P165" s="22" t="s">
        <v>49</v>
      </c>
      <c r="Q165" s="22" t="s">
        <v>750</v>
      </c>
      <c r="R165" s="22" t="s">
        <v>751</v>
      </c>
    </row>
    <row r="166" ht="45.0" customHeight="1">
      <c r="A166" s="20" t="s">
        <v>752</v>
      </c>
      <c r="B166" s="21" t="str">
        <f>IMAGE("https://raw.githubusercontent.com/ltdimages/images/refs/heads/main/Food177.png")</f>
        <v/>
      </c>
      <c r="C166" s="22" t="s">
        <v>753</v>
      </c>
      <c r="D166" s="22" t="s">
        <v>43</v>
      </c>
      <c r="E166" s="22" t="s">
        <v>67</v>
      </c>
      <c r="F166" s="23"/>
      <c r="G166" s="23">
        <v>0.2</v>
      </c>
      <c r="H166" s="22" t="s">
        <v>45</v>
      </c>
      <c r="I166" s="22" t="s">
        <v>46</v>
      </c>
      <c r="J166" s="22" t="s">
        <v>49</v>
      </c>
      <c r="K166" s="22" t="s">
        <v>56</v>
      </c>
      <c r="L166" s="22" t="s">
        <v>48</v>
      </c>
      <c r="M166" s="22" t="s">
        <v>45</v>
      </c>
      <c r="N166" s="22" t="s">
        <v>45</v>
      </c>
      <c r="O166" s="22" t="s">
        <v>45</v>
      </c>
      <c r="P166" s="22" t="s">
        <v>45</v>
      </c>
      <c r="Q166" s="22" t="s">
        <v>754</v>
      </c>
      <c r="R166" s="22" t="s">
        <v>755</v>
      </c>
    </row>
    <row r="167" ht="45.0" customHeight="1">
      <c r="A167" s="20" t="s">
        <v>756</v>
      </c>
      <c r="B167" s="21" t="str">
        <f>IMAGE("https://raw.githubusercontent.com/ltdimages/images/refs/heads/main/Food208.png")</f>
        <v/>
      </c>
      <c r="C167" s="22" t="s">
        <v>757</v>
      </c>
      <c r="D167" s="22" t="s">
        <v>43</v>
      </c>
      <c r="E167" s="22"/>
      <c r="F167" s="23"/>
      <c r="G167" s="23">
        <v>6.2</v>
      </c>
      <c r="H167" s="22" t="s">
        <v>49</v>
      </c>
      <c r="I167" s="22" t="s">
        <v>46</v>
      </c>
      <c r="J167" s="22" t="s">
        <v>45</v>
      </c>
      <c r="K167" s="22" t="s">
        <v>86</v>
      </c>
      <c r="L167" s="22" t="s">
        <v>57</v>
      </c>
      <c r="M167" s="22" t="s">
        <v>45</v>
      </c>
      <c r="N167" s="22" t="s">
        <v>45</v>
      </c>
      <c r="O167" s="22" t="s">
        <v>45</v>
      </c>
      <c r="P167" s="22" t="s">
        <v>49</v>
      </c>
      <c r="Q167" s="22" t="s">
        <v>758</v>
      </c>
      <c r="R167" s="22" t="s">
        <v>759</v>
      </c>
    </row>
    <row r="168" ht="45.0" customHeight="1">
      <c r="A168" s="20" t="s">
        <v>760</v>
      </c>
      <c r="B168" s="21" t="str">
        <f>IMAGE("https://raw.githubusercontent.com/ltdimages/images/refs/heads/main/Food476.png")</f>
        <v/>
      </c>
      <c r="C168" s="22" t="s">
        <v>761</v>
      </c>
      <c r="D168" s="22" t="s">
        <v>43</v>
      </c>
      <c r="E168" s="22" t="s">
        <v>62</v>
      </c>
      <c r="F168" s="23"/>
      <c r="G168" s="23">
        <v>9.5</v>
      </c>
      <c r="H168" s="22" t="s">
        <v>49</v>
      </c>
      <c r="I168" s="22" t="s">
        <v>46</v>
      </c>
      <c r="J168" s="22" t="s">
        <v>45</v>
      </c>
      <c r="K168" s="22" t="s">
        <v>56</v>
      </c>
      <c r="L168" s="22" t="s">
        <v>48</v>
      </c>
      <c r="M168" s="22" t="s">
        <v>49</v>
      </c>
      <c r="N168" s="22" t="s">
        <v>762</v>
      </c>
      <c r="O168" s="22" t="s">
        <v>45</v>
      </c>
      <c r="P168" s="22" t="s">
        <v>49</v>
      </c>
      <c r="Q168" s="22" t="s">
        <v>763</v>
      </c>
      <c r="R168" s="22" t="s">
        <v>764</v>
      </c>
    </row>
    <row r="169" ht="45.0" customHeight="1">
      <c r="A169" s="20" t="s">
        <v>765</v>
      </c>
      <c r="B169" s="21" t="str">
        <f>IMAGE("https://raw.githubusercontent.com/ltdimages/images/refs/heads/main/Food358.png")</f>
        <v/>
      </c>
      <c r="C169" s="22" t="s">
        <v>766</v>
      </c>
      <c r="D169" s="22" t="s">
        <v>43</v>
      </c>
      <c r="E169" s="22"/>
      <c r="F169" s="23"/>
      <c r="G169" s="23">
        <v>3.0</v>
      </c>
      <c r="H169" s="22" t="s">
        <v>49</v>
      </c>
      <c r="I169" s="22" t="s">
        <v>46</v>
      </c>
      <c r="J169" s="22" t="s">
        <v>45</v>
      </c>
      <c r="K169" s="22" t="s">
        <v>47</v>
      </c>
      <c r="L169" s="22" t="s">
        <v>172</v>
      </c>
      <c r="M169" s="22" t="s">
        <v>49</v>
      </c>
      <c r="N169" s="22" t="s">
        <v>49</v>
      </c>
      <c r="O169" s="22" t="s">
        <v>49</v>
      </c>
      <c r="P169" s="22" t="s">
        <v>49</v>
      </c>
      <c r="Q169" s="22" t="s">
        <v>767</v>
      </c>
      <c r="R169" s="22" t="s">
        <v>768</v>
      </c>
    </row>
    <row r="170" ht="45.0" customHeight="1">
      <c r="A170" s="20" t="s">
        <v>769</v>
      </c>
      <c r="B170" s="21" t="str">
        <f>IMAGE("https://raw.githubusercontent.com/ltdimages/images/refs/heads/main/Food221.png")</f>
        <v/>
      </c>
      <c r="C170" s="22" t="s">
        <v>770</v>
      </c>
      <c r="D170" s="22" t="s">
        <v>43</v>
      </c>
      <c r="E170" s="22" t="s">
        <v>771</v>
      </c>
      <c r="F170" s="23" t="s">
        <v>111</v>
      </c>
      <c r="G170" s="23">
        <v>6.7</v>
      </c>
      <c r="H170" s="22" t="s">
        <v>49</v>
      </c>
      <c r="I170" s="22" t="s">
        <v>46</v>
      </c>
      <c r="J170" s="22" t="s">
        <v>45</v>
      </c>
      <c r="K170" s="22" t="s">
        <v>86</v>
      </c>
      <c r="L170" s="22" t="s">
        <v>172</v>
      </c>
      <c r="M170" s="22" t="s">
        <v>45</v>
      </c>
      <c r="N170" s="22" t="s">
        <v>49</v>
      </c>
      <c r="O170" s="22" t="s">
        <v>45</v>
      </c>
      <c r="P170" s="22" t="s">
        <v>49</v>
      </c>
      <c r="Q170" s="22" t="s">
        <v>772</v>
      </c>
      <c r="R170" s="22" t="s">
        <v>773</v>
      </c>
    </row>
    <row r="171" ht="45.0" customHeight="1">
      <c r="A171" s="20" t="s">
        <v>774</v>
      </c>
      <c r="B171" s="21" t="str">
        <f>IMAGE("https://raw.githubusercontent.com/ltdimages/images/refs/heads/main/Food035.png")</f>
        <v/>
      </c>
      <c r="C171" s="22" t="s">
        <v>775</v>
      </c>
      <c r="D171" s="22" t="s">
        <v>43</v>
      </c>
      <c r="E171" s="22" t="s">
        <v>106</v>
      </c>
      <c r="F171" s="23"/>
      <c r="G171" s="23">
        <v>1.3</v>
      </c>
      <c r="H171" s="22" t="s">
        <v>45</v>
      </c>
      <c r="I171" s="22" t="s">
        <v>46</v>
      </c>
      <c r="J171" s="22" t="s">
        <v>45</v>
      </c>
      <c r="K171" s="22" t="s">
        <v>47</v>
      </c>
      <c r="L171" s="22" t="s">
        <v>48</v>
      </c>
      <c r="M171" s="22" t="s">
        <v>49</v>
      </c>
      <c r="N171" s="22" t="s">
        <v>49</v>
      </c>
      <c r="O171" s="22" t="s">
        <v>49</v>
      </c>
      <c r="P171" s="22" t="s">
        <v>49</v>
      </c>
      <c r="Q171" s="22" t="s">
        <v>776</v>
      </c>
      <c r="R171" s="22" t="s">
        <v>777</v>
      </c>
    </row>
    <row r="172" ht="45.0" customHeight="1">
      <c r="A172" s="20" t="s">
        <v>778</v>
      </c>
      <c r="B172" s="21" t="str">
        <f>IMAGE("https://raw.githubusercontent.com/ltdimages/images/refs/heads/main/Food336.png")</f>
        <v/>
      </c>
      <c r="C172" s="22" t="s">
        <v>779</v>
      </c>
      <c r="D172" s="22" t="s">
        <v>43</v>
      </c>
      <c r="E172" s="22" t="s">
        <v>121</v>
      </c>
      <c r="F172" s="23"/>
      <c r="G172" s="23">
        <v>7.9</v>
      </c>
      <c r="H172" s="22" t="s">
        <v>49</v>
      </c>
      <c r="I172" s="22" t="s">
        <v>46</v>
      </c>
      <c r="J172" s="22" t="s">
        <v>45</v>
      </c>
      <c r="K172" s="22" t="s">
        <v>47</v>
      </c>
      <c r="L172" s="22" t="s">
        <v>48</v>
      </c>
      <c r="M172" s="22" t="s">
        <v>49</v>
      </c>
      <c r="N172" s="22" t="s">
        <v>49</v>
      </c>
      <c r="O172" s="22" t="s">
        <v>49</v>
      </c>
      <c r="P172" s="22" t="s">
        <v>45</v>
      </c>
      <c r="Q172" s="22" t="s">
        <v>780</v>
      </c>
      <c r="R172" s="22" t="s">
        <v>781</v>
      </c>
    </row>
    <row r="173" ht="45.0" customHeight="1">
      <c r="A173" s="20" t="s">
        <v>782</v>
      </c>
      <c r="B173" s="21" t="str">
        <f>IMAGE("https://raw.githubusercontent.com/ltdimages/images/refs/heads/main/Food126.png")</f>
        <v/>
      </c>
      <c r="C173" s="22" t="s">
        <v>783</v>
      </c>
      <c r="D173" s="22" t="s">
        <v>43</v>
      </c>
      <c r="E173" s="22" t="s">
        <v>106</v>
      </c>
      <c r="F173" s="23"/>
      <c r="G173" s="23">
        <v>1.0</v>
      </c>
      <c r="H173" s="22" t="s">
        <v>45</v>
      </c>
      <c r="I173" s="22" t="s">
        <v>46</v>
      </c>
      <c r="J173" s="22" t="s">
        <v>45</v>
      </c>
      <c r="K173" s="22" t="s">
        <v>47</v>
      </c>
      <c r="L173" s="22" t="s">
        <v>48</v>
      </c>
      <c r="M173" s="22" t="s">
        <v>45</v>
      </c>
      <c r="N173" s="22" t="s">
        <v>45</v>
      </c>
      <c r="O173" s="22" t="s">
        <v>45</v>
      </c>
      <c r="P173" s="22" t="s">
        <v>49</v>
      </c>
      <c r="Q173" s="22" t="s">
        <v>784</v>
      </c>
      <c r="R173" s="22" t="s">
        <v>785</v>
      </c>
    </row>
    <row r="174" ht="45.0" customHeight="1">
      <c r="A174" s="20" t="s">
        <v>786</v>
      </c>
      <c r="B174" s="21" t="str">
        <f>IMAGE("https://raw.githubusercontent.com/ltdimages/images/refs/heads/main/Food265.png")</f>
        <v/>
      </c>
      <c r="C174" s="22" t="s">
        <v>787</v>
      </c>
      <c r="D174" s="22" t="s">
        <v>43</v>
      </c>
      <c r="E174" s="22"/>
      <c r="F174" s="23" t="s">
        <v>456</v>
      </c>
      <c r="G174" s="23">
        <v>7.5</v>
      </c>
      <c r="H174" s="22" t="s">
        <v>49</v>
      </c>
      <c r="I174" s="22" t="s">
        <v>46</v>
      </c>
      <c r="J174" s="22" t="s">
        <v>45</v>
      </c>
      <c r="K174" s="22" t="s">
        <v>86</v>
      </c>
      <c r="L174" s="22" t="s">
        <v>57</v>
      </c>
      <c r="M174" s="22" t="s">
        <v>49</v>
      </c>
      <c r="N174" s="22" t="s">
        <v>45</v>
      </c>
      <c r="O174" s="22" t="s">
        <v>49</v>
      </c>
      <c r="P174" s="22" t="s">
        <v>45</v>
      </c>
      <c r="Q174" s="22" t="s">
        <v>788</v>
      </c>
      <c r="R174" s="22" t="s">
        <v>789</v>
      </c>
    </row>
    <row r="175" ht="45.0" customHeight="1">
      <c r="A175" s="20" t="s">
        <v>790</v>
      </c>
      <c r="B175" s="21" t="str">
        <f>IMAGE("https://raw.githubusercontent.com/ltdimages/images/refs/heads/main/Food421.png")</f>
        <v/>
      </c>
      <c r="C175" s="22" t="s">
        <v>791</v>
      </c>
      <c r="D175" s="22" t="s">
        <v>43</v>
      </c>
      <c r="E175" s="22" t="s">
        <v>106</v>
      </c>
      <c r="F175" s="23"/>
      <c r="G175" s="23">
        <v>3.0</v>
      </c>
      <c r="H175" s="22" t="s">
        <v>49</v>
      </c>
      <c r="I175" s="22" t="s">
        <v>46</v>
      </c>
      <c r="J175" s="22" t="s">
        <v>45</v>
      </c>
      <c r="K175" s="22" t="s">
        <v>47</v>
      </c>
      <c r="L175" s="22" t="s">
        <v>48</v>
      </c>
      <c r="M175" s="22" t="s">
        <v>45</v>
      </c>
      <c r="N175" s="22" t="s">
        <v>49</v>
      </c>
      <c r="O175" s="22" t="s">
        <v>45</v>
      </c>
      <c r="P175" s="22" t="s">
        <v>49</v>
      </c>
      <c r="Q175" s="22" t="s">
        <v>792</v>
      </c>
      <c r="R175" s="22" t="s">
        <v>793</v>
      </c>
    </row>
    <row r="176" ht="45.0" customHeight="1">
      <c r="A176" s="20" t="s">
        <v>794</v>
      </c>
      <c r="B176" s="21" t="str">
        <f>IMAGE("https://raw.githubusercontent.com/ltdimages/images/refs/heads/main/Food415.png")</f>
        <v/>
      </c>
      <c r="C176" s="22" t="s">
        <v>795</v>
      </c>
      <c r="D176" s="22" t="s">
        <v>43</v>
      </c>
      <c r="E176" s="22" t="s">
        <v>106</v>
      </c>
      <c r="F176" s="23"/>
      <c r="G176" s="23">
        <v>2.0</v>
      </c>
      <c r="H176" s="22" t="s">
        <v>45</v>
      </c>
      <c r="I176" s="22" t="s">
        <v>46</v>
      </c>
      <c r="J176" s="22" t="s">
        <v>45</v>
      </c>
      <c r="K176" s="22" t="s">
        <v>56</v>
      </c>
      <c r="L176" s="22" t="s">
        <v>48</v>
      </c>
      <c r="M176" s="22" t="s">
        <v>49</v>
      </c>
      <c r="N176" s="22" t="s">
        <v>49</v>
      </c>
      <c r="O176" s="22" t="s">
        <v>49</v>
      </c>
      <c r="P176" s="22" t="s">
        <v>49</v>
      </c>
      <c r="Q176" s="22" t="s">
        <v>796</v>
      </c>
      <c r="R176" s="22" t="s">
        <v>797</v>
      </c>
    </row>
    <row r="177" ht="45.0" customHeight="1">
      <c r="A177" s="20" t="s">
        <v>798</v>
      </c>
      <c r="B177" s="21" t="str">
        <f>IMAGE("https://raw.githubusercontent.com/ltdimages/images/refs/heads/main/Food092.png")</f>
        <v/>
      </c>
      <c r="C177" s="22" t="s">
        <v>799</v>
      </c>
      <c r="D177" s="22" t="s">
        <v>43</v>
      </c>
      <c r="E177" s="22"/>
      <c r="F177" s="23"/>
      <c r="G177" s="23">
        <v>1.0</v>
      </c>
      <c r="H177" s="22" t="s">
        <v>49</v>
      </c>
      <c r="I177" s="22" t="s">
        <v>112</v>
      </c>
      <c r="J177" s="22" t="s">
        <v>45</v>
      </c>
      <c r="K177" s="22" t="s">
        <v>47</v>
      </c>
      <c r="L177" s="22" t="s">
        <v>48</v>
      </c>
      <c r="M177" s="22" t="s">
        <v>45</v>
      </c>
      <c r="N177" s="22" t="s">
        <v>49</v>
      </c>
      <c r="O177" s="22" t="s">
        <v>45</v>
      </c>
      <c r="P177" s="22" t="s">
        <v>49</v>
      </c>
      <c r="Q177" s="22" t="s">
        <v>800</v>
      </c>
      <c r="R177" s="22" t="s">
        <v>801</v>
      </c>
    </row>
    <row r="178" ht="45.0" customHeight="1">
      <c r="A178" s="20" t="s">
        <v>802</v>
      </c>
      <c r="B178" s="21" t="str">
        <f>IMAGE("https://raw.githubusercontent.com/ltdimages/images/refs/heads/main/Food017.png")</f>
        <v/>
      </c>
      <c r="C178" s="22" t="s">
        <v>803</v>
      </c>
      <c r="D178" s="22" t="s">
        <v>43</v>
      </c>
      <c r="E178" s="22" t="s">
        <v>126</v>
      </c>
      <c r="F178" s="23" t="s">
        <v>111</v>
      </c>
      <c r="G178" s="23">
        <v>4.8</v>
      </c>
      <c r="H178" s="22" t="s">
        <v>49</v>
      </c>
      <c r="I178" s="22" t="s">
        <v>46</v>
      </c>
      <c r="J178" s="22" t="s">
        <v>45</v>
      </c>
      <c r="K178" s="22" t="s">
        <v>56</v>
      </c>
      <c r="L178" s="22" t="s">
        <v>57</v>
      </c>
      <c r="M178" s="22" t="s">
        <v>45</v>
      </c>
      <c r="N178" s="22" t="s">
        <v>45</v>
      </c>
      <c r="O178" s="22" t="s">
        <v>45</v>
      </c>
      <c r="P178" s="22" t="s">
        <v>49</v>
      </c>
      <c r="Q178" s="22" t="s">
        <v>804</v>
      </c>
      <c r="R178" s="22" t="s">
        <v>805</v>
      </c>
    </row>
    <row r="179" ht="45.0" customHeight="1">
      <c r="A179" s="20" t="s">
        <v>806</v>
      </c>
      <c r="B179" s="21" t="str">
        <f>IMAGE("https://raw.githubusercontent.com/ltdimages/images/refs/heads/main/Food018.png")</f>
        <v/>
      </c>
      <c r="C179" s="22" t="s">
        <v>807</v>
      </c>
      <c r="D179" s="22" t="s">
        <v>43</v>
      </c>
      <c r="E179" s="22"/>
      <c r="F179" s="23"/>
      <c r="G179" s="23">
        <v>3.0</v>
      </c>
      <c r="H179" s="22" t="s">
        <v>45</v>
      </c>
      <c r="I179" s="22" t="s">
        <v>46</v>
      </c>
      <c r="J179" s="22" t="s">
        <v>45</v>
      </c>
      <c r="K179" s="22" t="s">
        <v>86</v>
      </c>
      <c r="L179" s="22" t="s">
        <v>57</v>
      </c>
      <c r="M179" s="22" t="s">
        <v>45</v>
      </c>
      <c r="N179" s="22" t="s">
        <v>49</v>
      </c>
      <c r="O179" s="22" t="s">
        <v>45</v>
      </c>
      <c r="P179" s="22" t="s">
        <v>49</v>
      </c>
      <c r="Q179" s="22" t="s">
        <v>808</v>
      </c>
      <c r="R179" s="22" t="s">
        <v>809</v>
      </c>
    </row>
    <row r="180" ht="45.0" customHeight="1">
      <c r="A180" s="20" t="s">
        <v>810</v>
      </c>
      <c r="B180" s="21" t="str">
        <f>IMAGE("https://raw.githubusercontent.com/ltdimages/images/refs/heads/main/Food407.png")</f>
        <v/>
      </c>
      <c r="C180" s="22" t="s">
        <v>811</v>
      </c>
      <c r="D180" s="22" t="s">
        <v>43</v>
      </c>
      <c r="E180" s="22" t="s">
        <v>106</v>
      </c>
      <c r="F180" s="23" t="s">
        <v>149</v>
      </c>
      <c r="G180" s="23">
        <v>4.0</v>
      </c>
      <c r="H180" s="22" t="s">
        <v>49</v>
      </c>
      <c r="I180" s="22" t="s">
        <v>46</v>
      </c>
      <c r="J180" s="22" t="s">
        <v>45</v>
      </c>
      <c r="K180" s="22" t="s">
        <v>47</v>
      </c>
      <c r="L180" s="22" t="s">
        <v>172</v>
      </c>
      <c r="M180" s="22" t="s">
        <v>45</v>
      </c>
      <c r="N180" s="22" t="s">
        <v>49</v>
      </c>
      <c r="O180" s="22" t="s">
        <v>45</v>
      </c>
      <c r="P180" s="22" t="s">
        <v>45</v>
      </c>
      <c r="Q180" s="22" t="s">
        <v>812</v>
      </c>
      <c r="R180" s="22" t="s">
        <v>813</v>
      </c>
    </row>
    <row r="181" ht="45.0" customHeight="1">
      <c r="A181" s="20" t="s">
        <v>814</v>
      </c>
      <c r="B181" s="21" t="str">
        <f>IMAGE("https://raw.githubusercontent.com/ltdimages/images/refs/heads/main/Food013.png")</f>
        <v/>
      </c>
      <c r="C181" s="22" t="s">
        <v>815</v>
      </c>
      <c r="D181" s="22" t="s">
        <v>43</v>
      </c>
      <c r="E181" s="22"/>
      <c r="F181" s="23"/>
      <c r="G181" s="23">
        <v>7.8</v>
      </c>
      <c r="H181" s="22" t="s">
        <v>49</v>
      </c>
      <c r="I181" s="22" t="s">
        <v>46</v>
      </c>
      <c r="J181" s="22" t="s">
        <v>45</v>
      </c>
      <c r="K181" s="22" t="s">
        <v>86</v>
      </c>
      <c r="L181" s="22" t="s">
        <v>57</v>
      </c>
      <c r="M181" s="22" t="s">
        <v>45</v>
      </c>
      <c r="N181" s="22" t="s">
        <v>49</v>
      </c>
      <c r="O181" s="22" t="s">
        <v>49</v>
      </c>
      <c r="P181" s="22" t="s">
        <v>49</v>
      </c>
      <c r="Q181" s="22" t="s">
        <v>816</v>
      </c>
      <c r="R181" s="22" t="s">
        <v>817</v>
      </c>
    </row>
    <row r="182" ht="45.0" customHeight="1">
      <c r="A182" s="20" t="s">
        <v>818</v>
      </c>
      <c r="B182" s="21" t="str">
        <f>IMAGE("https://raw.githubusercontent.com/ltdimages/images/refs/heads/main/Food234.png")</f>
        <v/>
      </c>
      <c r="C182" s="22" t="s">
        <v>819</v>
      </c>
      <c r="D182" s="22" t="s">
        <v>43</v>
      </c>
      <c r="E182" s="22" t="s">
        <v>106</v>
      </c>
      <c r="F182" s="23" t="s">
        <v>111</v>
      </c>
      <c r="G182" s="23">
        <v>3.0</v>
      </c>
      <c r="H182" s="22" t="s">
        <v>49</v>
      </c>
      <c r="I182" s="22" t="s">
        <v>46</v>
      </c>
      <c r="J182" s="22" t="s">
        <v>45</v>
      </c>
      <c r="K182" s="22" t="s">
        <v>47</v>
      </c>
      <c r="L182" s="22" t="s">
        <v>48</v>
      </c>
      <c r="M182" s="22" t="s">
        <v>49</v>
      </c>
      <c r="N182" s="22" t="s">
        <v>49</v>
      </c>
      <c r="O182" s="22" t="s">
        <v>49</v>
      </c>
      <c r="P182" s="22" t="s">
        <v>45</v>
      </c>
      <c r="Q182" s="22" t="s">
        <v>820</v>
      </c>
      <c r="R182" s="22" t="s">
        <v>821</v>
      </c>
    </row>
    <row r="183" ht="45.0" customHeight="1">
      <c r="A183" s="20" t="s">
        <v>822</v>
      </c>
      <c r="B183" s="21" t="str">
        <f>IMAGE("https://raw.githubusercontent.com/ltdimages/images/refs/heads/main/Food304.png")</f>
        <v/>
      </c>
      <c r="C183" s="22" t="s">
        <v>823</v>
      </c>
      <c r="D183" s="22" t="s">
        <v>43</v>
      </c>
      <c r="E183" s="22" t="s">
        <v>106</v>
      </c>
      <c r="F183" s="23"/>
      <c r="G183" s="23">
        <v>6.0</v>
      </c>
      <c r="H183" s="22" t="s">
        <v>49</v>
      </c>
      <c r="I183" s="22" t="s">
        <v>46</v>
      </c>
      <c r="J183" s="22" t="s">
        <v>45</v>
      </c>
      <c r="K183" s="22" t="s">
        <v>56</v>
      </c>
      <c r="L183" s="22" t="s">
        <v>48</v>
      </c>
      <c r="M183" s="22" t="s">
        <v>49</v>
      </c>
      <c r="N183" s="22" t="s">
        <v>45</v>
      </c>
      <c r="O183" s="22" t="s">
        <v>49</v>
      </c>
      <c r="P183" s="22" t="s">
        <v>45</v>
      </c>
      <c r="Q183" s="22" t="s">
        <v>824</v>
      </c>
      <c r="R183" s="22" t="s">
        <v>825</v>
      </c>
    </row>
    <row r="184" ht="45.0" customHeight="1">
      <c r="A184" s="20" t="s">
        <v>826</v>
      </c>
      <c r="B184" s="21" t="str">
        <f>IMAGE("https://raw.githubusercontent.com/ltdimages/images/refs/heads/main/Food020.png")</f>
        <v/>
      </c>
      <c r="C184" s="22" t="s">
        <v>827</v>
      </c>
      <c r="D184" s="22" t="s">
        <v>43</v>
      </c>
      <c r="E184" s="22" t="s">
        <v>204</v>
      </c>
      <c r="F184" s="23"/>
      <c r="G184" s="23">
        <v>6.5</v>
      </c>
      <c r="H184" s="22" t="s">
        <v>49</v>
      </c>
      <c r="I184" s="22" t="s">
        <v>46</v>
      </c>
      <c r="J184" s="22" t="s">
        <v>45</v>
      </c>
      <c r="K184" s="22" t="s">
        <v>86</v>
      </c>
      <c r="L184" s="22" t="s">
        <v>57</v>
      </c>
      <c r="M184" s="22" t="s">
        <v>49</v>
      </c>
      <c r="N184" s="22" t="s">
        <v>49</v>
      </c>
      <c r="O184" s="22" t="s">
        <v>49</v>
      </c>
      <c r="P184" s="22" t="s">
        <v>49</v>
      </c>
      <c r="Q184" s="22" t="s">
        <v>828</v>
      </c>
      <c r="R184" s="22" t="s">
        <v>829</v>
      </c>
    </row>
    <row r="185" ht="45.0" customHeight="1">
      <c r="A185" s="20" t="s">
        <v>830</v>
      </c>
      <c r="B185" s="21" t="str">
        <f>IMAGE("https://raw.githubusercontent.com/ltdimages/images/refs/heads/main/Food212.png")</f>
        <v/>
      </c>
      <c r="C185" s="22" t="s">
        <v>831</v>
      </c>
      <c r="D185" s="22" t="s">
        <v>43</v>
      </c>
      <c r="E185" s="22" t="s">
        <v>832</v>
      </c>
      <c r="F185" s="23"/>
      <c r="G185" s="23">
        <v>6.8</v>
      </c>
      <c r="H185" s="22" t="s">
        <v>49</v>
      </c>
      <c r="I185" s="22" t="s">
        <v>46</v>
      </c>
      <c r="J185" s="22" t="s">
        <v>45</v>
      </c>
      <c r="K185" s="22" t="s">
        <v>86</v>
      </c>
      <c r="L185" s="22" t="s">
        <v>57</v>
      </c>
      <c r="M185" s="22" t="s">
        <v>45</v>
      </c>
      <c r="N185" s="22" t="s">
        <v>49</v>
      </c>
      <c r="O185" s="22" t="s">
        <v>45</v>
      </c>
      <c r="P185" s="22" t="s">
        <v>49</v>
      </c>
      <c r="Q185" s="22" t="s">
        <v>833</v>
      </c>
      <c r="R185" s="22" t="s">
        <v>834</v>
      </c>
    </row>
    <row r="186" ht="45.0" customHeight="1">
      <c r="A186" s="20" t="s">
        <v>835</v>
      </c>
      <c r="B186" s="21" t="str">
        <f>IMAGE("https://raw.githubusercontent.com/ltdimages/images/refs/heads/main/Food267.png")</f>
        <v/>
      </c>
      <c r="C186" s="22" t="s">
        <v>836</v>
      </c>
      <c r="D186" s="22" t="s">
        <v>43</v>
      </c>
      <c r="E186" s="22" t="s">
        <v>106</v>
      </c>
      <c r="F186" s="23" t="s">
        <v>55</v>
      </c>
      <c r="G186" s="23">
        <v>5.4</v>
      </c>
      <c r="H186" s="22" t="s">
        <v>49</v>
      </c>
      <c r="I186" s="22" t="s">
        <v>46</v>
      </c>
      <c r="J186" s="22" t="s">
        <v>45</v>
      </c>
      <c r="K186" s="22" t="s">
        <v>56</v>
      </c>
      <c r="L186" s="22" t="s">
        <v>57</v>
      </c>
      <c r="M186" s="22" t="s">
        <v>49</v>
      </c>
      <c r="N186" s="22" t="s">
        <v>49</v>
      </c>
      <c r="O186" s="22" t="s">
        <v>49</v>
      </c>
      <c r="P186" s="22" t="s">
        <v>49</v>
      </c>
      <c r="Q186" s="22" t="s">
        <v>837</v>
      </c>
      <c r="R186" s="22" t="s">
        <v>838</v>
      </c>
    </row>
    <row r="187" ht="45.0" customHeight="1">
      <c r="A187" s="20" t="s">
        <v>839</v>
      </c>
      <c r="B187" s="21" t="str">
        <f>IMAGE("https://raw.githubusercontent.com/ltdimages/images/refs/heads/main/Food015.png")</f>
        <v/>
      </c>
      <c r="C187" s="22" t="s">
        <v>840</v>
      </c>
      <c r="D187" s="22" t="s">
        <v>43</v>
      </c>
      <c r="E187" s="22"/>
      <c r="F187" s="23"/>
      <c r="G187" s="23">
        <v>100.0</v>
      </c>
      <c r="H187" s="22" t="s">
        <v>49</v>
      </c>
      <c r="I187" s="22" t="s">
        <v>46</v>
      </c>
      <c r="J187" s="22" t="s">
        <v>45</v>
      </c>
      <c r="K187" s="22" t="s">
        <v>86</v>
      </c>
      <c r="L187" s="22" t="s">
        <v>48</v>
      </c>
      <c r="M187" s="22" t="s">
        <v>45</v>
      </c>
      <c r="N187" s="22" t="s">
        <v>45</v>
      </c>
      <c r="O187" s="22" t="s">
        <v>45</v>
      </c>
      <c r="P187" s="22" t="s">
        <v>841</v>
      </c>
      <c r="Q187" s="22" t="s">
        <v>842</v>
      </c>
      <c r="R187" s="22" t="s">
        <v>843</v>
      </c>
    </row>
    <row r="188" ht="45.0" customHeight="1">
      <c r="A188" s="20" t="s">
        <v>844</v>
      </c>
      <c r="B188" s="21" t="str">
        <f>IMAGE("https://raw.githubusercontent.com/ltdimages/images/refs/heads/main/Food022.png")</f>
        <v/>
      </c>
      <c r="C188" s="24" t="s">
        <v>845</v>
      </c>
      <c r="D188" s="24" t="s">
        <v>43</v>
      </c>
      <c r="E188" s="24" t="s">
        <v>640</v>
      </c>
      <c r="F188" s="25"/>
      <c r="G188" s="25">
        <v>6.0</v>
      </c>
      <c r="H188" s="24" t="s">
        <v>49</v>
      </c>
      <c r="I188" s="24" t="s">
        <v>46</v>
      </c>
      <c r="J188" s="24" t="s">
        <v>45</v>
      </c>
      <c r="K188" s="24" t="s">
        <v>86</v>
      </c>
      <c r="L188" s="24" t="s">
        <v>57</v>
      </c>
      <c r="M188" s="24" t="s">
        <v>45</v>
      </c>
      <c r="N188" s="24" t="s">
        <v>49</v>
      </c>
      <c r="O188" s="24" t="s">
        <v>45</v>
      </c>
      <c r="P188" s="24" t="s">
        <v>49</v>
      </c>
      <c r="Q188" s="24" t="s">
        <v>846</v>
      </c>
      <c r="R188" s="24" t="s">
        <v>847</v>
      </c>
    </row>
    <row r="189" ht="45.0" customHeight="1">
      <c r="A189" s="20" t="s">
        <v>848</v>
      </c>
      <c r="B189" s="21" t="str">
        <f>IMAGE("https://raw.githubusercontent.com/ltdimages/images/refs/heads/main/Food152.png")</f>
        <v/>
      </c>
      <c r="C189" s="22" t="s">
        <v>849</v>
      </c>
      <c r="D189" s="22" t="s">
        <v>43</v>
      </c>
      <c r="E189" s="22" t="s">
        <v>121</v>
      </c>
      <c r="F189" s="23"/>
      <c r="G189" s="23">
        <v>6.8</v>
      </c>
      <c r="H189" s="22" t="s">
        <v>45</v>
      </c>
      <c r="I189" s="22" t="s">
        <v>46</v>
      </c>
      <c r="J189" s="22" t="s">
        <v>45</v>
      </c>
      <c r="K189" s="22" t="s">
        <v>47</v>
      </c>
      <c r="L189" s="22" t="s">
        <v>57</v>
      </c>
      <c r="M189" s="22" t="s">
        <v>49</v>
      </c>
      <c r="N189" s="22" t="s">
        <v>49</v>
      </c>
      <c r="O189" s="22" t="s">
        <v>49</v>
      </c>
      <c r="P189" s="22" t="s">
        <v>49</v>
      </c>
      <c r="Q189" s="22" t="s">
        <v>850</v>
      </c>
      <c r="R189" s="22" t="s">
        <v>851</v>
      </c>
    </row>
    <row r="190" ht="45.0" customHeight="1">
      <c r="A190" s="20" t="s">
        <v>852</v>
      </c>
      <c r="B190" s="21" t="str">
        <f>IMAGE("https://raw.githubusercontent.com/ltdimages/images/refs/heads/main/Food210.png")</f>
        <v/>
      </c>
      <c r="C190" s="22" t="s">
        <v>853</v>
      </c>
      <c r="D190" s="22" t="s">
        <v>43</v>
      </c>
      <c r="E190" s="22"/>
      <c r="F190" s="23"/>
      <c r="G190" s="23">
        <v>3.3</v>
      </c>
      <c r="H190" s="22" t="s">
        <v>49</v>
      </c>
      <c r="I190" s="22" t="s">
        <v>46</v>
      </c>
      <c r="J190" s="22" t="s">
        <v>45</v>
      </c>
      <c r="K190" s="22" t="s">
        <v>56</v>
      </c>
      <c r="L190" s="22" t="s">
        <v>57</v>
      </c>
      <c r="M190" s="22" t="s">
        <v>45</v>
      </c>
      <c r="N190" s="22" t="s">
        <v>45</v>
      </c>
      <c r="O190" s="22" t="s">
        <v>45</v>
      </c>
      <c r="P190" s="22" t="s">
        <v>49</v>
      </c>
      <c r="Q190" s="22" t="s">
        <v>854</v>
      </c>
      <c r="R190" s="22" t="s">
        <v>855</v>
      </c>
    </row>
    <row r="191" ht="45.0" customHeight="1">
      <c r="A191" s="20" t="s">
        <v>856</v>
      </c>
      <c r="B191" s="21" t="str">
        <f>IMAGE("https://raw.githubusercontent.com/ltdimages/images/refs/heads/main/Food435.png")</f>
        <v/>
      </c>
      <c r="C191" s="22" t="s">
        <v>857</v>
      </c>
      <c r="D191" s="22" t="s">
        <v>43</v>
      </c>
      <c r="E191" s="22" t="s">
        <v>649</v>
      </c>
      <c r="F191" s="23" t="s">
        <v>144</v>
      </c>
      <c r="G191" s="23">
        <v>9.5</v>
      </c>
      <c r="H191" s="22" t="s">
        <v>49</v>
      </c>
      <c r="I191" s="22" t="s">
        <v>46</v>
      </c>
      <c r="J191" s="22" t="s">
        <v>45</v>
      </c>
      <c r="K191" s="22" t="s">
        <v>56</v>
      </c>
      <c r="L191" s="22" t="s">
        <v>57</v>
      </c>
      <c r="M191" s="22" t="s">
        <v>45</v>
      </c>
      <c r="N191" s="22" t="s">
        <v>49</v>
      </c>
      <c r="O191" s="22" t="s">
        <v>45</v>
      </c>
      <c r="P191" s="22" t="s">
        <v>49</v>
      </c>
      <c r="Q191" s="22" t="s">
        <v>858</v>
      </c>
      <c r="R191" s="22" t="s">
        <v>859</v>
      </c>
    </row>
    <row r="192" ht="45.0" customHeight="1">
      <c r="A192" s="26" t="s">
        <v>860</v>
      </c>
      <c r="B192" s="21" t="str">
        <f>IMAGE("https://raw.githubusercontent.com/ltdimages/images/refs/heads/main/Food153.png")</f>
        <v/>
      </c>
      <c r="C192" s="24" t="s">
        <v>861</v>
      </c>
      <c r="D192" s="24" t="s">
        <v>43</v>
      </c>
      <c r="E192" s="24" t="s">
        <v>518</v>
      </c>
      <c r="F192" s="25"/>
      <c r="G192" s="25">
        <v>8.8</v>
      </c>
      <c r="H192" s="24" t="s">
        <v>49</v>
      </c>
      <c r="I192" s="24" t="s">
        <v>46</v>
      </c>
      <c r="J192" s="24" t="s">
        <v>45</v>
      </c>
      <c r="K192" s="24" t="s">
        <v>86</v>
      </c>
      <c r="L192" s="24" t="s">
        <v>57</v>
      </c>
      <c r="M192" s="24" t="s">
        <v>49</v>
      </c>
      <c r="N192" s="24" t="s">
        <v>49</v>
      </c>
      <c r="O192" s="24" t="s">
        <v>49</v>
      </c>
      <c r="P192" s="24" t="s">
        <v>49</v>
      </c>
      <c r="Q192" s="24" t="s">
        <v>862</v>
      </c>
      <c r="R192" s="24" t="s">
        <v>863</v>
      </c>
    </row>
    <row r="193" ht="45.0" customHeight="1">
      <c r="A193" s="26" t="s">
        <v>864</v>
      </c>
      <c r="B193" s="21" t="str">
        <f>IMAGE("https://raw.githubusercontent.com/ltdimages/images/refs/heads/main/Food300.png")</f>
        <v/>
      </c>
      <c r="C193" s="22" t="s">
        <v>865</v>
      </c>
      <c r="D193" s="22" t="s">
        <v>43</v>
      </c>
      <c r="E193" s="22" t="s">
        <v>80</v>
      </c>
      <c r="F193" s="23"/>
      <c r="G193" s="23">
        <v>4.5</v>
      </c>
      <c r="H193" s="22" t="s">
        <v>45</v>
      </c>
      <c r="I193" s="22" t="s">
        <v>46</v>
      </c>
      <c r="J193" s="22" t="s">
        <v>45</v>
      </c>
      <c r="K193" s="22" t="s">
        <v>56</v>
      </c>
      <c r="L193" s="22" t="s">
        <v>48</v>
      </c>
      <c r="M193" s="22" t="s">
        <v>49</v>
      </c>
      <c r="N193" s="22" t="s">
        <v>49</v>
      </c>
      <c r="O193" s="22" t="s">
        <v>49</v>
      </c>
      <c r="P193" s="22" t="s">
        <v>45</v>
      </c>
      <c r="Q193" s="22" t="s">
        <v>866</v>
      </c>
      <c r="R193" s="22" t="s">
        <v>867</v>
      </c>
    </row>
    <row r="194" ht="45.0" customHeight="1">
      <c r="A194" s="20" t="s">
        <v>868</v>
      </c>
      <c r="B194" s="21" t="str">
        <f>IMAGE("https://raw.githubusercontent.com/ltdimages/images/refs/heads/main/Food453.png")</f>
        <v/>
      </c>
      <c r="C194" s="22" t="s">
        <v>869</v>
      </c>
      <c r="D194" s="22" t="s">
        <v>43</v>
      </c>
      <c r="E194" s="22" t="s">
        <v>67</v>
      </c>
      <c r="F194" s="23"/>
      <c r="G194" s="23">
        <v>2.5</v>
      </c>
      <c r="H194" s="22" t="s">
        <v>45</v>
      </c>
      <c r="I194" s="22" t="s">
        <v>46</v>
      </c>
      <c r="J194" s="22" t="s">
        <v>45</v>
      </c>
      <c r="K194" s="22" t="s">
        <v>56</v>
      </c>
      <c r="L194" s="22" t="s">
        <v>48</v>
      </c>
      <c r="M194" s="22" t="s">
        <v>49</v>
      </c>
      <c r="N194" s="22" t="s">
        <v>49</v>
      </c>
      <c r="O194" s="22" t="s">
        <v>45</v>
      </c>
      <c r="P194" s="22" t="s">
        <v>49</v>
      </c>
      <c r="Q194" s="22" t="s">
        <v>870</v>
      </c>
      <c r="R194" s="22" t="s">
        <v>871</v>
      </c>
    </row>
    <row r="195" ht="45.0" customHeight="1">
      <c r="A195" s="20" t="s">
        <v>872</v>
      </c>
      <c r="B195" s="21" t="str">
        <f>IMAGE("https://raw.githubusercontent.com/ltdimages/images/refs/heads/main/Food366.png")</f>
        <v/>
      </c>
      <c r="C195" s="22" t="s">
        <v>873</v>
      </c>
      <c r="D195" s="22" t="s">
        <v>43</v>
      </c>
      <c r="E195" s="22"/>
      <c r="F195" s="23" t="s">
        <v>874</v>
      </c>
      <c r="G195" s="23">
        <v>4.5</v>
      </c>
      <c r="H195" s="22" t="s">
        <v>49</v>
      </c>
      <c r="I195" s="22" t="s">
        <v>46</v>
      </c>
      <c r="J195" s="22" t="s">
        <v>45</v>
      </c>
      <c r="K195" s="22" t="s">
        <v>56</v>
      </c>
      <c r="L195" s="22" t="s">
        <v>48</v>
      </c>
      <c r="M195" s="22" t="s">
        <v>45</v>
      </c>
      <c r="N195" s="22" t="s">
        <v>49</v>
      </c>
      <c r="O195" s="22" t="s">
        <v>49</v>
      </c>
      <c r="P195" s="22" t="s">
        <v>45</v>
      </c>
      <c r="Q195" s="22" t="s">
        <v>875</v>
      </c>
      <c r="R195" s="22" t="s">
        <v>876</v>
      </c>
    </row>
    <row r="196" ht="45.0" customHeight="1">
      <c r="A196" s="26" t="s">
        <v>877</v>
      </c>
      <c r="B196" s="21" t="str">
        <f>IMAGE("https://raw.githubusercontent.com/ltdimages/images/refs/heads/main/Food268.png")</f>
        <v/>
      </c>
      <c r="C196" s="22" t="s">
        <v>878</v>
      </c>
      <c r="D196" s="22" t="s">
        <v>43</v>
      </c>
      <c r="E196" s="22" t="s">
        <v>67</v>
      </c>
      <c r="F196" s="23" t="s">
        <v>407</v>
      </c>
      <c r="G196" s="23">
        <v>1.5</v>
      </c>
      <c r="H196" s="22" t="s">
        <v>45</v>
      </c>
      <c r="I196" s="22" t="s">
        <v>46</v>
      </c>
      <c r="J196" s="22" t="s">
        <v>45</v>
      </c>
      <c r="K196" s="22" t="s">
        <v>56</v>
      </c>
      <c r="L196" s="22" t="s">
        <v>48</v>
      </c>
      <c r="M196" s="22" t="s">
        <v>49</v>
      </c>
      <c r="N196" s="22" t="s">
        <v>45</v>
      </c>
      <c r="O196" s="22" t="s">
        <v>49</v>
      </c>
      <c r="P196" s="22" t="s">
        <v>45</v>
      </c>
      <c r="Q196" s="22" t="s">
        <v>879</v>
      </c>
      <c r="R196" s="22" t="s">
        <v>880</v>
      </c>
    </row>
    <row r="197" ht="45.0" customHeight="1">
      <c r="A197" s="26" t="s">
        <v>881</v>
      </c>
      <c r="B197" s="21" t="str">
        <f>IMAGE("https://raw.githubusercontent.com/ltdimages/images/refs/heads/main/Food192.png")</f>
        <v/>
      </c>
      <c r="C197" s="22" t="s">
        <v>882</v>
      </c>
      <c r="D197" s="22" t="s">
        <v>43</v>
      </c>
      <c r="E197" s="22" t="s">
        <v>62</v>
      </c>
      <c r="F197" s="23" t="s">
        <v>158</v>
      </c>
      <c r="G197" s="23">
        <v>50.0</v>
      </c>
      <c r="H197" s="22" t="s">
        <v>49</v>
      </c>
      <c r="I197" s="22" t="s">
        <v>46</v>
      </c>
      <c r="J197" s="22" t="s">
        <v>45</v>
      </c>
      <c r="K197" s="22" t="s">
        <v>56</v>
      </c>
      <c r="L197" s="22" t="s">
        <v>57</v>
      </c>
      <c r="M197" s="22" t="s">
        <v>45</v>
      </c>
      <c r="N197" s="22" t="s">
        <v>49</v>
      </c>
      <c r="O197" s="22" t="s">
        <v>49</v>
      </c>
      <c r="P197" s="22" t="s">
        <v>49</v>
      </c>
      <c r="Q197" s="22" t="s">
        <v>883</v>
      </c>
      <c r="R197" s="22" t="s">
        <v>884</v>
      </c>
    </row>
    <row r="198" ht="45.0" customHeight="1">
      <c r="A198" s="20" t="s">
        <v>885</v>
      </c>
      <c r="B198" s="21" t="str">
        <f>IMAGE("https://raw.githubusercontent.com/ltdimages/images/refs/heads/main/Food251.png")</f>
        <v/>
      </c>
      <c r="C198" s="22" t="s">
        <v>886</v>
      </c>
      <c r="D198" s="22" t="s">
        <v>43</v>
      </c>
      <c r="E198" s="22" t="s">
        <v>177</v>
      </c>
      <c r="F198" s="23"/>
      <c r="G198" s="23">
        <v>7.3</v>
      </c>
      <c r="H198" s="22" t="s">
        <v>45</v>
      </c>
      <c r="I198" s="22" t="s">
        <v>46</v>
      </c>
      <c r="J198" s="22" t="s">
        <v>45</v>
      </c>
      <c r="K198" s="22" t="s">
        <v>86</v>
      </c>
      <c r="L198" s="22" t="s">
        <v>57</v>
      </c>
      <c r="M198" s="22" t="s">
        <v>49</v>
      </c>
      <c r="N198" s="22" t="s">
        <v>49</v>
      </c>
      <c r="O198" s="22" t="s">
        <v>49</v>
      </c>
      <c r="P198" s="22" t="s">
        <v>49</v>
      </c>
      <c r="Q198" s="22" t="s">
        <v>887</v>
      </c>
      <c r="R198" s="22" t="s">
        <v>888</v>
      </c>
    </row>
    <row r="199" ht="45.0" customHeight="1">
      <c r="A199" s="20" t="s">
        <v>889</v>
      </c>
      <c r="B199" s="21" t="str">
        <f>IMAGE("https://raw.githubusercontent.com/ltdimages/images/refs/heads/main/Food008.png")</f>
        <v/>
      </c>
      <c r="C199" s="22" t="s">
        <v>890</v>
      </c>
      <c r="D199" s="22" t="s">
        <v>43</v>
      </c>
      <c r="E199" s="22"/>
      <c r="F199" s="23" t="s">
        <v>351</v>
      </c>
      <c r="G199" s="23">
        <v>1.0</v>
      </c>
      <c r="H199" s="22" t="s">
        <v>45</v>
      </c>
      <c r="I199" s="22" t="s">
        <v>46</v>
      </c>
      <c r="J199" s="22" t="s">
        <v>45</v>
      </c>
      <c r="K199" s="22" t="s">
        <v>47</v>
      </c>
      <c r="L199" s="22" t="s">
        <v>48</v>
      </c>
      <c r="M199" s="22" t="s">
        <v>45</v>
      </c>
      <c r="N199" s="22" t="s">
        <v>45</v>
      </c>
      <c r="O199" s="22" t="s">
        <v>45</v>
      </c>
      <c r="P199" s="22" t="s">
        <v>49</v>
      </c>
      <c r="Q199" s="22" t="s">
        <v>891</v>
      </c>
      <c r="R199" s="22" t="s">
        <v>892</v>
      </c>
    </row>
    <row r="200" ht="45.0" customHeight="1">
      <c r="A200" s="20" t="s">
        <v>893</v>
      </c>
      <c r="B200" s="21" t="str">
        <f>IMAGE("https://raw.githubusercontent.com/ltdimages/images/refs/heads/main/Food369.png")</f>
        <v/>
      </c>
      <c r="C200" s="22" t="s">
        <v>894</v>
      </c>
      <c r="D200" s="22" t="s">
        <v>43</v>
      </c>
      <c r="E200" s="22" t="s">
        <v>106</v>
      </c>
      <c r="F200" s="23" t="s">
        <v>131</v>
      </c>
      <c r="G200" s="23">
        <v>2.0</v>
      </c>
      <c r="H200" s="22" t="s">
        <v>45</v>
      </c>
      <c r="I200" s="22" t="s">
        <v>46</v>
      </c>
      <c r="J200" s="22" t="s">
        <v>45</v>
      </c>
      <c r="K200" s="22" t="s">
        <v>47</v>
      </c>
      <c r="L200" s="22" t="s">
        <v>48</v>
      </c>
      <c r="M200" s="22" t="s">
        <v>49</v>
      </c>
      <c r="N200" s="22" t="s">
        <v>49</v>
      </c>
      <c r="O200" s="22" t="s">
        <v>49</v>
      </c>
      <c r="P200" s="22" t="s">
        <v>49</v>
      </c>
      <c r="Q200" s="22" t="s">
        <v>895</v>
      </c>
      <c r="R200" s="22" t="s">
        <v>896</v>
      </c>
    </row>
    <row r="201" ht="45.0" customHeight="1">
      <c r="A201" s="20" t="s">
        <v>897</v>
      </c>
      <c r="B201" s="21" t="str">
        <f>IMAGE("https://raw.githubusercontent.com/ltdimages/images/refs/heads/main/Food098.png")</f>
        <v/>
      </c>
      <c r="C201" s="22" t="s">
        <v>898</v>
      </c>
      <c r="D201" s="22" t="s">
        <v>43</v>
      </c>
      <c r="E201" s="22" t="s">
        <v>67</v>
      </c>
      <c r="F201" s="23" t="s">
        <v>167</v>
      </c>
      <c r="G201" s="23">
        <v>3.9</v>
      </c>
      <c r="H201" s="22" t="s">
        <v>45</v>
      </c>
      <c r="I201" s="22" t="s">
        <v>46</v>
      </c>
      <c r="J201" s="22" t="s">
        <v>45</v>
      </c>
      <c r="K201" s="22" t="s">
        <v>56</v>
      </c>
      <c r="L201" s="22" t="s">
        <v>57</v>
      </c>
      <c r="M201" s="22" t="s">
        <v>49</v>
      </c>
      <c r="N201" s="22" t="s">
        <v>49</v>
      </c>
      <c r="O201" s="22" t="s">
        <v>49</v>
      </c>
      <c r="P201" s="22" t="s">
        <v>49</v>
      </c>
      <c r="Q201" s="22" t="s">
        <v>899</v>
      </c>
      <c r="R201" s="22" t="s">
        <v>900</v>
      </c>
    </row>
    <row r="202" ht="45.0" customHeight="1">
      <c r="A202" s="20" t="s">
        <v>901</v>
      </c>
      <c r="B202" s="21" t="str">
        <f>IMAGE("https://raw.githubusercontent.com/ltdimages/images/refs/heads/main/Food444.png")</f>
        <v/>
      </c>
      <c r="C202" s="22" t="s">
        <v>902</v>
      </c>
      <c r="D202" s="22" t="s">
        <v>43</v>
      </c>
      <c r="E202" s="22" t="s">
        <v>191</v>
      </c>
      <c r="F202" s="23"/>
      <c r="G202" s="23">
        <v>15.0</v>
      </c>
      <c r="H202" s="22" t="s">
        <v>49</v>
      </c>
      <c r="I202" s="22" t="s">
        <v>46</v>
      </c>
      <c r="J202" s="22" t="s">
        <v>45</v>
      </c>
      <c r="K202" s="22" t="s">
        <v>56</v>
      </c>
      <c r="L202" s="22" t="s">
        <v>172</v>
      </c>
      <c r="M202" s="22" t="s">
        <v>49</v>
      </c>
      <c r="N202" s="22" t="s">
        <v>49</v>
      </c>
      <c r="O202" s="22" t="s">
        <v>49</v>
      </c>
      <c r="P202" s="22" t="s">
        <v>45</v>
      </c>
      <c r="Q202" s="22" t="s">
        <v>903</v>
      </c>
      <c r="R202" s="22" t="s">
        <v>904</v>
      </c>
    </row>
    <row r="203" ht="45.0" customHeight="1">
      <c r="A203" s="20" t="s">
        <v>905</v>
      </c>
      <c r="B203" s="21" t="str">
        <f>IMAGE("https://raw.githubusercontent.com/ltdimages/images/refs/heads/main/Food235.png")</f>
        <v/>
      </c>
      <c r="C203" s="22" t="s">
        <v>906</v>
      </c>
      <c r="D203" s="22" t="s">
        <v>43</v>
      </c>
      <c r="E203" s="22"/>
      <c r="F203" s="23"/>
      <c r="G203" s="23">
        <v>5.8</v>
      </c>
      <c r="H203" s="22" t="s">
        <v>49</v>
      </c>
      <c r="I203" s="22" t="s">
        <v>46</v>
      </c>
      <c r="J203" s="22" t="s">
        <v>45</v>
      </c>
      <c r="K203" s="22" t="s">
        <v>56</v>
      </c>
      <c r="L203" s="22" t="s">
        <v>57</v>
      </c>
      <c r="M203" s="22" t="s">
        <v>49</v>
      </c>
      <c r="N203" s="22" t="s">
        <v>45</v>
      </c>
      <c r="O203" s="22" t="s">
        <v>49</v>
      </c>
      <c r="P203" s="22" t="s">
        <v>45</v>
      </c>
      <c r="Q203" s="22" t="s">
        <v>907</v>
      </c>
      <c r="R203" s="22" t="s">
        <v>908</v>
      </c>
    </row>
    <row r="204" ht="45.0" customHeight="1">
      <c r="A204" s="20" t="s">
        <v>909</v>
      </c>
      <c r="B204" s="21" t="str">
        <f>IMAGE("https://raw.githubusercontent.com/ltdimages/images/refs/heads/main/Food373.png")</f>
        <v/>
      </c>
      <c r="C204" s="22" t="s">
        <v>910</v>
      </c>
      <c r="D204" s="22" t="s">
        <v>43</v>
      </c>
      <c r="E204" s="22" t="s">
        <v>121</v>
      </c>
      <c r="F204" s="23" t="s">
        <v>55</v>
      </c>
      <c r="G204" s="23">
        <v>4.0</v>
      </c>
      <c r="H204" s="22" t="s">
        <v>49</v>
      </c>
      <c r="I204" s="22" t="s">
        <v>46</v>
      </c>
      <c r="J204" s="22" t="s">
        <v>45</v>
      </c>
      <c r="K204" s="22" t="s">
        <v>56</v>
      </c>
      <c r="L204" s="22" t="s">
        <v>57</v>
      </c>
      <c r="M204" s="22" t="s">
        <v>49</v>
      </c>
      <c r="N204" s="22" t="s">
        <v>49</v>
      </c>
      <c r="O204" s="22" t="s">
        <v>45</v>
      </c>
      <c r="P204" s="22" t="s">
        <v>45</v>
      </c>
      <c r="Q204" s="22" t="s">
        <v>911</v>
      </c>
      <c r="R204" s="22" t="s">
        <v>912</v>
      </c>
    </row>
    <row r="205" ht="45.0" customHeight="1">
      <c r="A205" s="20" t="s">
        <v>913</v>
      </c>
      <c r="B205" s="21" t="str">
        <f>IMAGE("https://raw.githubusercontent.com/ltdimages/images/refs/heads/main/Food093.png")</f>
        <v/>
      </c>
      <c r="C205" s="22" t="s">
        <v>914</v>
      </c>
      <c r="D205" s="22" t="s">
        <v>43</v>
      </c>
      <c r="E205" s="22" t="s">
        <v>62</v>
      </c>
      <c r="F205" s="23"/>
      <c r="G205" s="23">
        <v>1.2</v>
      </c>
      <c r="H205" s="22" t="s">
        <v>45</v>
      </c>
      <c r="I205" s="22" t="s">
        <v>46</v>
      </c>
      <c r="J205" s="22" t="s">
        <v>45</v>
      </c>
      <c r="K205" s="22" t="s">
        <v>56</v>
      </c>
      <c r="L205" s="22" t="s">
        <v>57</v>
      </c>
      <c r="M205" s="22" t="s">
        <v>49</v>
      </c>
      <c r="N205" s="22" t="s">
        <v>49</v>
      </c>
      <c r="O205" s="22" t="s">
        <v>49</v>
      </c>
      <c r="P205" s="22" t="s">
        <v>49</v>
      </c>
      <c r="Q205" s="22" t="s">
        <v>915</v>
      </c>
      <c r="R205" s="22" t="s">
        <v>916</v>
      </c>
    </row>
    <row r="206" ht="45.0" customHeight="1">
      <c r="A206" s="20" t="s">
        <v>917</v>
      </c>
      <c r="B206" s="21" t="str">
        <f>IMAGE("https://raw.githubusercontent.com/ltdimages/images/refs/heads/main/Food247.png")</f>
        <v/>
      </c>
      <c r="C206" s="22" t="s">
        <v>918</v>
      </c>
      <c r="D206" s="22" t="s">
        <v>43</v>
      </c>
      <c r="E206" s="22" t="s">
        <v>62</v>
      </c>
      <c r="F206" s="23" t="s">
        <v>167</v>
      </c>
      <c r="G206" s="23">
        <v>8.0</v>
      </c>
      <c r="H206" s="22" t="s">
        <v>49</v>
      </c>
      <c r="I206" s="22" t="s">
        <v>46</v>
      </c>
      <c r="J206" s="22" t="s">
        <v>45</v>
      </c>
      <c r="K206" s="22" t="s">
        <v>56</v>
      </c>
      <c r="L206" s="22" t="s">
        <v>57</v>
      </c>
      <c r="M206" s="22" t="s">
        <v>49</v>
      </c>
      <c r="N206" s="22" t="s">
        <v>45</v>
      </c>
      <c r="O206" s="22" t="s">
        <v>49</v>
      </c>
      <c r="P206" s="22" t="s">
        <v>45</v>
      </c>
      <c r="Q206" s="22" t="s">
        <v>919</v>
      </c>
      <c r="R206" s="22" t="s">
        <v>920</v>
      </c>
    </row>
    <row r="207" ht="45.0" customHeight="1">
      <c r="A207" s="20" t="s">
        <v>921</v>
      </c>
      <c r="B207" s="21" t="str">
        <f>IMAGE("https://raw.githubusercontent.com/ltdimages/images/refs/heads/main/Food360.png")</f>
        <v/>
      </c>
      <c r="C207" s="22" t="s">
        <v>922</v>
      </c>
      <c r="D207" s="22" t="s">
        <v>43</v>
      </c>
      <c r="E207" s="22" t="s">
        <v>62</v>
      </c>
      <c r="F207" s="23"/>
      <c r="G207" s="23">
        <v>4.5</v>
      </c>
      <c r="H207" s="22" t="s">
        <v>49</v>
      </c>
      <c r="I207" s="22" t="s">
        <v>46</v>
      </c>
      <c r="J207" s="22" t="s">
        <v>45</v>
      </c>
      <c r="K207" s="22" t="s">
        <v>56</v>
      </c>
      <c r="L207" s="22" t="s">
        <v>48</v>
      </c>
      <c r="M207" s="22" t="s">
        <v>45</v>
      </c>
      <c r="N207" s="22" t="s">
        <v>45</v>
      </c>
      <c r="O207" s="22" t="s">
        <v>49</v>
      </c>
      <c r="P207" s="22" t="s">
        <v>45</v>
      </c>
      <c r="Q207" s="22" t="s">
        <v>923</v>
      </c>
      <c r="R207" s="22" t="s">
        <v>924</v>
      </c>
    </row>
    <row r="208" ht="45.0" customHeight="1">
      <c r="A208" s="20" t="s">
        <v>925</v>
      </c>
      <c r="B208" s="21" t="str">
        <f>IMAGE("https://raw.githubusercontent.com/ltdimages/images/refs/heads/main/Food253.png")</f>
        <v/>
      </c>
      <c r="C208" s="22" t="s">
        <v>926</v>
      </c>
      <c r="D208" s="22" t="s">
        <v>43</v>
      </c>
      <c r="E208" s="22"/>
      <c r="F208" s="23"/>
      <c r="G208" s="23">
        <v>3.0</v>
      </c>
      <c r="H208" s="22" t="s">
        <v>49</v>
      </c>
      <c r="I208" s="22" t="s">
        <v>46</v>
      </c>
      <c r="J208" s="22" t="s">
        <v>45</v>
      </c>
      <c r="K208" s="22" t="s">
        <v>56</v>
      </c>
      <c r="L208" s="22" t="s">
        <v>48</v>
      </c>
      <c r="M208" s="22" t="s">
        <v>49</v>
      </c>
      <c r="N208" s="22" t="s">
        <v>49</v>
      </c>
      <c r="O208" s="22" t="s">
        <v>49</v>
      </c>
      <c r="P208" s="22" t="s">
        <v>45</v>
      </c>
      <c r="Q208" s="22" t="s">
        <v>927</v>
      </c>
      <c r="R208" s="22" t="s">
        <v>928</v>
      </c>
    </row>
    <row r="209" ht="45.0" customHeight="1">
      <c r="A209" s="20" t="s">
        <v>929</v>
      </c>
      <c r="B209" s="21" t="str">
        <f>IMAGE("https://raw.githubusercontent.com/ltdimages/images/refs/heads/main/Food198.png")</f>
        <v/>
      </c>
      <c r="C209" s="22" t="s">
        <v>930</v>
      </c>
      <c r="D209" s="22" t="s">
        <v>43</v>
      </c>
      <c r="E209" s="22" t="s">
        <v>106</v>
      </c>
      <c r="F209" s="23"/>
      <c r="G209" s="23">
        <v>7.0</v>
      </c>
      <c r="H209" s="22" t="s">
        <v>49</v>
      </c>
      <c r="I209" s="22" t="s">
        <v>46</v>
      </c>
      <c r="J209" s="22" t="s">
        <v>45</v>
      </c>
      <c r="K209" s="22" t="s">
        <v>56</v>
      </c>
      <c r="L209" s="22" t="s">
        <v>57</v>
      </c>
      <c r="M209" s="22" t="s">
        <v>45</v>
      </c>
      <c r="N209" s="22" t="s">
        <v>49</v>
      </c>
      <c r="O209" s="22" t="s">
        <v>49</v>
      </c>
      <c r="P209" s="22" t="s">
        <v>49</v>
      </c>
      <c r="Q209" s="22" t="s">
        <v>931</v>
      </c>
      <c r="R209" s="22" t="s">
        <v>932</v>
      </c>
    </row>
    <row r="210" ht="45.0" customHeight="1">
      <c r="A210" s="20" t="s">
        <v>933</v>
      </c>
      <c r="B210" s="21" t="str">
        <f>IMAGE("https://raw.githubusercontent.com/ltdimages/images/refs/heads/main/Food040.png")</f>
        <v/>
      </c>
      <c r="C210" s="22" t="s">
        <v>934</v>
      </c>
      <c r="D210" s="22" t="s">
        <v>43</v>
      </c>
      <c r="E210" s="22" t="s">
        <v>62</v>
      </c>
      <c r="F210" s="23" t="s">
        <v>167</v>
      </c>
      <c r="G210" s="23">
        <v>2.8</v>
      </c>
      <c r="H210" s="22" t="s">
        <v>49</v>
      </c>
      <c r="I210" s="22" t="s">
        <v>46</v>
      </c>
      <c r="J210" s="22" t="s">
        <v>45</v>
      </c>
      <c r="K210" s="22" t="s">
        <v>56</v>
      </c>
      <c r="L210" s="22" t="s">
        <v>57</v>
      </c>
      <c r="M210" s="22" t="s">
        <v>49</v>
      </c>
      <c r="N210" s="22" t="s">
        <v>49</v>
      </c>
      <c r="O210" s="22" t="s">
        <v>49</v>
      </c>
      <c r="P210" s="22" t="s">
        <v>49</v>
      </c>
      <c r="Q210" s="22" t="s">
        <v>935</v>
      </c>
      <c r="R210" s="22" t="s">
        <v>936</v>
      </c>
    </row>
    <row r="211" ht="45.0" customHeight="1">
      <c r="A211" s="20" t="s">
        <v>937</v>
      </c>
      <c r="B211" s="21" t="str">
        <f>IMAGE("https://raw.githubusercontent.com/ltdimages/images/refs/heads/main/Food246.png")</f>
        <v/>
      </c>
      <c r="C211" s="22" t="s">
        <v>938</v>
      </c>
      <c r="D211" s="22" t="s">
        <v>43</v>
      </c>
      <c r="E211" s="22" t="s">
        <v>191</v>
      </c>
      <c r="F211" s="23"/>
      <c r="G211" s="23">
        <v>7.5</v>
      </c>
      <c r="H211" s="22" t="s">
        <v>49</v>
      </c>
      <c r="I211" s="22" t="s">
        <v>46</v>
      </c>
      <c r="J211" s="22" t="s">
        <v>45</v>
      </c>
      <c r="K211" s="22" t="s">
        <v>56</v>
      </c>
      <c r="L211" s="22" t="s">
        <v>172</v>
      </c>
      <c r="M211" s="22" t="s">
        <v>49</v>
      </c>
      <c r="N211" s="22" t="s">
        <v>49</v>
      </c>
      <c r="O211" s="22" t="s">
        <v>49</v>
      </c>
      <c r="P211" s="22" t="s">
        <v>49</v>
      </c>
      <c r="Q211" s="22" t="s">
        <v>939</v>
      </c>
      <c r="R211" s="22" t="s">
        <v>940</v>
      </c>
    </row>
    <row r="212" ht="45.0" customHeight="1">
      <c r="A212" s="20" t="s">
        <v>941</v>
      </c>
      <c r="B212" s="21" t="str">
        <f>IMAGE("https://raw.githubusercontent.com/ltdimages/images/refs/heads/main/Food188.png")</f>
        <v/>
      </c>
      <c r="C212" s="22" t="s">
        <v>942</v>
      </c>
      <c r="D212" s="22" t="s">
        <v>43</v>
      </c>
      <c r="E212" s="22" t="s">
        <v>62</v>
      </c>
      <c r="F212" s="23" t="s">
        <v>111</v>
      </c>
      <c r="G212" s="23">
        <v>6.9</v>
      </c>
      <c r="H212" s="22" t="s">
        <v>49</v>
      </c>
      <c r="I212" s="22" t="s">
        <v>46</v>
      </c>
      <c r="J212" s="22" t="s">
        <v>45</v>
      </c>
      <c r="K212" s="22" t="s">
        <v>47</v>
      </c>
      <c r="L212" s="22" t="s">
        <v>48</v>
      </c>
      <c r="M212" s="22" t="s">
        <v>49</v>
      </c>
      <c r="N212" s="22" t="s">
        <v>49</v>
      </c>
      <c r="O212" s="22" t="s">
        <v>49</v>
      </c>
      <c r="P212" s="22" t="s">
        <v>49</v>
      </c>
      <c r="Q212" s="22" t="s">
        <v>943</v>
      </c>
      <c r="R212" s="22" t="s">
        <v>944</v>
      </c>
    </row>
    <row r="213" ht="45.0" customHeight="1">
      <c r="A213" s="20" t="s">
        <v>945</v>
      </c>
      <c r="B213" s="21" t="str">
        <f>IMAGE("https://raw.githubusercontent.com/ltdimages/images/refs/heads/main/Food033.png")</f>
        <v/>
      </c>
      <c r="C213" s="22" t="s">
        <v>946</v>
      </c>
      <c r="D213" s="22" t="s">
        <v>43</v>
      </c>
      <c r="E213" s="22" t="s">
        <v>204</v>
      </c>
      <c r="F213" s="23"/>
      <c r="G213" s="23">
        <v>5.5</v>
      </c>
      <c r="H213" s="22" t="s">
        <v>49</v>
      </c>
      <c r="I213" s="22" t="s">
        <v>46</v>
      </c>
      <c r="J213" s="22" t="s">
        <v>45</v>
      </c>
      <c r="K213" s="22" t="s">
        <v>56</v>
      </c>
      <c r="L213" s="22" t="s">
        <v>57</v>
      </c>
      <c r="M213" s="22" t="s">
        <v>49</v>
      </c>
      <c r="N213" s="22" t="s">
        <v>45</v>
      </c>
      <c r="O213" s="22" t="s">
        <v>49</v>
      </c>
      <c r="P213" s="22" t="s">
        <v>49</v>
      </c>
      <c r="Q213" s="22" t="s">
        <v>947</v>
      </c>
      <c r="R213" s="22" t="s">
        <v>948</v>
      </c>
    </row>
    <row r="214" ht="45.0" customHeight="1">
      <c r="A214" s="20" t="s">
        <v>949</v>
      </c>
      <c r="B214" s="21" t="str">
        <f>IMAGE("https://raw.githubusercontent.com/ltdimages/images/refs/heads/main/Food462.png")</f>
        <v/>
      </c>
      <c r="C214" s="22" t="s">
        <v>950</v>
      </c>
      <c r="D214" s="22" t="s">
        <v>43</v>
      </c>
      <c r="E214" s="22"/>
      <c r="F214" s="23" t="s">
        <v>111</v>
      </c>
      <c r="G214" s="23">
        <v>11.0</v>
      </c>
      <c r="H214" s="22" t="s">
        <v>49</v>
      </c>
      <c r="I214" s="22" t="s">
        <v>46</v>
      </c>
      <c r="J214" s="22" t="s">
        <v>45</v>
      </c>
      <c r="K214" s="22" t="s">
        <v>56</v>
      </c>
      <c r="L214" s="22" t="s">
        <v>48</v>
      </c>
      <c r="M214" s="22" t="s">
        <v>45</v>
      </c>
      <c r="N214" s="22" t="s">
        <v>45</v>
      </c>
      <c r="O214" s="22" t="s">
        <v>951</v>
      </c>
      <c r="P214" s="22" t="s">
        <v>49</v>
      </c>
      <c r="Q214" s="22" t="s">
        <v>952</v>
      </c>
      <c r="R214" s="22" t="s">
        <v>953</v>
      </c>
    </row>
    <row r="215" ht="45.0" customHeight="1">
      <c r="A215" s="20" t="s">
        <v>954</v>
      </c>
      <c r="B215" s="21" t="str">
        <f>IMAGE("https://raw.githubusercontent.com/ltdimages/images/refs/heads/main/Food122.png")</f>
        <v/>
      </c>
      <c r="C215" s="22" t="s">
        <v>955</v>
      </c>
      <c r="D215" s="22" t="s">
        <v>43</v>
      </c>
      <c r="E215" s="22" t="s">
        <v>177</v>
      </c>
      <c r="F215" s="23" t="s">
        <v>111</v>
      </c>
      <c r="G215" s="23">
        <v>6.8</v>
      </c>
      <c r="H215" s="22" t="s">
        <v>49</v>
      </c>
      <c r="I215" s="22" t="s">
        <v>46</v>
      </c>
      <c r="J215" s="22" t="s">
        <v>45</v>
      </c>
      <c r="K215" s="22" t="s">
        <v>86</v>
      </c>
      <c r="L215" s="22" t="s">
        <v>57</v>
      </c>
      <c r="M215" s="22" t="s">
        <v>49</v>
      </c>
      <c r="N215" s="22" t="s">
        <v>49</v>
      </c>
      <c r="O215" s="22" t="s">
        <v>49</v>
      </c>
      <c r="P215" s="22" t="s">
        <v>49</v>
      </c>
      <c r="Q215" s="22" t="s">
        <v>956</v>
      </c>
      <c r="R215" s="22" t="s">
        <v>957</v>
      </c>
    </row>
    <row r="216" ht="45.0" customHeight="1">
      <c r="A216" s="20" t="s">
        <v>958</v>
      </c>
      <c r="B216" s="21" t="str">
        <f>IMAGE("https://raw.githubusercontent.com/ltdimages/images/refs/heads/main/Food387.png")</f>
        <v/>
      </c>
      <c r="C216" s="22" t="s">
        <v>959</v>
      </c>
      <c r="D216" s="22" t="s">
        <v>43</v>
      </c>
      <c r="E216" s="22" t="s">
        <v>177</v>
      </c>
      <c r="F216" s="23" t="s">
        <v>456</v>
      </c>
      <c r="G216" s="23">
        <v>4.0</v>
      </c>
      <c r="H216" s="22" t="s">
        <v>49</v>
      </c>
      <c r="I216" s="22" t="s">
        <v>46</v>
      </c>
      <c r="J216" s="22" t="s">
        <v>45</v>
      </c>
      <c r="K216" s="22" t="s">
        <v>56</v>
      </c>
      <c r="L216" s="22" t="s">
        <v>57</v>
      </c>
      <c r="M216" s="22" t="s">
        <v>45</v>
      </c>
      <c r="N216" s="22" t="s">
        <v>49</v>
      </c>
      <c r="O216" s="22" t="s">
        <v>45</v>
      </c>
      <c r="P216" s="22" t="s">
        <v>45</v>
      </c>
      <c r="Q216" s="22" t="s">
        <v>960</v>
      </c>
      <c r="R216" s="22" t="s">
        <v>961</v>
      </c>
    </row>
    <row r="217" ht="45.0" customHeight="1">
      <c r="A217" s="20" t="s">
        <v>962</v>
      </c>
      <c r="B217" s="21" t="str">
        <f>IMAGE("https://raw.githubusercontent.com/ltdimages/images/refs/heads/main/Food363.png")</f>
        <v/>
      </c>
      <c r="C217" s="22" t="s">
        <v>963</v>
      </c>
      <c r="D217" s="22" t="s">
        <v>43</v>
      </c>
      <c r="E217" s="22" t="s">
        <v>106</v>
      </c>
      <c r="F217" s="23"/>
      <c r="G217" s="23">
        <v>6.9</v>
      </c>
      <c r="H217" s="22" t="s">
        <v>49</v>
      </c>
      <c r="I217" s="22" t="s">
        <v>46</v>
      </c>
      <c r="J217" s="22" t="s">
        <v>45</v>
      </c>
      <c r="K217" s="22" t="s">
        <v>56</v>
      </c>
      <c r="L217" s="22" t="s">
        <v>57</v>
      </c>
      <c r="M217" s="22" t="s">
        <v>49</v>
      </c>
      <c r="N217" s="22" t="s">
        <v>49</v>
      </c>
      <c r="O217" s="22" t="s">
        <v>49</v>
      </c>
      <c r="P217" s="22" t="s">
        <v>49</v>
      </c>
      <c r="Q217" s="22" t="s">
        <v>964</v>
      </c>
      <c r="R217" s="22" t="s">
        <v>965</v>
      </c>
    </row>
    <row r="218" ht="45.0" customHeight="1">
      <c r="A218" s="20" t="s">
        <v>966</v>
      </c>
      <c r="B218" s="21" t="str">
        <f>IMAGE("https://raw.githubusercontent.com/ltdimages/images/refs/heads/main/Food236.png")</f>
        <v/>
      </c>
      <c r="C218" s="22" t="s">
        <v>967</v>
      </c>
      <c r="D218" s="22" t="s">
        <v>43</v>
      </c>
      <c r="E218" s="22" t="s">
        <v>177</v>
      </c>
      <c r="F218" s="23"/>
      <c r="G218" s="23">
        <v>6.4</v>
      </c>
      <c r="H218" s="22" t="s">
        <v>49</v>
      </c>
      <c r="I218" s="22" t="s">
        <v>46</v>
      </c>
      <c r="J218" s="22" t="s">
        <v>45</v>
      </c>
      <c r="K218" s="22" t="s">
        <v>56</v>
      </c>
      <c r="L218" s="22" t="s">
        <v>57</v>
      </c>
      <c r="M218" s="22" t="s">
        <v>49</v>
      </c>
      <c r="N218" s="22" t="s">
        <v>49</v>
      </c>
      <c r="O218" s="22" t="s">
        <v>49</v>
      </c>
      <c r="P218" s="22" t="s">
        <v>45</v>
      </c>
      <c r="Q218" s="22" t="s">
        <v>968</v>
      </c>
      <c r="R218" s="22" t="s">
        <v>969</v>
      </c>
    </row>
    <row r="219" ht="45.0" customHeight="1">
      <c r="A219" s="20" t="s">
        <v>970</v>
      </c>
      <c r="B219" s="21" t="str">
        <f>IMAGE("https://raw.githubusercontent.com/ltdimages/images/refs/heads/main/Food087.png")</f>
        <v/>
      </c>
      <c r="C219" s="22" t="s">
        <v>971</v>
      </c>
      <c r="D219" s="22" t="s">
        <v>43</v>
      </c>
      <c r="E219" s="22" t="s">
        <v>106</v>
      </c>
      <c r="F219" s="23" t="s">
        <v>101</v>
      </c>
      <c r="G219" s="23">
        <v>0.5</v>
      </c>
      <c r="H219" s="22" t="s">
        <v>45</v>
      </c>
      <c r="I219" s="22" t="s">
        <v>46</v>
      </c>
      <c r="J219" s="22" t="s">
        <v>45</v>
      </c>
      <c r="K219" s="22" t="s">
        <v>47</v>
      </c>
      <c r="L219" s="22" t="s">
        <v>48</v>
      </c>
      <c r="M219" s="22" t="s">
        <v>49</v>
      </c>
      <c r="N219" s="22" t="s">
        <v>49</v>
      </c>
      <c r="O219" s="22" t="s">
        <v>49</v>
      </c>
      <c r="P219" s="22" t="s">
        <v>49</v>
      </c>
      <c r="Q219" s="22" t="s">
        <v>972</v>
      </c>
      <c r="R219" s="22" t="s">
        <v>973</v>
      </c>
    </row>
    <row r="220" ht="45.0" customHeight="1">
      <c r="A220" s="20" t="s">
        <v>974</v>
      </c>
      <c r="B220" s="21" t="str">
        <f>IMAGE("https://raw.githubusercontent.com/ltdimages/images/refs/heads/main/Food051.png")</f>
        <v/>
      </c>
      <c r="C220" s="22" t="s">
        <v>975</v>
      </c>
      <c r="D220" s="22" t="s">
        <v>43</v>
      </c>
      <c r="E220" s="22" t="s">
        <v>126</v>
      </c>
      <c r="F220" s="23"/>
      <c r="G220" s="23">
        <v>2.0</v>
      </c>
      <c r="H220" s="22" t="s">
        <v>49</v>
      </c>
      <c r="I220" s="22" t="s">
        <v>46</v>
      </c>
      <c r="J220" s="22" t="s">
        <v>45</v>
      </c>
      <c r="K220" s="22" t="s">
        <v>47</v>
      </c>
      <c r="L220" s="22" t="s">
        <v>57</v>
      </c>
      <c r="M220" s="22" t="s">
        <v>49</v>
      </c>
      <c r="N220" s="22" t="s">
        <v>49</v>
      </c>
      <c r="O220" s="22" t="s">
        <v>49</v>
      </c>
      <c r="P220" s="22" t="s">
        <v>49</v>
      </c>
      <c r="Q220" s="22" t="s">
        <v>976</v>
      </c>
      <c r="R220" s="22" t="s">
        <v>126</v>
      </c>
    </row>
    <row r="221" ht="45.0" customHeight="1">
      <c r="A221" s="20" t="s">
        <v>977</v>
      </c>
      <c r="B221" s="21" t="str">
        <f>IMAGE("https://raw.githubusercontent.com/ltdimages/images/refs/heads/main/Food019.png")</f>
        <v/>
      </c>
      <c r="C221" s="22" t="s">
        <v>978</v>
      </c>
      <c r="D221" s="22" t="s">
        <v>43</v>
      </c>
      <c r="E221" s="22" t="s">
        <v>126</v>
      </c>
      <c r="F221" s="23"/>
      <c r="G221" s="23">
        <v>1.1</v>
      </c>
      <c r="H221" s="22" t="s">
        <v>45</v>
      </c>
      <c r="I221" s="22" t="s">
        <v>46</v>
      </c>
      <c r="J221" s="22" t="s">
        <v>45</v>
      </c>
      <c r="K221" s="22" t="s">
        <v>56</v>
      </c>
      <c r="L221" s="22" t="s">
        <v>48</v>
      </c>
      <c r="M221" s="22" t="s">
        <v>49</v>
      </c>
      <c r="N221" s="22" t="s">
        <v>49</v>
      </c>
      <c r="O221" s="22" t="s">
        <v>49</v>
      </c>
      <c r="P221" s="22" t="s">
        <v>49</v>
      </c>
      <c r="Q221" s="22" t="s">
        <v>979</v>
      </c>
      <c r="R221" s="22" t="s">
        <v>980</v>
      </c>
    </row>
    <row r="222" ht="45.0" customHeight="1">
      <c r="A222" s="20" t="s">
        <v>981</v>
      </c>
      <c r="B222" s="21" t="str">
        <f>IMAGE("https://raw.githubusercontent.com/ltdimages/images/refs/heads/main/Food227.png")</f>
        <v/>
      </c>
      <c r="C222" s="22" t="s">
        <v>982</v>
      </c>
      <c r="D222" s="22" t="s">
        <v>43</v>
      </c>
      <c r="E222" s="22" t="s">
        <v>126</v>
      </c>
      <c r="F222" s="23"/>
      <c r="G222" s="23">
        <v>1.5</v>
      </c>
      <c r="H222" s="22" t="s">
        <v>49</v>
      </c>
      <c r="I222" s="22" t="s">
        <v>46</v>
      </c>
      <c r="J222" s="22" t="s">
        <v>45</v>
      </c>
      <c r="K222" s="22" t="s">
        <v>56</v>
      </c>
      <c r="L222" s="22" t="s">
        <v>57</v>
      </c>
      <c r="M222" s="22" t="s">
        <v>45</v>
      </c>
      <c r="N222" s="22" t="s">
        <v>49</v>
      </c>
      <c r="O222" s="22" t="s">
        <v>49</v>
      </c>
      <c r="P222" s="22" t="s">
        <v>49</v>
      </c>
      <c r="Q222" s="22" t="s">
        <v>983</v>
      </c>
      <c r="R222" s="22" t="s">
        <v>984</v>
      </c>
    </row>
    <row r="223" ht="45.0" customHeight="1">
      <c r="A223" s="20" t="s">
        <v>985</v>
      </c>
      <c r="B223" s="21" t="str">
        <f>IMAGE("https://raw.githubusercontent.com/ltdimages/images/refs/heads/main/Food158.png")</f>
        <v/>
      </c>
      <c r="C223" s="22" t="s">
        <v>986</v>
      </c>
      <c r="D223" s="22" t="s">
        <v>43</v>
      </c>
      <c r="E223" s="22" t="s">
        <v>126</v>
      </c>
      <c r="F223" s="23"/>
      <c r="G223" s="23">
        <v>7.8</v>
      </c>
      <c r="H223" s="22" t="s">
        <v>49</v>
      </c>
      <c r="I223" s="22" t="s">
        <v>46</v>
      </c>
      <c r="J223" s="22" t="s">
        <v>45</v>
      </c>
      <c r="K223" s="22" t="s">
        <v>56</v>
      </c>
      <c r="L223" s="22" t="s">
        <v>57</v>
      </c>
      <c r="M223" s="22" t="s">
        <v>49</v>
      </c>
      <c r="N223" s="22" t="s">
        <v>49</v>
      </c>
      <c r="O223" s="22" t="s">
        <v>49</v>
      </c>
      <c r="P223" s="22" t="s">
        <v>49</v>
      </c>
      <c r="Q223" s="22" t="s">
        <v>987</v>
      </c>
      <c r="R223" s="22" t="s">
        <v>988</v>
      </c>
    </row>
    <row r="224" ht="45.0" customHeight="1">
      <c r="A224" s="20" t="s">
        <v>989</v>
      </c>
      <c r="B224" s="21" t="str">
        <f>IMAGE("https://raw.githubusercontent.com/ltdimages/images/refs/heads/main/Food159.png")</f>
        <v/>
      </c>
      <c r="C224" s="22" t="s">
        <v>990</v>
      </c>
      <c r="D224" s="22" t="s">
        <v>43</v>
      </c>
      <c r="E224" s="22" t="s">
        <v>62</v>
      </c>
      <c r="F224" s="23"/>
      <c r="G224" s="23">
        <v>15.0</v>
      </c>
      <c r="H224" s="22" t="s">
        <v>49</v>
      </c>
      <c r="I224" s="22" t="s">
        <v>46</v>
      </c>
      <c r="J224" s="22" t="s">
        <v>45</v>
      </c>
      <c r="K224" s="22" t="s">
        <v>86</v>
      </c>
      <c r="L224" s="22" t="s">
        <v>48</v>
      </c>
      <c r="M224" s="22" t="s">
        <v>49</v>
      </c>
      <c r="N224" s="22" t="s">
        <v>49</v>
      </c>
      <c r="O224" s="22" t="s">
        <v>49</v>
      </c>
      <c r="P224" s="22" t="s">
        <v>49</v>
      </c>
      <c r="Q224" s="22" t="s">
        <v>991</v>
      </c>
      <c r="R224" s="22" t="s">
        <v>992</v>
      </c>
    </row>
    <row r="225" ht="45.0" customHeight="1">
      <c r="A225" s="20" t="s">
        <v>993</v>
      </c>
      <c r="B225" s="21" t="str">
        <f>IMAGE("https://raw.githubusercontent.com/ltdimages/images/refs/heads/main/Food238.png")</f>
        <v/>
      </c>
      <c r="C225" s="22" t="s">
        <v>994</v>
      </c>
      <c r="D225" s="22" t="s">
        <v>43</v>
      </c>
      <c r="E225" s="22" t="s">
        <v>62</v>
      </c>
      <c r="F225" s="23" t="s">
        <v>167</v>
      </c>
      <c r="G225" s="23">
        <v>20.0</v>
      </c>
      <c r="H225" s="22" t="s">
        <v>49</v>
      </c>
      <c r="I225" s="22" t="s">
        <v>46</v>
      </c>
      <c r="J225" s="22" t="s">
        <v>45</v>
      </c>
      <c r="K225" s="22" t="s">
        <v>86</v>
      </c>
      <c r="L225" s="22" t="s">
        <v>57</v>
      </c>
      <c r="M225" s="22" t="s">
        <v>49</v>
      </c>
      <c r="N225" s="22" t="s">
        <v>49</v>
      </c>
      <c r="O225" s="22" t="s">
        <v>49</v>
      </c>
      <c r="P225" s="22" t="s">
        <v>49</v>
      </c>
      <c r="Q225" s="22" t="s">
        <v>995</v>
      </c>
      <c r="R225" s="22" t="s">
        <v>996</v>
      </c>
    </row>
    <row r="226" ht="45.0" customHeight="1">
      <c r="A226" s="20" t="s">
        <v>997</v>
      </c>
      <c r="B226" s="21" t="str">
        <f>IMAGE("https://raw.githubusercontent.com/ltdimages/images/refs/heads/main/Food320.png")</f>
        <v/>
      </c>
      <c r="C226" s="22" t="s">
        <v>998</v>
      </c>
      <c r="D226" s="22" t="s">
        <v>43</v>
      </c>
      <c r="E226" s="22" t="s">
        <v>62</v>
      </c>
      <c r="F226" s="23" t="s">
        <v>999</v>
      </c>
      <c r="G226" s="23">
        <v>16.0</v>
      </c>
      <c r="H226" s="22" t="s">
        <v>49</v>
      </c>
      <c r="I226" s="22" t="s">
        <v>46</v>
      </c>
      <c r="J226" s="22" t="s">
        <v>45</v>
      </c>
      <c r="K226" s="22" t="s">
        <v>86</v>
      </c>
      <c r="L226" s="22" t="s">
        <v>57</v>
      </c>
      <c r="M226" s="22" t="s">
        <v>45</v>
      </c>
      <c r="N226" s="22" t="s">
        <v>45</v>
      </c>
      <c r="O226" s="22" t="s">
        <v>49</v>
      </c>
      <c r="P226" s="22" t="s">
        <v>45</v>
      </c>
      <c r="Q226" s="22" t="s">
        <v>1000</v>
      </c>
      <c r="R226" s="22" t="s">
        <v>1001</v>
      </c>
    </row>
    <row r="227" ht="45.0" customHeight="1">
      <c r="A227" s="20" t="s">
        <v>1002</v>
      </c>
      <c r="B227" s="21" t="str">
        <f>IMAGE("https://raw.githubusercontent.com/ltdimages/images/refs/heads/main/Food456.png")</f>
        <v/>
      </c>
      <c r="C227" s="22" t="s">
        <v>1003</v>
      </c>
      <c r="D227" s="22" t="s">
        <v>43</v>
      </c>
      <c r="E227" s="22" t="s">
        <v>62</v>
      </c>
      <c r="F227" s="23" t="s">
        <v>167</v>
      </c>
      <c r="G227" s="23">
        <v>17.0</v>
      </c>
      <c r="H227" s="22" t="s">
        <v>49</v>
      </c>
      <c r="I227" s="22" t="s">
        <v>46</v>
      </c>
      <c r="J227" s="22" t="s">
        <v>45</v>
      </c>
      <c r="K227" s="22" t="s">
        <v>86</v>
      </c>
      <c r="L227" s="22" t="s">
        <v>57</v>
      </c>
      <c r="M227" s="22" t="s">
        <v>49</v>
      </c>
      <c r="N227" s="22" t="s">
        <v>49</v>
      </c>
      <c r="O227" s="22" t="s">
        <v>1004</v>
      </c>
      <c r="P227" s="22" t="s">
        <v>49</v>
      </c>
      <c r="Q227" s="22" t="s">
        <v>1005</v>
      </c>
      <c r="R227" s="22" t="s">
        <v>1006</v>
      </c>
    </row>
    <row r="228" ht="45.0" customHeight="1">
      <c r="A228" s="20" t="s">
        <v>1007</v>
      </c>
      <c r="B228" s="21" t="str">
        <f>IMAGE("https://raw.githubusercontent.com/ltdimages/images/refs/heads/main/Food461.png")</f>
        <v/>
      </c>
      <c r="C228" s="22" t="s">
        <v>1008</v>
      </c>
      <c r="D228" s="22" t="s">
        <v>43</v>
      </c>
      <c r="E228" s="22" t="s">
        <v>62</v>
      </c>
      <c r="F228" s="23" t="s">
        <v>167</v>
      </c>
      <c r="G228" s="23">
        <v>15.0</v>
      </c>
      <c r="H228" s="22" t="s">
        <v>49</v>
      </c>
      <c r="I228" s="22" t="s">
        <v>46</v>
      </c>
      <c r="J228" s="22" t="s">
        <v>45</v>
      </c>
      <c r="K228" s="22" t="s">
        <v>86</v>
      </c>
      <c r="L228" s="22" t="s">
        <v>57</v>
      </c>
      <c r="M228" s="22" t="s">
        <v>49</v>
      </c>
      <c r="N228" s="22" t="s">
        <v>49</v>
      </c>
      <c r="O228" s="22" t="s">
        <v>49</v>
      </c>
      <c r="P228" s="22" t="s">
        <v>49</v>
      </c>
      <c r="Q228" s="22" t="s">
        <v>1009</v>
      </c>
      <c r="R228" s="22" t="s">
        <v>1010</v>
      </c>
    </row>
    <row r="229" ht="45.0" customHeight="1">
      <c r="A229" s="20" t="s">
        <v>1011</v>
      </c>
      <c r="B229" s="21" t="str">
        <f>IMAGE("https://raw.githubusercontent.com/ltdimages/images/refs/heads/main/Food307.png")</f>
        <v/>
      </c>
      <c r="C229" s="22" t="s">
        <v>1012</v>
      </c>
      <c r="D229" s="22" t="s">
        <v>43</v>
      </c>
      <c r="E229" s="22" t="s">
        <v>62</v>
      </c>
      <c r="F229" s="23" t="s">
        <v>167</v>
      </c>
      <c r="G229" s="23">
        <v>12.0</v>
      </c>
      <c r="H229" s="22" t="s">
        <v>49</v>
      </c>
      <c r="I229" s="22" t="s">
        <v>46</v>
      </c>
      <c r="J229" s="22" t="s">
        <v>45</v>
      </c>
      <c r="K229" s="22" t="s">
        <v>86</v>
      </c>
      <c r="L229" s="22" t="s">
        <v>57</v>
      </c>
      <c r="M229" s="22" t="s">
        <v>49</v>
      </c>
      <c r="N229" s="22" t="s">
        <v>45</v>
      </c>
      <c r="O229" s="22" t="s">
        <v>49</v>
      </c>
      <c r="P229" s="22" t="s">
        <v>45</v>
      </c>
      <c r="Q229" s="22" t="s">
        <v>1013</v>
      </c>
      <c r="R229" s="22" t="s">
        <v>1014</v>
      </c>
    </row>
    <row r="230" ht="45.0" customHeight="1">
      <c r="A230" s="20" t="s">
        <v>1015</v>
      </c>
      <c r="B230" s="21" t="str">
        <f>IMAGE("https://raw.githubusercontent.com/ltdimages/images/refs/heads/main/Food167.png")</f>
        <v/>
      </c>
      <c r="C230" s="22" t="s">
        <v>1016</v>
      </c>
      <c r="D230" s="22" t="s">
        <v>43</v>
      </c>
      <c r="E230" s="22" t="s">
        <v>62</v>
      </c>
      <c r="F230" s="23" t="s">
        <v>167</v>
      </c>
      <c r="G230" s="23">
        <v>33.0</v>
      </c>
      <c r="H230" s="22" t="s">
        <v>49</v>
      </c>
      <c r="I230" s="22" t="s">
        <v>46</v>
      </c>
      <c r="J230" s="22" t="s">
        <v>45</v>
      </c>
      <c r="K230" s="22" t="s">
        <v>86</v>
      </c>
      <c r="L230" s="22" t="s">
        <v>57</v>
      </c>
      <c r="M230" s="22" t="s">
        <v>1017</v>
      </c>
      <c r="N230" s="22" t="s">
        <v>49</v>
      </c>
      <c r="O230" s="22" t="s">
        <v>49</v>
      </c>
      <c r="P230" s="22" t="s">
        <v>49</v>
      </c>
      <c r="Q230" s="22" t="s">
        <v>1018</v>
      </c>
      <c r="R230" s="22" t="s">
        <v>1019</v>
      </c>
    </row>
    <row r="231" ht="45.0" customHeight="1">
      <c r="A231" s="20" t="s">
        <v>1020</v>
      </c>
      <c r="B231" s="21" t="str">
        <f>IMAGE("https://raw.githubusercontent.com/ltdimages/images/refs/heads/main/Food324.png")</f>
        <v/>
      </c>
      <c r="C231" s="22" t="s">
        <v>1021</v>
      </c>
      <c r="D231" s="22" t="s">
        <v>43</v>
      </c>
      <c r="E231" s="22" t="s">
        <v>121</v>
      </c>
      <c r="F231" s="23" t="s">
        <v>131</v>
      </c>
      <c r="G231" s="23">
        <v>5.4</v>
      </c>
      <c r="H231" s="22" t="s">
        <v>49</v>
      </c>
      <c r="I231" s="22" t="s">
        <v>46</v>
      </c>
      <c r="J231" s="22" t="s">
        <v>45</v>
      </c>
      <c r="K231" s="22" t="s">
        <v>56</v>
      </c>
      <c r="L231" s="22" t="s">
        <v>172</v>
      </c>
      <c r="M231" s="22" t="s">
        <v>45</v>
      </c>
      <c r="N231" s="22" t="s">
        <v>45</v>
      </c>
      <c r="O231" s="22" t="s">
        <v>49</v>
      </c>
      <c r="P231" s="22" t="s">
        <v>45</v>
      </c>
      <c r="Q231" s="22" t="s">
        <v>1022</v>
      </c>
      <c r="R231" s="22" t="s">
        <v>1023</v>
      </c>
    </row>
    <row r="232" ht="45.0" customHeight="1">
      <c r="A232" s="20" t="s">
        <v>1024</v>
      </c>
      <c r="B232" s="21" t="str">
        <f>IMAGE("https://raw.githubusercontent.com/ltdimages/images/refs/heads/main/Food199.png")</f>
        <v/>
      </c>
      <c r="C232" s="22" t="s">
        <v>1025</v>
      </c>
      <c r="D232" s="22" t="s">
        <v>43</v>
      </c>
      <c r="E232" s="22"/>
      <c r="F232" s="23"/>
      <c r="G232" s="23">
        <v>0.2</v>
      </c>
      <c r="H232" s="22" t="s">
        <v>49</v>
      </c>
      <c r="I232" s="22" t="s">
        <v>46</v>
      </c>
      <c r="J232" s="22" t="s">
        <v>49</v>
      </c>
      <c r="K232" s="22" t="s">
        <v>86</v>
      </c>
      <c r="L232" s="22" t="s">
        <v>48</v>
      </c>
      <c r="M232" s="22" t="s">
        <v>45</v>
      </c>
      <c r="N232" s="22" t="s">
        <v>45</v>
      </c>
      <c r="O232" s="22" t="s">
        <v>45</v>
      </c>
      <c r="P232" s="22" t="s">
        <v>45</v>
      </c>
      <c r="Q232" s="22" t="s">
        <v>1026</v>
      </c>
      <c r="R232" s="22" t="s">
        <v>1027</v>
      </c>
    </row>
    <row r="233" ht="45.0" customHeight="1">
      <c r="A233" s="20" t="s">
        <v>1028</v>
      </c>
      <c r="B233" s="21" t="str">
        <f>IMAGE("https://raw.githubusercontent.com/ltdimages/images/refs/heads/main/Food056.png")</f>
        <v/>
      </c>
      <c r="C233" s="22" t="s">
        <v>1029</v>
      </c>
      <c r="D233" s="22" t="s">
        <v>43</v>
      </c>
      <c r="E233" s="22" t="s">
        <v>106</v>
      </c>
      <c r="F233" s="23"/>
      <c r="G233" s="23">
        <v>5.6</v>
      </c>
      <c r="H233" s="22" t="s">
        <v>49</v>
      </c>
      <c r="I233" s="22" t="s">
        <v>46</v>
      </c>
      <c r="J233" s="22" t="s">
        <v>45</v>
      </c>
      <c r="K233" s="22" t="s">
        <v>47</v>
      </c>
      <c r="L233" s="22" t="s">
        <v>172</v>
      </c>
      <c r="M233" s="22" t="s">
        <v>49</v>
      </c>
      <c r="N233" s="22" t="s">
        <v>49</v>
      </c>
      <c r="O233" s="22" t="s">
        <v>49</v>
      </c>
      <c r="P233" s="22" t="s">
        <v>49</v>
      </c>
      <c r="Q233" s="22" t="s">
        <v>1030</v>
      </c>
      <c r="R233" s="22" t="s">
        <v>1031</v>
      </c>
    </row>
    <row r="234" ht="45.0" customHeight="1">
      <c r="A234" s="20" t="s">
        <v>1032</v>
      </c>
      <c r="B234" s="21" t="str">
        <f>IMAGE("https://raw.githubusercontent.com/ltdimages/images/refs/heads/main/Food160.png")</f>
        <v/>
      </c>
      <c r="C234" s="22" t="s">
        <v>1033</v>
      </c>
      <c r="D234" s="22" t="s">
        <v>43</v>
      </c>
      <c r="E234" s="22" t="s">
        <v>62</v>
      </c>
      <c r="F234" s="23" t="s">
        <v>111</v>
      </c>
      <c r="G234" s="23">
        <v>3.9</v>
      </c>
      <c r="H234" s="22" t="s">
        <v>49</v>
      </c>
      <c r="I234" s="22" t="s">
        <v>46</v>
      </c>
      <c r="J234" s="22" t="s">
        <v>45</v>
      </c>
      <c r="K234" s="22" t="s">
        <v>47</v>
      </c>
      <c r="L234" s="22" t="s">
        <v>48</v>
      </c>
      <c r="M234" s="22" t="s">
        <v>49</v>
      </c>
      <c r="N234" s="22" t="s">
        <v>49</v>
      </c>
      <c r="O234" s="22" t="s">
        <v>49</v>
      </c>
      <c r="P234" s="22" t="s">
        <v>49</v>
      </c>
      <c r="Q234" s="22" t="s">
        <v>1034</v>
      </c>
      <c r="R234" s="22" t="s">
        <v>1035</v>
      </c>
    </row>
    <row r="235" ht="45.0" customHeight="1">
      <c r="A235" s="20" t="s">
        <v>1036</v>
      </c>
      <c r="B235" s="21" t="str">
        <f>IMAGE("https://raw.githubusercontent.com/ltdimages/images/refs/heads/main/Food097.png")</f>
        <v/>
      </c>
      <c r="C235" s="22" t="s">
        <v>1037</v>
      </c>
      <c r="D235" s="22" t="s">
        <v>43</v>
      </c>
      <c r="E235" s="22" t="s">
        <v>62</v>
      </c>
      <c r="F235" s="23" t="s">
        <v>167</v>
      </c>
      <c r="G235" s="23">
        <v>7.0</v>
      </c>
      <c r="H235" s="22" t="s">
        <v>49</v>
      </c>
      <c r="I235" s="22" t="s">
        <v>46</v>
      </c>
      <c r="J235" s="22" t="s">
        <v>45</v>
      </c>
      <c r="K235" s="22" t="s">
        <v>86</v>
      </c>
      <c r="L235" s="22" t="s">
        <v>57</v>
      </c>
      <c r="M235" s="22" t="s">
        <v>49</v>
      </c>
      <c r="N235" s="22" t="s">
        <v>49</v>
      </c>
      <c r="O235" s="22" t="s">
        <v>49</v>
      </c>
      <c r="P235" s="22" t="s">
        <v>49</v>
      </c>
      <c r="Q235" s="22" t="s">
        <v>1038</v>
      </c>
      <c r="R235" s="22" t="s">
        <v>1039</v>
      </c>
    </row>
    <row r="236" ht="45.0" customHeight="1">
      <c r="A236" s="20" t="s">
        <v>1040</v>
      </c>
      <c r="B236" s="21" t="str">
        <f>IMAGE("https://raw.githubusercontent.com/ltdimages/images/refs/heads/main/Food190.png")</f>
        <v/>
      </c>
      <c r="C236" s="22" t="s">
        <v>1041</v>
      </c>
      <c r="D236" s="22" t="s">
        <v>43</v>
      </c>
      <c r="E236" s="22" t="s">
        <v>121</v>
      </c>
      <c r="F236" s="23" t="s">
        <v>167</v>
      </c>
      <c r="G236" s="23">
        <v>7.5</v>
      </c>
      <c r="H236" s="22" t="s">
        <v>49</v>
      </c>
      <c r="I236" s="22" t="s">
        <v>46</v>
      </c>
      <c r="J236" s="22" t="s">
        <v>45</v>
      </c>
      <c r="K236" s="22" t="s">
        <v>86</v>
      </c>
      <c r="L236" s="22" t="s">
        <v>57</v>
      </c>
      <c r="M236" s="22" t="s">
        <v>49</v>
      </c>
      <c r="N236" s="22" t="s">
        <v>49</v>
      </c>
      <c r="O236" s="22" t="s">
        <v>49</v>
      </c>
      <c r="P236" s="22" t="s">
        <v>49</v>
      </c>
      <c r="Q236" s="22" t="s">
        <v>1042</v>
      </c>
      <c r="R236" s="22" t="s">
        <v>1043</v>
      </c>
    </row>
    <row r="237" ht="45.0" customHeight="1">
      <c r="A237" s="20" t="s">
        <v>1044</v>
      </c>
      <c r="B237" s="21" t="str">
        <f>IMAGE("https://raw.githubusercontent.com/ltdimages/images/refs/heads/main/Food203.png")</f>
        <v/>
      </c>
      <c r="C237" s="22" t="s">
        <v>1045</v>
      </c>
      <c r="D237" s="22" t="s">
        <v>43</v>
      </c>
      <c r="E237" s="22" t="s">
        <v>121</v>
      </c>
      <c r="F237" s="23" t="s">
        <v>111</v>
      </c>
      <c r="G237" s="23">
        <v>9.8</v>
      </c>
      <c r="H237" s="22" t="s">
        <v>49</v>
      </c>
      <c r="I237" s="22" t="s">
        <v>46</v>
      </c>
      <c r="J237" s="22" t="s">
        <v>45</v>
      </c>
      <c r="K237" s="22" t="s">
        <v>47</v>
      </c>
      <c r="L237" s="22" t="s">
        <v>48</v>
      </c>
      <c r="M237" s="22" t="s">
        <v>45</v>
      </c>
      <c r="N237" s="22" t="s">
        <v>49</v>
      </c>
      <c r="O237" s="22" t="s">
        <v>45</v>
      </c>
      <c r="P237" s="22" t="s">
        <v>49</v>
      </c>
      <c r="Q237" s="22" t="s">
        <v>1046</v>
      </c>
      <c r="R237" s="22" t="s">
        <v>1047</v>
      </c>
    </row>
    <row r="238" ht="45.0" customHeight="1">
      <c r="A238" s="20" t="s">
        <v>1048</v>
      </c>
      <c r="B238" s="21" t="str">
        <f>IMAGE("https://raw.githubusercontent.com/ltdimages/images/refs/heads/main/Food370.png")</f>
        <v/>
      </c>
      <c r="C238" s="22" t="s">
        <v>1049</v>
      </c>
      <c r="D238" s="22" t="s">
        <v>43</v>
      </c>
      <c r="E238" s="22" t="s">
        <v>62</v>
      </c>
      <c r="F238" s="23" t="s">
        <v>55</v>
      </c>
      <c r="G238" s="23">
        <v>11.9</v>
      </c>
      <c r="H238" s="22" t="s">
        <v>49</v>
      </c>
      <c r="I238" s="22" t="s">
        <v>46</v>
      </c>
      <c r="J238" s="22" t="s">
        <v>45</v>
      </c>
      <c r="K238" s="22" t="s">
        <v>86</v>
      </c>
      <c r="L238" s="22" t="s">
        <v>57</v>
      </c>
      <c r="M238" s="22" t="s">
        <v>45</v>
      </c>
      <c r="N238" s="22" t="s">
        <v>45</v>
      </c>
      <c r="O238" s="22" t="s">
        <v>49</v>
      </c>
      <c r="P238" s="22" t="s">
        <v>45</v>
      </c>
      <c r="Q238" s="22" t="s">
        <v>1050</v>
      </c>
      <c r="R238" s="22" t="s">
        <v>1051</v>
      </c>
    </row>
    <row r="239" ht="45.0" customHeight="1">
      <c r="A239" s="20" t="s">
        <v>1052</v>
      </c>
      <c r="B239" s="21" t="str">
        <f>IMAGE("https://raw.githubusercontent.com/ltdimages/images/refs/heads/main/Food424.png")</f>
        <v/>
      </c>
      <c r="C239" s="22" t="s">
        <v>1053</v>
      </c>
      <c r="D239" s="22" t="s">
        <v>43</v>
      </c>
      <c r="E239" s="22" t="s">
        <v>62</v>
      </c>
      <c r="F239" s="23" t="s">
        <v>167</v>
      </c>
      <c r="G239" s="23">
        <v>8.0</v>
      </c>
      <c r="H239" s="22" t="s">
        <v>49</v>
      </c>
      <c r="I239" s="22" t="s">
        <v>46</v>
      </c>
      <c r="J239" s="22" t="s">
        <v>45</v>
      </c>
      <c r="K239" s="22" t="s">
        <v>86</v>
      </c>
      <c r="L239" s="22" t="s">
        <v>57</v>
      </c>
      <c r="M239" s="22" t="s">
        <v>45</v>
      </c>
      <c r="N239" s="22" t="s">
        <v>49</v>
      </c>
      <c r="O239" s="22" t="s">
        <v>45</v>
      </c>
      <c r="P239" s="22" t="s">
        <v>45</v>
      </c>
      <c r="Q239" s="22" t="s">
        <v>1054</v>
      </c>
      <c r="R239" s="22" t="s">
        <v>1055</v>
      </c>
    </row>
    <row r="240" ht="45.0" customHeight="1">
      <c r="A240" s="20" t="s">
        <v>1056</v>
      </c>
      <c r="B240" s="21" t="str">
        <f>IMAGE("https://raw.githubusercontent.com/ltdimages/images/refs/heads/main/Food411.png")</f>
        <v/>
      </c>
      <c r="C240" s="22" t="s">
        <v>1057</v>
      </c>
      <c r="D240" s="22" t="s">
        <v>43</v>
      </c>
      <c r="E240" s="22" t="s">
        <v>62</v>
      </c>
      <c r="F240" s="23" t="s">
        <v>111</v>
      </c>
      <c r="G240" s="23">
        <v>9.0</v>
      </c>
      <c r="H240" s="22" t="s">
        <v>49</v>
      </c>
      <c r="I240" s="22" t="s">
        <v>46</v>
      </c>
      <c r="J240" s="22" t="s">
        <v>45</v>
      </c>
      <c r="K240" s="22" t="s">
        <v>86</v>
      </c>
      <c r="L240" s="22" t="s">
        <v>57</v>
      </c>
      <c r="M240" s="22" t="s">
        <v>45</v>
      </c>
      <c r="N240" s="22" t="s">
        <v>49</v>
      </c>
      <c r="O240" s="22" t="s">
        <v>45</v>
      </c>
      <c r="P240" s="22" t="s">
        <v>45</v>
      </c>
      <c r="Q240" s="22" t="s">
        <v>1058</v>
      </c>
      <c r="R240" s="22" t="s">
        <v>1059</v>
      </c>
    </row>
    <row r="241" ht="45.0" customHeight="1">
      <c r="A241" s="20" t="s">
        <v>1060</v>
      </c>
      <c r="B241" s="21" t="str">
        <f>IMAGE("https://raw.githubusercontent.com/ltdimages/images/refs/heads/main/Food059.png")</f>
        <v/>
      </c>
      <c r="C241" s="22" t="s">
        <v>1061</v>
      </c>
      <c r="D241" s="22" t="s">
        <v>43</v>
      </c>
      <c r="E241" s="22" t="s">
        <v>1062</v>
      </c>
      <c r="F241" s="23"/>
      <c r="G241" s="23">
        <v>3.3</v>
      </c>
      <c r="H241" s="22" t="s">
        <v>45</v>
      </c>
      <c r="I241" s="22" t="s">
        <v>46</v>
      </c>
      <c r="J241" s="22" t="s">
        <v>45</v>
      </c>
      <c r="K241" s="22" t="s">
        <v>56</v>
      </c>
      <c r="L241" s="22" t="s">
        <v>48</v>
      </c>
      <c r="M241" s="22" t="s">
        <v>49</v>
      </c>
      <c r="N241" s="22" t="s">
        <v>49</v>
      </c>
      <c r="O241" s="22" t="s">
        <v>49</v>
      </c>
      <c r="P241" s="22" t="s">
        <v>49</v>
      </c>
      <c r="Q241" s="22" t="s">
        <v>1063</v>
      </c>
      <c r="R241" s="22" t="s">
        <v>1064</v>
      </c>
    </row>
    <row r="242" ht="45.0" customHeight="1">
      <c r="A242" s="20" t="s">
        <v>1065</v>
      </c>
      <c r="B242" s="21" t="str">
        <f>IMAGE("https://raw.githubusercontent.com/ltdimages/images/refs/heads/main/Food276.png")</f>
        <v/>
      </c>
      <c r="C242" s="22" t="s">
        <v>1066</v>
      </c>
      <c r="D242" s="22" t="s">
        <v>43</v>
      </c>
      <c r="E242" s="22" t="s">
        <v>121</v>
      </c>
      <c r="F242" s="23" t="s">
        <v>111</v>
      </c>
      <c r="G242" s="23">
        <v>1.4</v>
      </c>
      <c r="H242" s="22" t="s">
        <v>45</v>
      </c>
      <c r="I242" s="22" t="s">
        <v>46</v>
      </c>
      <c r="J242" s="22" t="s">
        <v>45</v>
      </c>
      <c r="K242" s="22" t="s">
        <v>56</v>
      </c>
      <c r="L242" s="22" t="s">
        <v>48</v>
      </c>
      <c r="M242" s="22" t="s">
        <v>49</v>
      </c>
      <c r="N242" s="22" t="s">
        <v>49</v>
      </c>
      <c r="O242" s="22" t="s">
        <v>49</v>
      </c>
      <c r="P242" s="22" t="s">
        <v>49</v>
      </c>
      <c r="Q242" s="22" t="s">
        <v>1067</v>
      </c>
      <c r="R242" s="22" t="s">
        <v>1068</v>
      </c>
    </row>
    <row r="243" ht="45.0" customHeight="1">
      <c r="A243" s="20" t="s">
        <v>1069</v>
      </c>
      <c r="B243" s="21" t="str">
        <f>IMAGE("https://raw.githubusercontent.com/ltdimages/images/refs/heads/main/Food014.png")</f>
        <v/>
      </c>
      <c r="C243" s="22" t="s">
        <v>1070</v>
      </c>
      <c r="D243" s="22" t="s">
        <v>43</v>
      </c>
      <c r="E243" s="22" t="s">
        <v>121</v>
      </c>
      <c r="F243" s="23" t="s">
        <v>111</v>
      </c>
      <c r="G243" s="23">
        <v>12.8</v>
      </c>
      <c r="H243" s="22" t="s">
        <v>49</v>
      </c>
      <c r="I243" s="22" t="s">
        <v>46</v>
      </c>
      <c r="J243" s="22" t="s">
        <v>45</v>
      </c>
      <c r="K243" s="22" t="s">
        <v>56</v>
      </c>
      <c r="L243" s="22" t="s">
        <v>172</v>
      </c>
      <c r="M243" s="22" t="s">
        <v>49</v>
      </c>
      <c r="N243" s="22" t="s">
        <v>49</v>
      </c>
      <c r="O243" s="22" t="s">
        <v>49</v>
      </c>
      <c r="P243" s="22" t="s">
        <v>49</v>
      </c>
      <c r="Q243" s="22" t="s">
        <v>1071</v>
      </c>
      <c r="R243" s="22" t="s">
        <v>1072</v>
      </c>
    </row>
    <row r="244" ht="45.0" customHeight="1">
      <c r="A244" s="20" t="s">
        <v>1073</v>
      </c>
      <c r="B244" s="21" t="str">
        <f>IMAGE("https://raw.githubusercontent.com/ltdimages/images/refs/heads/main/Food349.png")</f>
        <v/>
      </c>
      <c r="C244" s="22" t="s">
        <v>1074</v>
      </c>
      <c r="D244" s="22" t="s">
        <v>43</v>
      </c>
      <c r="E244" s="22" t="s">
        <v>106</v>
      </c>
      <c r="F244" s="23" t="s">
        <v>131</v>
      </c>
      <c r="G244" s="23">
        <v>4.5</v>
      </c>
      <c r="H244" s="22" t="s">
        <v>49</v>
      </c>
      <c r="I244" s="22" t="s">
        <v>46</v>
      </c>
      <c r="J244" s="22" t="s">
        <v>45</v>
      </c>
      <c r="K244" s="22" t="s">
        <v>56</v>
      </c>
      <c r="L244" s="22" t="s">
        <v>48</v>
      </c>
      <c r="M244" s="22" t="s">
        <v>49</v>
      </c>
      <c r="N244" s="22" t="s">
        <v>45</v>
      </c>
      <c r="O244" s="22" t="s">
        <v>49</v>
      </c>
      <c r="P244" s="22" t="s">
        <v>45</v>
      </c>
      <c r="Q244" s="22" t="s">
        <v>1075</v>
      </c>
      <c r="R244" s="22" t="s">
        <v>1076</v>
      </c>
    </row>
    <row r="245" ht="45.0" customHeight="1">
      <c r="A245" s="20" t="s">
        <v>1077</v>
      </c>
      <c r="B245" s="21" t="str">
        <f>IMAGE("https://raw.githubusercontent.com/ltdimages/images/refs/heads/main/Food074.png")</f>
        <v/>
      </c>
      <c r="C245" s="22" t="s">
        <v>1078</v>
      </c>
      <c r="D245" s="22" t="s">
        <v>43</v>
      </c>
      <c r="E245" s="22" t="s">
        <v>62</v>
      </c>
      <c r="F245" s="23"/>
      <c r="G245" s="23">
        <v>2.0</v>
      </c>
      <c r="H245" s="22" t="s">
        <v>45</v>
      </c>
      <c r="I245" s="22" t="s">
        <v>46</v>
      </c>
      <c r="J245" s="22" t="s">
        <v>45</v>
      </c>
      <c r="K245" s="22" t="s">
        <v>47</v>
      </c>
      <c r="L245" s="22" t="s">
        <v>57</v>
      </c>
      <c r="M245" s="22" t="s">
        <v>49</v>
      </c>
      <c r="N245" s="22" t="s">
        <v>49</v>
      </c>
      <c r="O245" s="22" t="s">
        <v>49</v>
      </c>
      <c r="P245" s="22" t="s">
        <v>49</v>
      </c>
      <c r="Q245" s="22" t="s">
        <v>1079</v>
      </c>
      <c r="R245" s="22" t="s">
        <v>1080</v>
      </c>
    </row>
    <row r="246" ht="45.0" customHeight="1">
      <c r="A246" s="20" t="s">
        <v>1081</v>
      </c>
      <c r="B246" s="21" t="str">
        <f>IMAGE("https://raw.githubusercontent.com/ltdimages/images/refs/heads/main/Food119.png")</f>
        <v/>
      </c>
      <c r="C246" s="22" t="s">
        <v>1082</v>
      </c>
      <c r="D246" s="22" t="s">
        <v>43</v>
      </c>
      <c r="E246" s="22" t="s">
        <v>106</v>
      </c>
      <c r="F246" s="23"/>
      <c r="G246" s="23">
        <v>4.8</v>
      </c>
      <c r="H246" s="22" t="s">
        <v>49</v>
      </c>
      <c r="I246" s="22" t="s">
        <v>46</v>
      </c>
      <c r="J246" s="22" t="s">
        <v>45</v>
      </c>
      <c r="K246" s="22" t="s">
        <v>56</v>
      </c>
      <c r="L246" s="22" t="s">
        <v>57</v>
      </c>
      <c r="M246" s="22" t="s">
        <v>49</v>
      </c>
      <c r="N246" s="22" t="s">
        <v>49</v>
      </c>
      <c r="O246" s="22" t="s">
        <v>49</v>
      </c>
      <c r="P246" s="22" t="s">
        <v>49</v>
      </c>
      <c r="Q246" s="22" t="s">
        <v>1083</v>
      </c>
      <c r="R246" s="22" t="s">
        <v>1084</v>
      </c>
    </row>
    <row r="247" ht="45.0" customHeight="1">
      <c r="A247" s="20" t="s">
        <v>1085</v>
      </c>
      <c r="B247" s="21" t="str">
        <f>IMAGE("https://raw.githubusercontent.com/ltdimages/images/refs/heads/main/Food237.png")</f>
        <v/>
      </c>
      <c r="C247" s="22" t="s">
        <v>1086</v>
      </c>
      <c r="D247" s="22" t="s">
        <v>43</v>
      </c>
      <c r="E247" s="22" t="s">
        <v>62</v>
      </c>
      <c r="F247" s="23" t="s">
        <v>167</v>
      </c>
      <c r="G247" s="23">
        <v>13.0</v>
      </c>
      <c r="H247" s="22" t="s">
        <v>49</v>
      </c>
      <c r="I247" s="22" t="s">
        <v>46</v>
      </c>
      <c r="J247" s="22" t="s">
        <v>45</v>
      </c>
      <c r="K247" s="22" t="s">
        <v>86</v>
      </c>
      <c r="L247" s="22" t="s">
        <v>57</v>
      </c>
      <c r="M247" s="22" t="s">
        <v>49</v>
      </c>
      <c r="N247" s="22" t="s">
        <v>45</v>
      </c>
      <c r="O247" s="22" t="s">
        <v>49</v>
      </c>
      <c r="P247" s="22" t="s">
        <v>45</v>
      </c>
      <c r="Q247" s="22" t="s">
        <v>1087</v>
      </c>
      <c r="R247" s="22" t="s">
        <v>1088</v>
      </c>
    </row>
    <row r="248" ht="45.0" customHeight="1">
      <c r="A248" s="20" t="s">
        <v>1089</v>
      </c>
      <c r="B248" s="21" t="str">
        <f>IMAGE("https://raw.githubusercontent.com/ltdimages/images/refs/heads/main/Food080.png")</f>
        <v/>
      </c>
      <c r="C248" s="22" t="s">
        <v>1090</v>
      </c>
      <c r="D248" s="22" t="s">
        <v>43</v>
      </c>
      <c r="E248" s="22" t="s">
        <v>204</v>
      </c>
      <c r="F248" s="23"/>
      <c r="G248" s="23">
        <v>1.5</v>
      </c>
      <c r="H248" s="22" t="s">
        <v>49</v>
      </c>
      <c r="I248" s="22" t="s">
        <v>46</v>
      </c>
      <c r="J248" s="22" t="s">
        <v>45</v>
      </c>
      <c r="K248" s="22" t="s">
        <v>47</v>
      </c>
      <c r="L248" s="22" t="s">
        <v>57</v>
      </c>
      <c r="M248" s="22" t="s">
        <v>49</v>
      </c>
      <c r="N248" s="22" t="s">
        <v>49</v>
      </c>
      <c r="O248" s="22" t="s">
        <v>49</v>
      </c>
      <c r="P248" s="22" t="s">
        <v>49</v>
      </c>
      <c r="Q248" s="22" t="s">
        <v>1091</v>
      </c>
      <c r="R248" s="22" t="s">
        <v>1092</v>
      </c>
    </row>
    <row r="249" ht="45.0" customHeight="1">
      <c r="A249" s="20" t="s">
        <v>1093</v>
      </c>
      <c r="B249" s="21" t="str">
        <f>IMAGE("https://raw.githubusercontent.com/ltdimages/images/refs/heads/main/Food303.png")</f>
        <v/>
      </c>
      <c r="C249" s="22" t="s">
        <v>1094</v>
      </c>
      <c r="D249" s="22" t="s">
        <v>43</v>
      </c>
      <c r="E249" s="22" t="s">
        <v>121</v>
      </c>
      <c r="F249" s="23" t="s">
        <v>167</v>
      </c>
      <c r="G249" s="23">
        <v>8.2</v>
      </c>
      <c r="H249" s="22" t="s">
        <v>49</v>
      </c>
      <c r="I249" s="22" t="s">
        <v>46</v>
      </c>
      <c r="J249" s="22" t="s">
        <v>45</v>
      </c>
      <c r="K249" s="22" t="s">
        <v>56</v>
      </c>
      <c r="L249" s="22" t="s">
        <v>57</v>
      </c>
      <c r="M249" s="22" t="s">
        <v>49</v>
      </c>
      <c r="N249" s="22" t="s">
        <v>45</v>
      </c>
      <c r="O249" s="22" t="s">
        <v>49</v>
      </c>
      <c r="P249" s="22" t="s">
        <v>49</v>
      </c>
      <c r="Q249" s="22" t="s">
        <v>1095</v>
      </c>
      <c r="R249" s="22" t="s">
        <v>1096</v>
      </c>
    </row>
    <row r="250" ht="45.0" customHeight="1">
      <c r="A250" s="20" t="s">
        <v>1097</v>
      </c>
      <c r="B250" s="21" t="str">
        <f>IMAGE("https://raw.githubusercontent.com/ltdimages/images/refs/heads/main/Food226.png")</f>
        <v/>
      </c>
      <c r="C250" s="22" t="s">
        <v>1098</v>
      </c>
      <c r="D250" s="22" t="s">
        <v>43</v>
      </c>
      <c r="E250" s="22" t="s">
        <v>121</v>
      </c>
      <c r="F250" s="23"/>
      <c r="G250" s="23">
        <v>10.0</v>
      </c>
      <c r="H250" s="22" t="s">
        <v>45</v>
      </c>
      <c r="I250" s="22" t="s">
        <v>46</v>
      </c>
      <c r="J250" s="22" t="s">
        <v>45</v>
      </c>
      <c r="K250" s="22" t="s">
        <v>47</v>
      </c>
      <c r="L250" s="22" t="s">
        <v>48</v>
      </c>
      <c r="M250" s="22" t="s">
        <v>45</v>
      </c>
      <c r="N250" s="22" t="s">
        <v>49</v>
      </c>
      <c r="O250" s="22" t="s">
        <v>49</v>
      </c>
      <c r="P250" s="22" t="s">
        <v>49</v>
      </c>
      <c r="Q250" s="22" t="s">
        <v>1099</v>
      </c>
      <c r="R250" s="22" t="s">
        <v>1100</v>
      </c>
    </row>
    <row r="251" ht="45.0" customHeight="1">
      <c r="A251" s="20" t="s">
        <v>1101</v>
      </c>
      <c r="B251" s="21" t="str">
        <f>IMAGE("https://raw.githubusercontent.com/ltdimages/images/refs/heads/main/Food174.png")</f>
        <v/>
      </c>
      <c r="C251" s="22" t="s">
        <v>1102</v>
      </c>
      <c r="D251" s="22" t="s">
        <v>43</v>
      </c>
      <c r="E251" s="22" t="s">
        <v>126</v>
      </c>
      <c r="F251" s="23"/>
      <c r="G251" s="23">
        <v>3.0</v>
      </c>
      <c r="H251" s="22" t="s">
        <v>49</v>
      </c>
      <c r="I251" s="22" t="s">
        <v>46</v>
      </c>
      <c r="J251" s="22" t="s">
        <v>45</v>
      </c>
      <c r="K251" s="22" t="s">
        <v>56</v>
      </c>
      <c r="L251" s="22" t="s">
        <v>57</v>
      </c>
      <c r="M251" s="22" t="s">
        <v>45</v>
      </c>
      <c r="N251" s="22" t="s">
        <v>45</v>
      </c>
      <c r="O251" s="22" t="s">
        <v>45</v>
      </c>
      <c r="P251" s="22" t="s">
        <v>49</v>
      </c>
      <c r="Q251" s="22" t="s">
        <v>1103</v>
      </c>
      <c r="R251" s="22" t="s">
        <v>1104</v>
      </c>
    </row>
    <row r="252" ht="45.0" customHeight="1">
      <c r="A252" s="20" t="s">
        <v>1105</v>
      </c>
      <c r="B252" s="21" t="str">
        <f>IMAGE("https://raw.githubusercontent.com/ltdimages/images/refs/heads/main/Food425.png")</f>
        <v/>
      </c>
      <c r="C252" s="22" t="s">
        <v>1106</v>
      </c>
      <c r="D252" s="22" t="s">
        <v>43</v>
      </c>
      <c r="E252" s="22" t="s">
        <v>62</v>
      </c>
      <c r="F252" s="23" t="s">
        <v>111</v>
      </c>
      <c r="G252" s="23">
        <v>6.0</v>
      </c>
      <c r="H252" s="22" t="s">
        <v>49</v>
      </c>
      <c r="I252" s="22" t="s">
        <v>46</v>
      </c>
      <c r="J252" s="22" t="s">
        <v>45</v>
      </c>
      <c r="K252" s="22" t="s">
        <v>56</v>
      </c>
      <c r="L252" s="22" t="s">
        <v>57</v>
      </c>
      <c r="M252" s="22" t="s">
        <v>45</v>
      </c>
      <c r="N252" s="22" t="s">
        <v>49</v>
      </c>
      <c r="O252" s="22" t="s">
        <v>45</v>
      </c>
      <c r="P252" s="22" t="s">
        <v>45</v>
      </c>
      <c r="Q252" s="22" t="s">
        <v>1107</v>
      </c>
      <c r="R252" s="22" t="s">
        <v>1108</v>
      </c>
    </row>
    <row r="253" ht="45.0" customHeight="1">
      <c r="A253" s="20" t="s">
        <v>1109</v>
      </c>
      <c r="B253" s="21" t="str">
        <f>IMAGE("https://raw.githubusercontent.com/ltdimages/images/refs/heads/main/Food010.png")</f>
        <v/>
      </c>
      <c r="C253" s="22" t="s">
        <v>1110</v>
      </c>
      <c r="D253" s="22" t="s">
        <v>43</v>
      </c>
      <c r="E253" s="22" t="s">
        <v>126</v>
      </c>
      <c r="F253" s="23"/>
      <c r="G253" s="23">
        <v>7.0</v>
      </c>
      <c r="H253" s="22" t="s">
        <v>49</v>
      </c>
      <c r="I253" s="22" t="s">
        <v>46</v>
      </c>
      <c r="J253" s="22" t="s">
        <v>45</v>
      </c>
      <c r="K253" s="22" t="s">
        <v>86</v>
      </c>
      <c r="L253" s="22" t="s">
        <v>57</v>
      </c>
      <c r="M253" s="22" t="s">
        <v>49</v>
      </c>
      <c r="N253" s="22" t="s">
        <v>49</v>
      </c>
      <c r="O253" s="22" t="s">
        <v>49</v>
      </c>
      <c r="P253" s="22" t="s">
        <v>49</v>
      </c>
      <c r="Q253" s="22" t="s">
        <v>1111</v>
      </c>
      <c r="R253" s="22" t="s">
        <v>1112</v>
      </c>
    </row>
    <row r="254" ht="45.0" customHeight="1">
      <c r="A254" s="20" t="s">
        <v>1113</v>
      </c>
      <c r="B254" s="21" t="str">
        <f>IMAGE("https://raw.githubusercontent.com/ltdimages/images/refs/heads/main/Food063.png")</f>
        <v/>
      </c>
      <c r="C254" s="22" t="s">
        <v>1114</v>
      </c>
      <c r="D254" s="22" t="s">
        <v>43</v>
      </c>
      <c r="E254" s="22" t="s">
        <v>62</v>
      </c>
      <c r="F254" s="23"/>
      <c r="G254" s="23">
        <v>1.2</v>
      </c>
      <c r="H254" s="22" t="s">
        <v>45</v>
      </c>
      <c r="I254" s="22" t="s">
        <v>46</v>
      </c>
      <c r="J254" s="22" t="s">
        <v>45</v>
      </c>
      <c r="K254" s="22" t="s">
        <v>47</v>
      </c>
      <c r="L254" s="22" t="s">
        <v>57</v>
      </c>
      <c r="M254" s="22" t="s">
        <v>45</v>
      </c>
      <c r="N254" s="22" t="s">
        <v>49</v>
      </c>
      <c r="O254" s="22" t="s">
        <v>45</v>
      </c>
      <c r="P254" s="22" t="s">
        <v>49</v>
      </c>
      <c r="Q254" s="22" t="s">
        <v>1115</v>
      </c>
      <c r="R254" s="22" t="s">
        <v>1116</v>
      </c>
    </row>
    <row r="255" ht="45.0" customHeight="1">
      <c r="A255" s="20" t="s">
        <v>1117</v>
      </c>
      <c r="B255" s="21" t="str">
        <f>IMAGE("https://raw.githubusercontent.com/ltdimages/images/refs/heads/main/Food076.png")</f>
        <v/>
      </c>
      <c r="C255" s="22" t="s">
        <v>1118</v>
      </c>
      <c r="D255" s="22" t="s">
        <v>43</v>
      </c>
      <c r="E255" s="22" t="s">
        <v>121</v>
      </c>
      <c r="F255" s="23" t="s">
        <v>111</v>
      </c>
      <c r="G255" s="23">
        <v>38.0</v>
      </c>
      <c r="H255" s="22" t="s">
        <v>49</v>
      </c>
      <c r="I255" s="22" t="s">
        <v>46</v>
      </c>
      <c r="J255" s="22" t="s">
        <v>45</v>
      </c>
      <c r="K255" s="22" t="s">
        <v>56</v>
      </c>
      <c r="L255" s="22" t="s">
        <v>172</v>
      </c>
      <c r="M255" s="22" t="s">
        <v>45</v>
      </c>
      <c r="N255" s="22" t="s">
        <v>49</v>
      </c>
      <c r="O255" s="22" t="s">
        <v>45</v>
      </c>
      <c r="P255" s="22" t="s">
        <v>49</v>
      </c>
      <c r="Q255" s="22" t="s">
        <v>1119</v>
      </c>
      <c r="R255" s="22" t="s">
        <v>1120</v>
      </c>
    </row>
    <row r="256" ht="45.0" customHeight="1">
      <c r="A256" s="20" t="s">
        <v>1121</v>
      </c>
      <c r="B256" s="21" t="str">
        <f>IMAGE("https://raw.githubusercontent.com/ltdimages/images/refs/heads/main/Food241.png")</f>
        <v/>
      </c>
      <c r="C256" s="22" t="s">
        <v>1122</v>
      </c>
      <c r="D256" s="22" t="s">
        <v>43</v>
      </c>
      <c r="E256" s="22" t="s">
        <v>121</v>
      </c>
      <c r="F256" s="23" t="s">
        <v>111</v>
      </c>
      <c r="G256" s="23">
        <v>9.0</v>
      </c>
      <c r="H256" s="22" t="s">
        <v>49</v>
      </c>
      <c r="I256" s="22" t="s">
        <v>46</v>
      </c>
      <c r="J256" s="22" t="s">
        <v>45</v>
      </c>
      <c r="K256" s="22" t="s">
        <v>56</v>
      </c>
      <c r="L256" s="22" t="s">
        <v>172</v>
      </c>
      <c r="M256" s="22" t="s">
        <v>49</v>
      </c>
      <c r="N256" s="22" t="s">
        <v>49</v>
      </c>
      <c r="O256" s="22" t="s">
        <v>49</v>
      </c>
      <c r="P256" s="22" t="s">
        <v>49</v>
      </c>
      <c r="Q256" s="22" t="s">
        <v>1123</v>
      </c>
      <c r="R256" s="22" t="s">
        <v>1124</v>
      </c>
    </row>
    <row r="257" ht="45.0" customHeight="1">
      <c r="A257" s="20" t="s">
        <v>1125</v>
      </c>
      <c r="B257" s="21" t="str">
        <f>IMAGE("https://raw.githubusercontent.com/ltdimages/images/refs/heads/main/Food480.png")</f>
        <v/>
      </c>
      <c r="C257" s="22" t="s">
        <v>1126</v>
      </c>
      <c r="D257" s="22" t="s">
        <v>43</v>
      </c>
      <c r="E257" s="22" t="s">
        <v>62</v>
      </c>
      <c r="F257" s="23" t="s">
        <v>1127</v>
      </c>
      <c r="G257" s="23">
        <v>7.8</v>
      </c>
      <c r="H257" s="22" t="s">
        <v>45</v>
      </c>
      <c r="I257" s="22" t="s">
        <v>46</v>
      </c>
      <c r="J257" s="22" t="s">
        <v>45</v>
      </c>
      <c r="K257" s="22" t="s">
        <v>56</v>
      </c>
      <c r="L257" s="22" t="s">
        <v>48</v>
      </c>
      <c r="M257" s="22" t="s">
        <v>45</v>
      </c>
      <c r="N257" s="22" t="s">
        <v>49</v>
      </c>
      <c r="O257" s="22" t="s">
        <v>45</v>
      </c>
      <c r="P257" s="22" t="s">
        <v>45</v>
      </c>
      <c r="Q257" s="22" t="s">
        <v>1128</v>
      </c>
      <c r="R257" s="22" t="s">
        <v>1129</v>
      </c>
    </row>
    <row r="258" ht="45.0" customHeight="1">
      <c r="A258" s="20" t="s">
        <v>1130</v>
      </c>
      <c r="B258" s="21" t="str">
        <f>IMAGE("https://raw.githubusercontent.com/ltdimages/images/refs/heads/main/Food154.png")</f>
        <v/>
      </c>
      <c r="C258" s="22" t="s">
        <v>1131</v>
      </c>
      <c r="D258" s="22" t="s">
        <v>43</v>
      </c>
      <c r="E258" s="22"/>
      <c r="F258" s="23"/>
      <c r="G258" s="23">
        <v>20.0</v>
      </c>
      <c r="H258" s="22" t="s">
        <v>45</v>
      </c>
      <c r="I258" s="22" t="s">
        <v>46</v>
      </c>
      <c r="J258" s="22" t="s">
        <v>45</v>
      </c>
      <c r="K258" s="22" t="s">
        <v>56</v>
      </c>
      <c r="L258" s="22" t="s">
        <v>48</v>
      </c>
      <c r="M258" s="22" t="s">
        <v>49</v>
      </c>
      <c r="N258" s="22" t="s">
        <v>49</v>
      </c>
      <c r="O258" s="22" t="s">
        <v>49</v>
      </c>
      <c r="P258" s="22" t="s">
        <v>49</v>
      </c>
      <c r="Q258" s="22" t="s">
        <v>1132</v>
      </c>
      <c r="R258" s="22" t="s">
        <v>1133</v>
      </c>
    </row>
    <row r="259" ht="45.0" customHeight="1">
      <c r="A259" s="20" t="s">
        <v>1134</v>
      </c>
      <c r="B259" s="21" t="str">
        <f>IMAGE("https://raw.githubusercontent.com/ltdimages/images/refs/heads/main/Food111.png")</f>
        <v/>
      </c>
      <c r="C259" s="22" t="s">
        <v>1135</v>
      </c>
      <c r="D259" s="22" t="s">
        <v>43</v>
      </c>
      <c r="E259" s="22" t="s">
        <v>226</v>
      </c>
      <c r="F259" s="23"/>
      <c r="G259" s="23">
        <v>7.8</v>
      </c>
      <c r="H259" s="22" t="s">
        <v>45</v>
      </c>
      <c r="I259" s="22" t="s">
        <v>46</v>
      </c>
      <c r="J259" s="22" t="s">
        <v>45</v>
      </c>
      <c r="K259" s="22" t="s">
        <v>86</v>
      </c>
      <c r="L259" s="22" t="s">
        <v>57</v>
      </c>
      <c r="M259" s="22" t="s">
        <v>49</v>
      </c>
      <c r="N259" s="22" t="s">
        <v>49</v>
      </c>
      <c r="O259" s="22" t="s">
        <v>49</v>
      </c>
      <c r="P259" s="22" t="s">
        <v>49</v>
      </c>
      <c r="Q259" s="22" t="s">
        <v>1136</v>
      </c>
      <c r="R259" s="22" t="s">
        <v>1137</v>
      </c>
    </row>
    <row r="260" ht="45.0" customHeight="1">
      <c r="A260" s="26" t="s">
        <v>1138</v>
      </c>
      <c r="B260" s="21" t="str">
        <f>IMAGE("https://raw.githubusercontent.com/ltdimages/images/refs/heads/main/Food162.png")</f>
        <v/>
      </c>
      <c r="C260" s="22" t="s">
        <v>1139</v>
      </c>
      <c r="D260" s="22" t="s">
        <v>43</v>
      </c>
      <c r="E260" s="22" t="s">
        <v>177</v>
      </c>
      <c r="F260" s="23" t="s">
        <v>101</v>
      </c>
      <c r="G260" s="23">
        <v>7.8</v>
      </c>
      <c r="H260" s="22" t="s">
        <v>45</v>
      </c>
      <c r="I260" s="22" t="s">
        <v>46</v>
      </c>
      <c r="J260" s="22" t="s">
        <v>45</v>
      </c>
      <c r="K260" s="22" t="s">
        <v>86</v>
      </c>
      <c r="L260" s="22" t="s">
        <v>57</v>
      </c>
      <c r="M260" s="22" t="s">
        <v>49</v>
      </c>
      <c r="N260" s="22" t="s">
        <v>49</v>
      </c>
      <c r="O260" s="22" t="s">
        <v>49</v>
      </c>
      <c r="P260" s="22" t="s">
        <v>49</v>
      </c>
      <c r="Q260" s="22" t="s">
        <v>1140</v>
      </c>
      <c r="R260" s="22" t="s">
        <v>1141</v>
      </c>
    </row>
    <row r="261" ht="45.0" customHeight="1">
      <c r="A261" s="20" t="s">
        <v>1142</v>
      </c>
      <c r="B261" s="21" t="str">
        <f>IMAGE("https://raw.githubusercontent.com/ltdimages/images/refs/heads/main/Food115.png")</f>
        <v/>
      </c>
      <c r="C261" s="22" t="s">
        <v>1143</v>
      </c>
      <c r="D261" s="22" t="s">
        <v>43</v>
      </c>
      <c r="E261" s="22" t="s">
        <v>182</v>
      </c>
      <c r="F261" s="23" t="s">
        <v>456</v>
      </c>
      <c r="G261" s="23">
        <v>7.8</v>
      </c>
      <c r="H261" s="22" t="s">
        <v>49</v>
      </c>
      <c r="I261" s="22" t="s">
        <v>46</v>
      </c>
      <c r="J261" s="22" t="s">
        <v>45</v>
      </c>
      <c r="K261" s="22" t="s">
        <v>47</v>
      </c>
      <c r="L261" s="22" t="s">
        <v>48</v>
      </c>
      <c r="M261" s="22" t="s">
        <v>45</v>
      </c>
      <c r="N261" s="22" t="s">
        <v>49</v>
      </c>
      <c r="O261" s="22" t="s">
        <v>45</v>
      </c>
      <c r="P261" s="22" t="s">
        <v>49</v>
      </c>
      <c r="Q261" s="22" t="s">
        <v>1144</v>
      </c>
      <c r="R261" s="22" t="s">
        <v>1145</v>
      </c>
    </row>
    <row r="262" ht="45.0" customHeight="1">
      <c r="A262" s="20" t="s">
        <v>1146</v>
      </c>
      <c r="B262" s="21" t="str">
        <f>IMAGE("https://raw.githubusercontent.com/ltdimages/images/refs/heads/main/Food365.png")</f>
        <v/>
      </c>
      <c r="C262" s="22" t="s">
        <v>1147</v>
      </c>
      <c r="D262" s="22" t="s">
        <v>43</v>
      </c>
      <c r="E262" s="22" t="s">
        <v>106</v>
      </c>
      <c r="F262" s="23"/>
      <c r="G262" s="23">
        <v>2.0</v>
      </c>
      <c r="H262" s="22" t="s">
        <v>49</v>
      </c>
      <c r="I262" s="22" t="s">
        <v>46</v>
      </c>
      <c r="J262" s="22" t="s">
        <v>45</v>
      </c>
      <c r="K262" s="22" t="s">
        <v>47</v>
      </c>
      <c r="L262" s="22" t="s">
        <v>48</v>
      </c>
      <c r="M262" s="22" t="s">
        <v>49</v>
      </c>
      <c r="N262" s="22" t="s">
        <v>49</v>
      </c>
      <c r="O262" s="22" t="s">
        <v>49</v>
      </c>
      <c r="P262" s="22" t="s">
        <v>49</v>
      </c>
      <c r="Q262" s="22" t="s">
        <v>1148</v>
      </c>
      <c r="R262" s="22" t="s">
        <v>1149</v>
      </c>
    </row>
    <row r="263" ht="45.0" customHeight="1">
      <c r="A263" s="20" t="s">
        <v>1150</v>
      </c>
      <c r="B263" s="21" t="str">
        <f>IMAGE("https://raw.githubusercontent.com/ltdimages/images/refs/heads/main/Food270.png")</f>
        <v/>
      </c>
      <c r="C263" s="22" t="s">
        <v>1151</v>
      </c>
      <c r="D263" s="22" t="s">
        <v>43</v>
      </c>
      <c r="E263" s="22" t="s">
        <v>106</v>
      </c>
      <c r="F263" s="23"/>
      <c r="G263" s="23">
        <v>4.7</v>
      </c>
      <c r="H263" s="22" t="s">
        <v>49</v>
      </c>
      <c r="I263" s="22" t="s">
        <v>46</v>
      </c>
      <c r="J263" s="22" t="s">
        <v>45</v>
      </c>
      <c r="K263" s="22" t="s">
        <v>47</v>
      </c>
      <c r="L263" s="22" t="s">
        <v>57</v>
      </c>
      <c r="M263" s="22" t="s">
        <v>49</v>
      </c>
      <c r="N263" s="22" t="s">
        <v>45</v>
      </c>
      <c r="O263" s="22" t="s">
        <v>49</v>
      </c>
      <c r="P263" s="22" t="s">
        <v>45</v>
      </c>
      <c r="Q263" s="22" t="s">
        <v>1152</v>
      </c>
      <c r="R263" s="22" t="s">
        <v>1153</v>
      </c>
    </row>
    <row r="264" ht="45.0" customHeight="1">
      <c r="A264" s="20" t="s">
        <v>1154</v>
      </c>
      <c r="B264" s="21" t="str">
        <f>IMAGE("https://raw.githubusercontent.com/ltdimages/images/refs/heads/main/Food163.png")</f>
        <v/>
      </c>
      <c r="C264" s="22" t="s">
        <v>1155</v>
      </c>
      <c r="D264" s="22" t="s">
        <v>43</v>
      </c>
      <c r="E264" s="22" t="s">
        <v>177</v>
      </c>
      <c r="F264" s="23" t="s">
        <v>111</v>
      </c>
      <c r="G264" s="23">
        <v>7.8</v>
      </c>
      <c r="H264" s="22" t="s">
        <v>45</v>
      </c>
      <c r="I264" s="22" t="s">
        <v>46</v>
      </c>
      <c r="J264" s="22" t="s">
        <v>45</v>
      </c>
      <c r="K264" s="22" t="s">
        <v>86</v>
      </c>
      <c r="L264" s="22" t="s">
        <v>57</v>
      </c>
      <c r="M264" s="22" t="s">
        <v>45</v>
      </c>
      <c r="N264" s="22" t="s">
        <v>49</v>
      </c>
      <c r="O264" s="22" t="s">
        <v>49</v>
      </c>
      <c r="P264" s="22" t="s">
        <v>49</v>
      </c>
      <c r="Q264" s="22" t="s">
        <v>1156</v>
      </c>
      <c r="R264" s="22" t="s">
        <v>1157</v>
      </c>
    </row>
    <row r="265" ht="45.0" customHeight="1">
      <c r="A265" s="20" t="s">
        <v>1158</v>
      </c>
      <c r="B265" s="21" t="str">
        <f>IMAGE("https://raw.githubusercontent.com/ltdimages/images/refs/heads/main/Food071.png")</f>
        <v/>
      </c>
      <c r="C265" s="22" t="s">
        <v>1159</v>
      </c>
      <c r="D265" s="22" t="s">
        <v>43</v>
      </c>
      <c r="E265" s="22" t="s">
        <v>62</v>
      </c>
      <c r="F265" s="23" t="s">
        <v>167</v>
      </c>
      <c r="G265" s="23">
        <v>19.8</v>
      </c>
      <c r="H265" s="22" t="s">
        <v>49</v>
      </c>
      <c r="I265" s="22" t="s">
        <v>46</v>
      </c>
      <c r="J265" s="22" t="s">
        <v>45</v>
      </c>
      <c r="K265" s="22" t="s">
        <v>86</v>
      </c>
      <c r="L265" s="22" t="s">
        <v>57</v>
      </c>
      <c r="M265" s="22" t="s">
        <v>49</v>
      </c>
      <c r="N265" s="22" t="s">
        <v>49</v>
      </c>
      <c r="O265" s="22" t="s">
        <v>49</v>
      </c>
      <c r="P265" s="22" t="s">
        <v>49</v>
      </c>
      <c r="Q265" s="22" t="s">
        <v>1160</v>
      </c>
      <c r="R265" s="22" t="s">
        <v>1161</v>
      </c>
    </row>
    <row r="266" ht="45.0" customHeight="1">
      <c r="A266" s="20" t="s">
        <v>1162</v>
      </c>
      <c r="B266" s="21" t="str">
        <f>IMAGE("https://raw.githubusercontent.com/ltdimages/images/refs/heads/main/Food196.png")</f>
        <v/>
      </c>
      <c r="C266" s="22" t="s">
        <v>1163</v>
      </c>
      <c r="D266" s="22" t="s">
        <v>43</v>
      </c>
      <c r="E266" s="22" t="s">
        <v>62</v>
      </c>
      <c r="F266" s="23" t="s">
        <v>167</v>
      </c>
      <c r="G266" s="23">
        <v>8.8</v>
      </c>
      <c r="H266" s="22" t="s">
        <v>49</v>
      </c>
      <c r="I266" s="22" t="s">
        <v>46</v>
      </c>
      <c r="J266" s="22" t="s">
        <v>45</v>
      </c>
      <c r="K266" s="22" t="s">
        <v>86</v>
      </c>
      <c r="L266" s="22" t="s">
        <v>57</v>
      </c>
      <c r="M266" s="22" t="s">
        <v>49</v>
      </c>
      <c r="N266" s="22" t="s">
        <v>49</v>
      </c>
      <c r="O266" s="22" t="s">
        <v>49</v>
      </c>
      <c r="P266" s="22" t="s">
        <v>49</v>
      </c>
      <c r="Q266" s="22" t="s">
        <v>1164</v>
      </c>
      <c r="R266" s="22" t="s">
        <v>1165</v>
      </c>
    </row>
    <row r="267" ht="45.0" customHeight="1">
      <c r="A267" s="20" t="s">
        <v>1166</v>
      </c>
      <c r="B267" s="21" t="str">
        <f>IMAGE("https://raw.githubusercontent.com/ltdimages/images/refs/heads/main/Food477.png")</f>
        <v/>
      </c>
      <c r="C267" s="22" t="s">
        <v>1167</v>
      </c>
      <c r="D267" s="22" t="s">
        <v>43</v>
      </c>
      <c r="E267" s="22" t="s">
        <v>1168</v>
      </c>
      <c r="F267" s="23"/>
      <c r="G267" s="23">
        <v>8.9</v>
      </c>
      <c r="H267" s="22" t="s">
        <v>49</v>
      </c>
      <c r="I267" s="22" t="s">
        <v>46</v>
      </c>
      <c r="J267" s="22" t="s">
        <v>45</v>
      </c>
      <c r="K267" s="22" t="s">
        <v>56</v>
      </c>
      <c r="L267" s="22" t="s">
        <v>57</v>
      </c>
      <c r="M267" s="22" t="s">
        <v>45</v>
      </c>
      <c r="N267" s="22" t="s">
        <v>49</v>
      </c>
      <c r="O267" s="22" t="s">
        <v>49</v>
      </c>
      <c r="P267" s="22" t="s">
        <v>49</v>
      </c>
      <c r="Q267" s="22" t="s">
        <v>1169</v>
      </c>
      <c r="R267" s="22" t="s">
        <v>1170</v>
      </c>
    </row>
    <row r="268" ht="45.0" customHeight="1">
      <c r="A268" s="20" t="s">
        <v>1171</v>
      </c>
      <c r="B268" s="21" t="str">
        <f>IMAGE("https://raw.githubusercontent.com/ltdimages/images/refs/heads/main/Food053.png")</f>
        <v/>
      </c>
      <c r="C268" s="22" t="s">
        <v>1172</v>
      </c>
      <c r="D268" s="22" t="s">
        <v>43</v>
      </c>
      <c r="E268" s="22" t="s">
        <v>126</v>
      </c>
      <c r="F268" s="23" t="s">
        <v>167</v>
      </c>
      <c r="G268" s="23">
        <v>5.0</v>
      </c>
      <c r="H268" s="22" t="s">
        <v>45</v>
      </c>
      <c r="I268" s="22" t="s">
        <v>46</v>
      </c>
      <c r="J268" s="22" t="s">
        <v>45</v>
      </c>
      <c r="K268" s="22" t="s">
        <v>86</v>
      </c>
      <c r="L268" s="22" t="s">
        <v>57</v>
      </c>
      <c r="M268" s="22" t="s">
        <v>45</v>
      </c>
      <c r="N268" s="22" t="s">
        <v>49</v>
      </c>
      <c r="O268" s="22" t="s">
        <v>45</v>
      </c>
      <c r="P268" s="22" t="s">
        <v>49</v>
      </c>
      <c r="Q268" s="22" t="s">
        <v>1173</v>
      </c>
      <c r="R268" s="22" t="s">
        <v>1174</v>
      </c>
    </row>
    <row r="269" ht="45.0" customHeight="1">
      <c r="A269" s="20" t="s">
        <v>1175</v>
      </c>
      <c r="B269" s="21" t="str">
        <f>IMAGE("https://raw.githubusercontent.com/ltdimages/images/refs/heads/main/Food296.png")</f>
        <v/>
      </c>
      <c r="C269" s="22" t="s">
        <v>1176</v>
      </c>
      <c r="D269" s="22" t="s">
        <v>43</v>
      </c>
      <c r="E269" s="22"/>
      <c r="F269" s="23"/>
      <c r="G269" s="23">
        <v>4.0</v>
      </c>
      <c r="H269" s="22" t="s">
        <v>45</v>
      </c>
      <c r="I269" s="22" t="s">
        <v>46</v>
      </c>
      <c r="J269" s="22" t="s">
        <v>45</v>
      </c>
      <c r="K269" s="22" t="s">
        <v>47</v>
      </c>
      <c r="L269" s="22" t="s">
        <v>48</v>
      </c>
      <c r="M269" s="22" t="s">
        <v>49</v>
      </c>
      <c r="N269" s="22" t="s">
        <v>45</v>
      </c>
      <c r="O269" s="22" t="s">
        <v>49</v>
      </c>
      <c r="P269" s="22" t="s">
        <v>45</v>
      </c>
      <c r="Q269" s="22" t="s">
        <v>1177</v>
      </c>
      <c r="R269" s="22" t="s">
        <v>1178</v>
      </c>
    </row>
    <row r="270" ht="45.0" customHeight="1">
      <c r="A270" s="20" t="s">
        <v>1179</v>
      </c>
      <c r="B270" s="21" t="str">
        <f>IMAGE("https://raw.githubusercontent.com/ltdimages/images/refs/heads/main/Food180.png")</f>
        <v/>
      </c>
      <c r="C270" s="22" t="s">
        <v>1180</v>
      </c>
      <c r="D270" s="22" t="s">
        <v>43</v>
      </c>
      <c r="E270" s="22" t="s">
        <v>85</v>
      </c>
      <c r="F270" s="23"/>
      <c r="G270" s="23">
        <v>7.0</v>
      </c>
      <c r="H270" s="22" t="s">
        <v>49</v>
      </c>
      <c r="I270" s="22" t="s">
        <v>46</v>
      </c>
      <c r="J270" s="22" t="s">
        <v>45</v>
      </c>
      <c r="K270" s="22" t="s">
        <v>56</v>
      </c>
      <c r="L270" s="22" t="s">
        <v>57</v>
      </c>
      <c r="M270" s="22" t="s">
        <v>45</v>
      </c>
      <c r="N270" s="22" t="s">
        <v>49</v>
      </c>
      <c r="O270" s="22" t="s">
        <v>49</v>
      </c>
      <c r="P270" s="22" t="s">
        <v>49</v>
      </c>
      <c r="Q270" s="22" t="s">
        <v>1181</v>
      </c>
      <c r="R270" s="22" t="s">
        <v>1182</v>
      </c>
    </row>
    <row r="271" ht="45.0" customHeight="1">
      <c r="A271" s="26" t="s">
        <v>1183</v>
      </c>
      <c r="B271" s="21" t="str">
        <f>IMAGE("https://raw.githubusercontent.com/ltdimages/images/refs/heads/main/Food440.png")</f>
        <v/>
      </c>
      <c r="C271" s="24" t="s">
        <v>1184</v>
      </c>
      <c r="D271" s="24" t="s">
        <v>43</v>
      </c>
      <c r="E271" s="24" t="s">
        <v>85</v>
      </c>
      <c r="F271" s="25"/>
      <c r="G271" s="25">
        <v>13.0</v>
      </c>
      <c r="H271" s="24" t="s">
        <v>49</v>
      </c>
      <c r="I271" s="24" t="s">
        <v>46</v>
      </c>
      <c r="J271" s="24" t="s">
        <v>45</v>
      </c>
      <c r="K271" s="24" t="s">
        <v>56</v>
      </c>
      <c r="L271" s="24" t="s">
        <v>57</v>
      </c>
      <c r="M271" s="24" t="s">
        <v>49</v>
      </c>
      <c r="N271" s="24" t="s">
        <v>49</v>
      </c>
      <c r="O271" s="24" t="s">
        <v>49</v>
      </c>
      <c r="P271" s="24" t="s">
        <v>45</v>
      </c>
      <c r="Q271" s="24" t="s">
        <v>1185</v>
      </c>
      <c r="R271" s="24" t="s">
        <v>1186</v>
      </c>
    </row>
    <row r="272" ht="45.0" customHeight="1">
      <c r="A272" s="20" t="s">
        <v>1187</v>
      </c>
      <c r="B272" s="21" t="str">
        <f>IMAGE("https://raw.githubusercontent.com/ltdimages/images/refs/heads/main/Food292.png")</f>
        <v/>
      </c>
      <c r="C272" s="22" t="s">
        <v>1188</v>
      </c>
      <c r="D272" s="22" t="s">
        <v>43</v>
      </c>
      <c r="E272" s="22"/>
      <c r="F272" s="23"/>
      <c r="G272" s="23">
        <v>6.7</v>
      </c>
      <c r="H272" s="22" t="s">
        <v>49</v>
      </c>
      <c r="I272" s="22" t="s">
        <v>46</v>
      </c>
      <c r="J272" s="22" t="s">
        <v>45</v>
      </c>
      <c r="K272" s="22" t="s">
        <v>56</v>
      </c>
      <c r="L272" s="22" t="s">
        <v>57</v>
      </c>
      <c r="M272" s="22" t="s">
        <v>1017</v>
      </c>
      <c r="N272" s="22" t="s">
        <v>45</v>
      </c>
      <c r="O272" s="22" t="s">
        <v>49</v>
      </c>
      <c r="P272" s="22" t="s">
        <v>45</v>
      </c>
      <c r="Q272" s="22" t="s">
        <v>1189</v>
      </c>
      <c r="R272" s="22" t="s">
        <v>1190</v>
      </c>
    </row>
    <row r="273" ht="45.0" customHeight="1">
      <c r="A273" s="20" t="s">
        <v>1191</v>
      </c>
      <c r="B273" s="21" t="str">
        <f>IMAGE("https://raw.githubusercontent.com/ltdimages/images/refs/heads/main/Food069.png")</f>
        <v/>
      </c>
      <c r="C273" s="22" t="s">
        <v>1192</v>
      </c>
      <c r="D273" s="22" t="s">
        <v>43</v>
      </c>
      <c r="E273" s="22" t="s">
        <v>62</v>
      </c>
      <c r="F273" s="23" t="s">
        <v>407</v>
      </c>
      <c r="G273" s="23">
        <v>17.8</v>
      </c>
      <c r="H273" s="22" t="s">
        <v>49</v>
      </c>
      <c r="I273" s="22" t="s">
        <v>46</v>
      </c>
      <c r="J273" s="22" t="s">
        <v>45</v>
      </c>
      <c r="K273" s="22" t="s">
        <v>86</v>
      </c>
      <c r="L273" s="22" t="s">
        <v>57</v>
      </c>
      <c r="M273" s="22" t="s">
        <v>45</v>
      </c>
      <c r="N273" s="22" t="s">
        <v>49</v>
      </c>
      <c r="O273" s="22" t="s">
        <v>45</v>
      </c>
      <c r="P273" s="22" t="s">
        <v>49</v>
      </c>
      <c r="Q273" s="22" t="s">
        <v>1193</v>
      </c>
      <c r="R273" s="22" t="s">
        <v>1194</v>
      </c>
    </row>
    <row r="274" ht="45.0" customHeight="1">
      <c r="A274" s="20" t="s">
        <v>1195</v>
      </c>
      <c r="B274" s="21" t="str">
        <f>IMAGE("https://raw.githubusercontent.com/ltdimages/images/refs/heads/main/Food426.png")</f>
        <v/>
      </c>
      <c r="C274" s="22" t="s">
        <v>1196</v>
      </c>
      <c r="D274" s="22" t="s">
        <v>43</v>
      </c>
      <c r="E274" s="22" t="s">
        <v>204</v>
      </c>
      <c r="F274" s="23" t="s">
        <v>456</v>
      </c>
      <c r="G274" s="23">
        <v>6.0</v>
      </c>
      <c r="H274" s="22" t="s">
        <v>49</v>
      </c>
      <c r="I274" s="22" t="s">
        <v>46</v>
      </c>
      <c r="J274" s="22" t="s">
        <v>45</v>
      </c>
      <c r="K274" s="22" t="s">
        <v>56</v>
      </c>
      <c r="L274" s="22" t="s">
        <v>57</v>
      </c>
      <c r="M274" s="22" t="s">
        <v>45</v>
      </c>
      <c r="N274" s="22" t="s">
        <v>49</v>
      </c>
      <c r="O274" s="22" t="s">
        <v>45</v>
      </c>
      <c r="P274" s="22" t="s">
        <v>49</v>
      </c>
      <c r="Q274" s="22" t="s">
        <v>1197</v>
      </c>
      <c r="R274" s="22" t="s">
        <v>1198</v>
      </c>
    </row>
    <row r="275" ht="45.0" customHeight="1">
      <c r="A275" s="20" t="s">
        <v>1199</v>
      </c>
      <c r="B275" s="21" t="str">
        <f>IMAGE("https://raw.githubusercontent.com/ltdimages/images/refs/heads/main/Food070.png")</f>
        <v/>
      </c>
      <c r="C275" s="22" t="s">
        <v>1200</v>
      </c>
      <c r="D275" s="22" t="s">
        <v>43</v>
      </c>
      <c r="E275" s="22" t="s">
        <v>1201</v>
      </c>
      <c r="F275" s="23" t="s">
        <v>111</v>
      </c>
      <c r="G275" s="23">
        <v>15.8</v>
      </c>
      <c r="H275" s="22" t="s">
        <v>49</v>
      </c>
      <c r="I275" s="22" t="s">
        <v>46</v>
      </c>
      <c r="J275" s="22" t="s">
        <v>45</v>
      </c>
      <c r="K275" s="22" t="s">
        <v>86</v>
      </c>
      <c r="L275" s="22" t="s">
        <v>172</v>
      </c>
      <c r="M275" s="22" t="s">
        <v>49</v>
      </c>
      <c r="N275" s="22" t="s">
        <v>49</v>
      </c>
      <c r="O275" s="22" t="s">
        <v>49</v>
      </c>
      <c r="P275" s="22" t="s">
        <v>49</v>
      </c>
      <c r="Q275" s="22" t="s">
        <v>1202</v>
      </c>
      <c r="R275" s="22" t="s">
        <v>1203</v>
      </c>
    </row>
    <row r="276" ht="45.0" customHeight="1">
      <c r="A276" s="20" t="s">
        <v>1204</v>
      </c>
      <c r="B276" s="21" t="str">
        <f>IMAGE("https://raw.githubusercontent.com/ltdimages/images/refs/heads/main/Food397.png")</f>
        <v/>
      </c>
      <c r="C276" s="22" t="s">
        <v>1205</v>
      </c>
      <c r="D276" s="22" t="s">
        <v>43</v>
      </c>
      <c r="E276" s="22" t="s">
        <v>62</v>
      </c>
      <c r="F276" s="23" t="s">
        <v>167</v>
      </c>
      <c r="G276" s="23">
        <v>15.0</v>
      </c>
      <c r="H276" s="22" t="s">
        <v>49</v>
      </c>
      <c r="I276" s="22" t="s">
        <v>46</v>
      </c>
      <c r="J276" s="22" t="s">
        <v>45</v>
      </c>
      <c r="K276" s="22" t="s">
        <v>86</v>
      </c>
      <c r="L276" s="22" t="s">
        <v>57</v>
      </c>
      <c r="M276" s="22" t="s">
        <v>45</v>
      </c>
      <c r="N276" s="22" t="s">
        <v>49</v>
      </c>
      <c r="O276" s="22" t="s">
        <v>45</v>
      </c>
      <c r="P276" s="22" t="s">
        <v>45</v>
      </c>
      <c r="Q276" s="22" t="s">
        <v>1206</v>
      </c>
      <c r="R276" s="22" t="s">
        <v>1207</v>
      </c>
    </row>
    <row r="277" ht="45.0" customHeight="1">
      <c r="A277" s="20" t="s">
        <v>1208</v>
      </c>
      <c r="B277" s="21" t="str">
        <f>IMAGE("https://raw.githubusercontent.com/ltdimages/images/refs/heads/main/Food072.png")</f>
        <v/>
      </c>
      <c r="C277" s="22" t="s">
        <v>1209</v>
      </c>
      <c r="D277" s="22" t="s">
        <v>43</v>
      </c>
      <c r="E277" s="22" t="s">
        <v>62</v>
      </c>
      <c r="F277" s="23" t="s">
        <v>1210</v>
      </c>
      <c r="G277" s="23">
        <v>7.8</v>
      </c>
      <c r="H277" s="22" t="s">
        <v>49</v>
      </c>
      <c r="I277" s="22" t="s">
        <v>46</v>
      </c>
      <c r="J277" s="22" t="s">
        <v>45</v>
      </c>
      <c r="K277" s="22" t="s">
        <v>86</v>
      </c>
      <c r="L277" s="22" t="s">
        <v>57</v>
      </c>
      <c r="M277" s="22" t="s">
        <v>49</v>
      </c>
      <c r="N277" s="22" t="s">
        <v>49</v>
      </c>
      <c r="O277" s="22" t="s">
        <v>49</v>
      </c>
      <c r="P277" s="22" t="s">
        <v>49</v>
      </c>
      <c r="Q277" s="22" t="s">
        <v>1211</v>
      </c>
      <c r="R277" s="22" t="s">
        <v>1212</v>
      </c>
    </row>
    <row r="278" ht="45.0" customHeight="1">
      <c r="A278" s="20" t="s">
        <v>1213</v>
      </c>
      <c r="B278" s="21" t="str">
        <f>IMAGE("https://raw.githubusercontent.com/ltdimages/images/refs/heads/main/Food078.png")</f>
        <v/>
      </c>
      <c r="C278" s="22" t="s">
        <v>1214</v>
      </c>
      <c r="D278" s="22" t="s">
        <v>43</v>
      </c>
      <c r="E278" s="22" t="s">
        <v>62</v>
      </c>
      <c r="F278" s="23" t="s">
        <v>101</v>
      </c>
      <c r="G278" s="23">
        <v>4.8</v>
      </c>
      <c r="H278" s="22" t="s">
        <v>49</v>
      </c>
      <c r="I278" s="22" t="s">
        <v>46</v>
      </c>
      <c r="J278" s="22" t="s">
        <v>45</v>
      </c>
      <c r="K278" s="22" t="s">
        <v>86</v>
      </c>
      <c r="L278" s="22" t="s">
        <v>48</v>
      </c>
      <c r="M278" s="22" t="s">
        <v>49</v>
      </c>
      <c r="N278" s="22" t="s">
        <v>49</v>
      </c>
      <c r="O278" s="22" t="s">
        <v>49</v>
      </c>
      <c r="P278" s="22" t="s">
        <v>49</v>
      </c>
      <c r="Q278" s="22" t="s">
        <v>1215</v>
      </c>
      <c r="R278" s="22" t="s">
        <v>1216</v>
      </c>
    </row>
    <row r="279" ht="45.0" customHeight="1">
      <c r="A279" s="20" t="s">
        <v>1217</v>
      </c>
      <c r="B279" s="21" t="str">
        <f>IMAGE("https://raw.githubusercontent.com/ltdimages/images/refs/heads/main/Food079.png")</f>
        <v/>
      </c>
      <c r="C279" s="22" t="s">
        <v>1218</v>
      </c>
      <c r="D279" s="22" t="s">
        <v>43</v>
      </c>
      <c r="E279" s="22" t="s">
        <v>121</v>
      </c>
      <c r="F279" s="23"/>
      <c r="G279" s="23">
        <v>3.0</v>
      </c>
      <c r="H279" s="22" t="s">
        <v>49</v>
      </c>
      <c r="I279" s="22" t="s">
        <v>46</v>
      </c>
      <c r="J279" s="22" t="s">
        <v>45</v>
      </c>
      <c r="K279" s="22" t="s">
        <v>56</v>
      </c>
      <c r="L279" s="22" t="s">
        <v>57</v>
      </c>
      <c r="M279" s="22" t="s">
        <v>45</v>
      </c>
      <c r="N279" s="22" t="s">
        <v>49</v>
      </c>
      <c r="O279" s="22" t="s">
        <v>49</v>
      </c>
      <c r="P279" s="22" t="s">
        <v>49</v>
      </c>
      <c r="Q279" s="22" t="s">
        <v>1219</v>
      </c>
      <c r="R279" s="22" t="s">
        <v>1220</v>
      </c>
    </row>
    <row r="280" ht="45.0" customHeight="1">
      <c r="A280" s="20" t="s">
        <v>1221</v>
      </c>
      <c r="B280" s="21" t="str">
        <f>IMAGE("https://raw.githubusercontent.com/ltdimages/images/refs/heads/main/Food442.png")</f>
        <v/>
      </c>
      <c r="C280" s="22" t="s">
        <v>1222</v>
      </c>
      <c r="D280" s="22" t="s">
        <v>43</v>
      </c>
      <c r="E280" s="22"/>
      <c r="F280" s="23"/>
      <c r="G280" s="23">
        <v>5.0</v>
      </c>
      <c r="H280" s="22" t="s">
        <v>49</v>
      </c>
      <c r="I280" s="22" t="s">
        <v>46</v>
      </c>
      <c r="J280" s="22" t="s">
        <v>45</v>
      </c>
      <c r="K280" s="22" t="s">
        <v>56</v>
      </c>
      <c r="L280" s="22" t="s">
        <v>48</v>
      </c>
      <c r="M280" s="22" t="s">
        <v>49</v>
      </c>
      <c r="N280" s="22" t="s">
        <v>45</v>
      </c>
      <c r="O280" s="22" t="s">
        <v>45</v>
      </c>
      <c r="P280" s="22" t="s">
        <v>45</v>
      </c>
      <c r="Q280" s="22" t="s">
        <v>1223</v>
      </c>
      <c r="R280" s="22" t="s">
        <v>1224</v>
      </c>
    </row>
    <row r="281" ht="45.0" customHeight="1">
      <c r="A281" s="20" t="s">
        <v>1225</v>
      </c>
      <c r="B281" s="21" t="str">
        <f>IMAGE("https://raw.githubusercontent.com/ltdimages/images/refs/heads/main/Food086.png")</f>
        <v/>
      </c>
      <c r="C281" s="22" t="s">
        <v>1226</v>
      </c>
      <c r="D281" s="22" t="s">
        <v>43</v>
      </c>
      <c r="E281" s="22"/>
      <c r="F281" s="23" t="s">
        <v>167</v>
      </c>
      <c r="G281" s="23">
        <v>8.8</v>
      </c>
      <c r="H281" s="22" t="s">
        <v>49</v>
      </c>
      <c r="I281" s="22" t="s">
        <v>46</v>
      </c>
      <c r="J281" s="22" t="s">
        <v>45</v>
      </c>
      <c r="K281" s="22" t="s">
        <v>86</v>
      </c>
      <c r="L281" s="22" t="s">
        <v>57</v>
      </c>
      <c r="M281" s="22" t="s">
        <v>49</v>
      </c>
      <c r="N281" s="22" t="s">
        <v>49</v>
      </c>
      <c r="O281" s="22" t="s">
        <v>49</v>
      </c>
      <c r="P281" s="22" t="s">
        <v>49</v>
      </c>
      <c r="Q281" s="22" t="s">
        <v>1227</v>
      </c>
      <c r="R281" s="22" t="s">
        <v>1228</v>
      </c>
    </row>
    <row r="282" ht="45.0" customHeight="1">
      <c r="A282" s="20" t="s">
        <v>1229</v>
      </c>
      <c r="B282" s="21" t="str">
        <f>IMAGE("https://raw.githubusercontent.com/ltdimages/images/refs/heads/main/Food218.png")</f>
        <v/>
      </c>
      <c r="C282" s="22" t="s">
        <v>1230</v>
      </c>
      <c r="D282" s="22" t="s">
        <v>43</v>
      </c>
      <c r="E282" s="22" t="s">
        <v>126</v>
      </c>
      <c r="F282" s="23" t="s">
        <v>167</v>
      </c>
      <c r="G282" s="23">
        <v>8.5</v>
      </c>
      <c r="H282" s="22" t="s">
        <v>49</v>
      </c>
      <c r="I282" s="22" t="s">
        <v>46</v>
      </c>
      <c r="J282" s="22" t="s">
        <v>45</v>
      </c>
      <c r="K282" s="22" t="s">
        <v>86</v>
      </c>
      <c r="L282" s="22" t="s">
        <v>57</v>
      </c>
      <c r="M282" s="22" t="s">
        <v>49</v>
      </c>
      <c r="N282" s="22" t="s">
        <v>49</v>
      </c>
      <c r="O282" s="22" t="s">
        <v>45</v>
      </c>
      <c r="P282" s="22" t="s">
        <v>49</v>
      </c>
      <c r="Q282" s="22" t="s">
        <v>1231</v>
      </c>
      <c r="R282" s="22" t="s">
        <v>1232</v>
      </c>
    </row>
    <row r="283" ht="45.0" customHeight="1">
      <c r="A283" s="20" t="s">
        <v>1233</v>
      </c>
      <c r="B283" s="21" t="str">
        <f>IMAGE("https://raw.githubusercontent.com/ltdimages/images/refs/heads/main/Food088.png")</f>
        <v/>
      </c>
      <c r="C283" s="22" t="s">
        <v>1234</v>
      </c>
      <c r="D283" s="22" t="s">
        <v>43</v>
      </c>
      <c r="E283" s="22"/>
      <c r="F283" s="23"/>
      <c r="G283" s="23">
        <v>1.5</v>
      </c>
      <c r="H283" s="22" t="s">
        <v>49</v>
      </c>
      <c r="I283" s="22" t="s">
        <v>46</v>
      </c>
      <c r="J283" s="22" t="s">
        <v>45</v>
      </c>
      <c r="K283" s="22" t="s">
        <v>47</v>
      </c>
      <c r="L283" s="22" t="s">
        <v>172</v>
      </c>
      <c r="M283" s="22" t="s">
        <v>49</v>
      </c>
      <c r="N283" s="22" t="s">
        <v>49</v>
      </c>
      <c r="O283" s="22" t="s">
        <v>49</v>
      </c>
      <c r="P283" s="22" t="s">
        <v>49</v>
      </c>
      <c r="Q283" s="22" t="s">
        <v>1235</v>
      </c>
      <c r="R283" s="22" t="s">
        <v>1236</v>
      </c>
    </row>
    <row r="284" ht="45.0" customHeight="1">
      <c r="A284" s="20" t="s">
        <v>1237</v>
      </c>
      <c r="B284" s="21" t="str">
        <f>IMAGE("https://raw.githubusercontent.com/ltdimages/images/refs/heads/main/Food183.png")</f>
        <v/>
      </c>
      <c r="C284" s="22" t="s">
        <v>1238</v>
      </c>
      <c r="D284" s="22" t="s">
        <v>43</v>
      </c>
      <c r="E284" s="22" t="s">
        <v>106</v>
      </c>
      <c r="F284" s="23" t="s">
        <v>131</v>
      </c>
      <c r="G284" s="23">
        <v>1.4</v>
      </c>
      <c r="H284" s="22" t="s">
        <v>45</v>
      </c>
      <c r="I284" s="22" t="s">
        <v>46</v>
      </c>
      <c r="J284" s="22" t="s">
        <v>45</v>
      </c>
      <c r="K284" s="22" t="s">
        <v>47</v>
      </c>
      <c r="L284" s="22" t="s">
        <v>48</v>
      </c>
      <c r="M284" s="22" t="s">
        <v>49</v>
      </c>
      <c r="N284" s="22" t="s">
        <v>49</v>
      </c>
      <c r="O284" s="22" t="s">
        <v>49</v>
      </c>
      <c r="P284" s="22" t="s">
        <v>49</v>
      </c>
      <c r="Q284" s="22" t="s">
        <v>1239</v>
      </c>
      <c r="R284" s="22" t="s">
        <v>1240</v>
      </c>
    </row>
    <row r="285" ht="45.0" customHeight="1">
      <c r="A285" s="20" t="s">
        <v>1241</v>
      </c>
      <c r="B285" s="21" t="str">
        <f>IMAGE("https://raw.githubusercontent.com/ltdimages/images/refs/heads/main/Food130.png")</f>
        <v/>
      </c>
      <c r="C285" s="22" t="s">
        <v>1242</v>
      </c>
      <c r="D285" s="22" t="s">
        <v>43</v>
      </c>
      <c r="E285" s="22" t="s">
        <v>62</v>
      </c>
      <c r="F285" s="23" t="s">
        <v>167</v>
      </c>
      <c r="G285" s="23">
        <v>8.0</v>
      </c>
      <c r="H285" s="22" t="s">
        <v>49</v>
      </c>
      <c r="I285" s="22" t="s">
        <v>46</v>
      </c>
      <c r="J285" s="22" t="s">
        <v>45</v>
      </c>
      <c r="K285" s="22" t="s">
        <v>86</v>
      </c>
      <c r="L285" s="22" t="s">
        <v>57</v>
      </c>
      <c r="M285" s="22" t="s">
        <v>45</v>
      </c>
      <c r="N285" s="22" t="s">
        <v>49</v>
      </c>
      <c r="O285" s="22" t="s">
        <v>49</v>
      </c>
      <c r="P285" s="22" t="s">
        <v>49</v>
      </c>
      <c r="Q285" s="22" t="s">
        <v>1243</v>
      </c>
      <c r="R285" s="22" t="s">
        <v>1244</v>
      </c>
    </row>
    <row r="286" ht="45.0" customHeight="1">
      <c r="A286" s="20" t="s">
        <v>1245</v>
      </c>
      <c r="B286" s="21" t="str">
        <f>IMAGE("https://raw.githubusercontent.com/ltdimages/images/refs/heads/main/Food166.png")</f>
        <v/>
      </c>
      <c r="C286" s="22" t="s">
        <v>1246</v>
      </c>
      <c r="D286" s="22" t="s">
        <v>43</v>
      </c>
      <c r="E286" s="22" t="s">
        <v>106</v>
      </c>
      <c r="F286" s="23"/>
      <c r="G286" s="23">
        <v>60.0</v>
      </c>
      <c r="H286" s="22" t="s">
        <v>45</v>
      </c>
      <c r="I286" s="22" t="s">
        <v>46</v>
      </c>
      <c r="J286" s="22" t="s">
        <v>45</v>
      </c>
      <c r="K286" s="22" t="s">
        <v>47</v>
      </c>
      <c r="L286" s="22" t="s">
        <v>48</v>
      </c>
      <c r="M286" s="22" t="s">
        <v>49</v>
      </c>
      <c r="N286" s="22" t="s">
        <v>49</v>
      </c>
      <c r="O286" s="22" t="s">
        <v>49</v>
      </c>
      <c r="P286" s="22" t="s">
        <v>49</v>
      </c>
      <c r="Q286" s="22" t="s">
        <v>1247</v>
      </c>
      <c r="R286" s="22" t="s">
        <v>1248</v>
      </c>
    </row>
    <row r="287" ht="45.0" customHeight="1">
      <c r="A287" s="20" t="s">
        <v>1249</v>
      </c>
      <c r="B287" s="21" t="str">
        <f>IMAGE("https://raw.githubusercontent.com/ltdimages/images/refs/heads/main/Food385.png")</f>
        <v/>
      </c>
      <c r="C287" s="22" t="s">
        <v>1250</v>
      </c>
      <c r="D287" s="22" t="s">
        <v>43</v>
      </c>
      <c r="E287" s="22"/>
      <c r="F287" s="23" t="s">
        <v>1127</v>
      </c>
      <c r="G287" s="23">
        <v>3.0</v>
      </c>
      <c r="H287" s="22" t="s">
        <v>49</v>
      </c>
      <c r="I287" s="22" t="s">
        <v>46</v>
      </c>
      <c r="J287" s="22" t="s">
        <v>45</v>
      </c>
      <c r="K287" s="22" t="s">
        <v>56</v>
      </c>
      <c r="L287" s="22" t="s">
        <v>57</v>
      </c>
      <c r="M287" s="22" t="s">
        <v>45</v>
      </c>
      <c r="N287" s="22" t="s">
        <v>49</v>
      </c>
      <c r="O287" s="22" t="s">
        <v>45</v>
      </c>
      <c r="P287" s="22" t="s">
        <v>45</v>
      </c>
      <c r="Q287" s="22" t="s">
        <v>1251</v>
      </c>
      <c r="R287" s="22" t="s">
        <v>1252</v>
      </c>
    </row>
    <row r="288" ht="45.0" customHeight="1">
      <c r="A288" s="20" t="s">
        <v>1253</v>
      </c>
      <c r="B288" s="21" t="str">
        <f>IMAGE("https://raw.githubusercontent.com/ltdimages/images/refs/heads/main/Food389.png")</f>
        <v/>
      </c>
      <c r="C288" s="22" t="s">
        <v>1254</v>
      </c>
      <c r="D288" s="22" t="s">
        <v>43</v>
      </c>
      <c r="E288" s="22"/>
      <c r="F288" s="23"/>
      <c r="G288" s="23">
        <v>6.0</v>
      </c>
      <c r="H288" s="22" t="s">
        <v>49</v>
      </c>
      <c r="I288" s="22" t="s">
        <v>46</v>
      </c>
      <c r="J288" s="22" t="s">
        <v>45</v>
      </c>
      <c r="K288" s="22" t="s">
        <v>56</v>
      </c>
      <c r="L288" s="22" t="s">
        <v>57</v>
      </c>
      <c r="M288" s="22" t="s">
        <v>45</v>
      </c>
      <c r="N288" s="22" t="s">
        <v>1255</v>
      </c>
      <c r="O288" s="22" t="s">
        <v>45</v>
      </c>
      <c r="P288" s="22" t="s">
        <v>45</v>
      </c>
      <c r="Q288" s="22" t="s">
        <v>1256</v>
      </c>
      <c r="R288" s="22" t="s">
        <v>1257</v>
      </c>
    </row>
    <row r="289" ht="45.0" customHeight="1">
      <c r="A289" s="20" t="s">
        <v>1258</v>
      </c>
      <c r="B289" s="21" t="str">
        <f>IMAGE("https://raw.githubusercontent.com/ltdimages/images/refs/heads/main/Food293.png")</f>
        <v/>
      </c>
      <c r="C289" s="22" t="s">
        <v>1259</v>
      </c>
      <c r="D289" s="22" t="s">
        <v>43</v>
      </c>
      <c r="E289" s="22" t="s">
        <v>91</v>
      </c>
      <c r="F289" s="23"/>
      <c r="G289" s="23">
        <v>4.8</v>
      </c>
      <c r="H289" s="22" t="s">
        <v>45</v>
      </c>
      <c r="I289" s="22" t="s">
        <v>46</v>
      </c>
      <c r="J289" s="22" t="s">
        <v>45</v>
      </c>
      <c r="K289" s="22" t="s">
        <v>56</v>
      </c>
      <c r="L289" s="22" t="s">
        <v>48</v>
      </c>
      <c r="M289" s="22" t="s">
        <v>49</v>
      </c>
      <c r="N289" s="22" t="s">
        <v>49</v>
      </c>
      <c r="O289" s="22" t="s">
        <v>49</v>
      </c>
      <c r="P289" s="22" t="s">
        <v>45</v>
      </c>
      <c r="Q289" s="22" t="s">
        <v>1260</v>
      </c>
      <c r="R289" s="22" t="s">
        <v>1261</v>
      </c>
    </row>
    <row r="290" ht="45.0" customHeight="1">
      <c r="A290" s="20" t="s">
        <v>1262</v>
      </c>
      <c r="B290" s="21" t="str">
        <f>IMAGE("https://raw.githubusercontent.com/ltdimages/images/refs/heads/main/Food065.png")</f>
        <v/>
      </c>
      <c r="C290" s="22" t="s">
        <v>1263</v>
      </c>
      <c r="D290" s="22" t="s">
        <v>43</v>
      </c>
      <c r="E290" s="22" t="s">
        <v>67</v>
      </c>
      <c r="F290" s="23"/>
      <c r="G290" s="23">
        <v>1.0</v>
      </c>
      <c r="H290" s="22" t="s">
        <v>45</v>
      </c>
      <c r="I290" s="22" t="s">
        <v>46</v>
      </c>
      <c r="J290" s="22" t="s">
        <v>45</v>
      </c>
      <c r="K290" s="22" t="s">
        <v>47</v>
      </c>
      <c r="L290" s="22" t="s">
        <v>48</v>
      </c>
      <c r="M290" s="22" t="s">
        <v>49</v>
      </c>
      <c r="N290" s="22" t="s">
        <v>49</v>
      </c>
      <c r="O290" s="22" t="s">
        <v>49</v>
      </c>
      <c r="P290" s="22" t="s">
        <v>49</v>
      </c>
      <c r="Q290" s="22" t="s">
        <v>1264</v>
      </c>
      <c r="R290" s="22" t="s">
        <v>1265</v>
      </c>
    </row>
    <row r="291" ht="45.0" customHeight="1">
      <c r="A291" s="20" t="s">
        <v>1266</v>
      </c>
      <c r="B291" s="21" t="str">
        <f>IMAGE("https://raw.githubusercontent.com/ltdimages/images/refs/heads/main/Food474.png")</f>
        <v/>
      </c>
      <c r="C291" s="24" t="s">
        <v>1267</v>
      </c>
      <c r="D291" s="24" t="s">
        <v>43</v>
      </c>
      <c r="E291" s="24" t="s">
        <v>62</v>
      </c>
      <c r="F291" s="25"/>
      <c r="G291" s="25">
        <v>7.8</v>
      </c>
      <c r="H291" s="24" t="s">
        <v>49</v>
      </c>
      <c r="I291" s="24" t="s">
        <v>46</v>
      </c>
      <c r="J291" s="24" t="s">
        <v>45</v>
      </c>
      <c r="K291" s="24" t="s">
        <v>56</v>
      </c>
      <c r="L291" s="24" t="s">
        <v>57</v>
      </c>
      <c r="M291" s="24" t="s">
        <v>49</v>
      </c>
      <c r="N291" s="24" t="s">
        <v>49</v>
      </c>
      <c r="O291" s="24" t="s">
        <v>45</v>
      </c>
      <c r="P291" s="24" t="s">
        <v>49</v>
      </c>
      <c r="Q291" s="24" t="s">
        <v>1268</v>
      </c>
      <c r="R291" s="24" t="s">
        <v>1269</v>
      </c>
    </row>
    <row r="292" ht="45.0" customHeight="1">
      <c r="A292" s="20" t="s">
        <v>1270</v>
      </c>
      <c r="B292" s="21" t="str">
        <f>IMAGE("https://raw.githubusercontent.com/ltdimages/images/refs/heads/main/Food118.png")</f>
        <v/>
      </c>
      <c r="C292" s="22" t="s">
        <v>1271</v>
      </c>
      <c r="D292" s="22" t="s">
        <v>43</v>
      </c>
      <c r="E292" s="22" t="s">
        <v>177</v>
      </c>
      <c r="F292" s="23" t="s">
        <v>167</v>
      </c>
      <c r="G292" s="23">
        <v>4.0</v>
      </c>
      <c r="H292" s="22" t="s">
        <v>49</v>
      </c>
      <c r="I292" s="22" t="s">
        <v>46</v>
      </c>
      <c r="J292" s="22" t="s">
        <v>45</v>
      </c>
      <c r="K292" s="22" t="s">
        <v>86</v>
      </c>
      <c r="L292" s="22" t="s">
        <v>57</v>
      </c>
      <c r="M292" s="22" t="s">
        <v>49</v>
      </c>
      <c r="N292" s="22" t="s">
        <v>49</v>
      </c>
      <c r="O292" s="22" t="s">
        <v>45</v>
      </c>
      <c r="P292" s="22" t="s">
        <v>49</v>
      </c>
      <c r="Q292" s="22" t="s">
        <v>1272</v>
      </c>
      <c r="R292" s="22" t="s">
        <v>1273</v>
      </c>
    </row>
    <row r="293" ht="45.0" customHeight="1">
      <c r="A293" s="20" t="s">
        <v>1274</v>
      </c>
      <c r="B293" s="21" t="str">
        <f>IMAGE("https://raw.githubusercontent.com/ltdimages/images/refs/heads/main/Food207.png")</f>
        <v/>
      </c>
      <c r="C293" s="22" t="s">
        <v>1275</v>
      </c>
      <c r="D293" s="22" t="s">
        <v>43</v>
      </c>
      <c r="E293" s="22" t="s">
        <v>62</v>
      </c>
      <c r="F293" s="23" t="s">
        <v>111</v>
      </c>
      <c r="G293" s="23">
        <v>3.5</v>
      </c>
      <c r="H293" s="22" t="s">
        <v>49</v>
      </c>
      <c r="I293" s="22" t="s">
        <v>46</v>
      </c>
      <c r="J293" s="22" t="s">
        <v>45</v>
      </c>
      <c r="K293" s="22" t="s">
        <v>56</v>
      </c>
      <c r="L293" s="22" t="s">
        <v>57</v>
      </c>
      <c r="M293" s="22" t="s">
        <v>49</v>
      </c>
      <c r="N293" s="22" t="s">
        <v>49</v>
      </c>
      <c r="O293" s="22" t="s">
        <v>45</v>
      </c>
      <c r="P293" s="22" t="s">
        <v>49</v>
      </c>
      <c r="Q293" s="22" t="s">
        <v>1276</v>
      </c>
      <c r="R293" s="22" t="s">
        <v>1277</v>
      </c>
    </row>
    <row r="294" ht="45.0" customHeight="1">
      <c r="A294" s="20" t="s">
        <v>1278</v>
      </c>
      <c r="B294" s="21" t="str">
        <f>IMAGE("https://raw.githubusercontent.com/ltdimages/images/refs/heads/main/Food468.png")</f>
        <v/>
      </c>
      <c r="C294" s="22" t="s">
        <v>1279</v>
      </c>
      <c r="D294" s="22" t="s">
        <v>43</v>
      </c>
      <c r="E294" s="22" t="s">
        <v>62</v>
      </c>
      <c r="F294" s="23" t="s">
        <v>1127</v>
      </c>
      <c r="G294" s="23">
        <v>10.0</v>
      </c>
      <c r="H294" s="22" t="s">
        <v>49</v>
      </c>
      <c r="I294" s="22" t="s">
        <v>46</v>
      </c>
      <c r="J294" s="22" t="s">
        <v>45</v>
      </c>
      <c r="K294" s="22" t="s">
        <v>56</v>
      </c>
      <c r="L294" s="22" t="s">
        <v>57</v>
      </c>
      <c r="M294" s="22" t="s">
        <v>49</v>
      </c>
      <c r="N294" s="22" t="s">
        <v>49</v>
      </c>
      <c r="O294" s="22" t="s">
        <v>45</v>
      </c>
      <c r="P294" s="22" t="s">
        <v>45</v>
      </c>
      <c r="Q294" s="22" t="s">
        <v>1280</v>
      </c>
      <c r="R294" s="22" t="s">
        <v>1281</v>
      </c>
    </row>
    <row r="295" ht="45.0" customHeight="1">
      <c r="A295" s="20" t="s">
        <v>1282</v>
      </c>
      <c r="B295" s="21" t="str">
        <f>IMAGE("https://raw.githubusercontent.com/ltdimages/images/refs/heads/main/Food410.png")</f>
        <v/>
      </c>
      <c r="C295" s="22" t="s">
        <v>1283</v>
      </c>
      <c r="D295" s="22" t="s">
        <v>43</v>
      </c>
      <c r="E295" s="22" t="s">
        <v>62</v>
      </c>
      <c r="F295" s="23" t="s">
        <v>111</v>
      </c>
      <c r="G295" s="23">
        <v>14.0</v>
      </c>
      <c r="H295" s="22" t="s">
        <v>49</v>
      </c>
      <c r="I295" s="22" t="s">
        <v>46</v>
      </c>
      <c r="J295" s="22" t="s">
        <v>45</v>
      </c>
      <c r="K295" s="22" t="s">
        <v>86</v>
      </c>
      <c r="L295" s="22" t="s">
        <v>57</v>
      </c>
      <c r="M295" s="22" t="s">
        <v>45</v>
      </c>
      <c r="N295" s="22" t="s">
        <v>49</v>
      </c>
      <c r="O295" s="22" t="s">
        <v>45</v>
      </c>
      <c r="P295" s="22" t="s">
        <v>45</v>
      </c>
      <c r="Q295" s="22" t="s">
        <v>1284</v>
      </c>
      <c r="R295" s="22" t="s">
        <v>1285</v>
      </c>
    </row>
    <row r="296" ht="45.0" customHeight="1">
      <c r="A296" s="20" t="s">
        <v>1286</v>
      </c>
      <c r="B296" s="21" t="str">
        <f>IMAGE("https://raw.githubusercontent.com/ltdimages/images/refs/heads/main/Food479.png")</f>
        <v/>
      </c>
      <c r="C296" s="22" t="s">
        <v>1287</v>
      </c>
      <c r="D296" s="22" t="s">
        <v>43</v>
      </c>
      <c r="E296" s="22" t="s">
        <v>67</v>
      </c>
      <c r="F296" s="23"/>
      <c r="G296" s="23">
        <v>6.0</v>
      </c>
      <c r="H296" s="22" t="s">
        <v>49</v>
      </c>
      <c r="I296" s="22" t="s">
        <v>46</v>
      </c>
      <c r="J296" s="22" t="s">
        <v>45</v>
      </c>
      <c r="K296" s="22" t="s">
        <v>56</v>
      </c>
      <c r="L296" s="22" t="s">
        <v>48</v>
      </c>
      <c r="M296" s="22" t="s">
        <v>45</v>
      </c>
      <c r="N296" s="22" t="s">
        <v>49</v>
      </c>
      <c r="O296" s="22" t="s">
        <v>45</v>
      </c>
      <c r="P296" s="22" t="s">
        <v>45</v>
      </c>
      <c r="Q296" s="22" t="s">
        <v>1288</v>
      </c>
      <c r="R296" s="22" t="s">
        <v>1289</v>
      </c>
    </row>
    <row r="297" ht="45.0" customHeight="1">
      <c r="A297" s="20" t="s">
        <v>1290</v>
      </c>
      <c r="B297" s="21" t="str">
        <f>IMAGE("https://raw.githubusercontent.com/ltdimages/images/refs/heads/main/Food428.png")</f>
        <v/>
      </c>
      <c r="C297" s="22" t="s">
        <v>1291</v>
      </c>
      <c r="D297" s="22" t="s">
        <v>43</v>
      </c>
      <c r="E297" s="22" t="s">
        <v>1292</v>
      </c>
      <c r="F297" s="23"/>
      <c r="G297" s="23">
        <v>11.0</v>
      </c>
      <c r="H297" s="22" t="s">
        <v>49</v>
      </c>
      <c r="I297" s="22" t="s">
        <v>46</v>
      </c>
      <c r="J297" s="22" t="s">
        <v>45</v>
      </c>
      <c r="K297" s="22" t="s">
        <v>47</v>
      </c>
      <c r="L297" s="22" t="s">
        <v>172</v>
      </c>
      <c r="M297" s="22" t="s">
        <v>45</v>
      </c>
      <c r="N297" s="22" t="s">
        <v>49</v>
      </c>
      <c r="O297" s="22" t="s">
        <v>45</v>
      </c>
      <c r="P297" s="22" t="s">
        <v>49</v>
      </c>
      <c r="Q297" s="22" t="s">
        <v>1293</v>
      </c>
      <c r="R297" s="22" t="s">
        <v>1294</v>
      </c>
    </row>
    <row r="298" ht="45.0" customHeight="1">
      <c r="A298" s="20" t="s">
        <v>1295</v>
      </c>
      <c r="B298" s="21" t="str">
        <f>IMAGE("https://raw.githubusercontent.com/ltdimages/images/refs/heads/main/Food459.png")</f>
        <v/>
      </c>
      <c r="C298" s="22" t="s">
        <v>1296</v>
      </c>
      <c r="D298" s="22" t="s">
        <v>43</v>
      </c>
      <c r="E298" s="22" t="s">
        <v>62</v>
      </c>
      <c r="F298" s="23" t="s">
        <v>167</v>
      </c>
      <c r="G298" s="23">
        <v>9.7</v>
      </c>
      <c r="H298" s="22" t="s">
        <v>49</v>
      </c>
      <c r="I298" s="22" t="s">
        <v>46</v>
      </c>
      <c r="J298" s="22" t="s">
        <v>45</v>
      </c>
      <c r="K298" s="22" t="s">
        <v>56</v>
      </c>
      <c r="L298" s="22" t="s">
        <v>57</v>
      </c>
      <c r="M298" s="22" t="s">
        <v>45</v>
      </c>
      <c r="N298" s="22" t="s">
        <v>49</v>
      </c>
      <c r="O298" s="22" t="s">
        <v>951</v>
      </c>
      <c r="P298" s="22" t="s">
        <v>45</v>
      </c>
      <c r="Q298" s="22" t="s">
        <v>1297</v>
      </c>
      <c r="R298" s="22" t="s">
        <v>1298</v>
      </c>
    </row>
    <row r="299" ht="45.0" customHeight="1">
      <c r="A299" s="20" t="s">
        <v>1299</v>
      </c>
      <c r="B299" s="21" t="str">
        <f>IMAGE("https://raw.githubusercontent.com/ltdimages/images/refs/heads/main/Food467.png")</f>
        <v/>
      </c>
      <c r="C299" s="22" t="s">
        <v>1300</v>
      </c>
      <c r="D299" s="22" t="s">
        <v>43</v>
      </c>
      <c r="E299" s="22" t="s">
        <v>126</v>
      </c>
      <c r="F299" s="23"/>
      <c r="G299" s="23">
        <v>7.0</v>
      </c>
      <c r="H299" s="22" t="s">
        <v>49</v>
      </c>
      <c r="I299" s="22" t="s">
        <v>46</v>
      </c>
      <c r="J299" s="22" t="s">
        <v>45</v>
      </c>
      <c r="K299" s="22" t="s">
        <v>47</v>
      </c>
      <c r="L299" s="22" t="s">
        <v>48</v>
      </c>
      <c r="M299" s="22" t="s">
        <v>45</v>
      </c>
      <c r="N299" s="22" t="s">
        <v>1301</v>
      </c>
      <c r="O299" s="22" t="s">
        <v>45</v>
      </c>
      <c r="P299" s="22" t="s">
        <v>49</v>
      </c>
      <c r="Q299" s="22" t="s">
        <v>1302</v>
      </c>
      <c r="R299" s="22" t="s">
        <v>1303</v>
      </c>
    </row>
    <row r="300" ht="45.0" customHeight="1">
      <c r="A300" s="20" t="s">
        <v>1304</v>
      </c>
      <c r="B300" s="21" t="str">
        <f>IMAGE("https://raw.githubusercontent.com/ltdimages/images/refs/heads/main/Food368.png")</f>
        <v/>
      </c>
      <c r="C300" s="22" t="s">
        <v>1305</v>
      </c>
      <c r="D300" s="22" t="s">
        <v>43</v>
      </c>
      <c r="E300" s="22" t="s">
        <v>106</v>
      </c>
      <c r="F300" s="23"/>
      <c r="G300" s="23">
        <v>3.0</v>
      </c>
      <c r="H300" s="22" t="s">
        <v>49</v>
      </c>
      <c r="I300" s="22" t="s">
        <v>46</v>
      </c>
      <c r="J300" s="22" t="s">
        <v>45</v>
      </c>
      <c r="K300" s="22" t="s">
        <v>56</v>
      </c>
      <c r="L300" s="22" t="s">
        <v>48</v>
      </c>
      <c r="M300" s="22" t="s">
        <v>49</v>
      </c>
      <c r="N300" s="22" t="s">
        <v>49</v>
      </c>
      <c r="O300" s="22" t="s">
        <v>49</v>
      </c>
      <c r="P300" s="22" t="s">
        <v>49</v>
      </c>
      <c r="Q300" s="22" t="s">
        <v>1306</v>
      </c>
      <c r="R300" s="22" t="s">
        <v>1307</v>
      </c>
    </row>
    <row r="301" ht="45.0" customHeight="1">
      <c r="A301" s="20" t="s">
        <v>1308</v>
      </c>
      <c r="B301" s="21" t="str">
        <f>IMAGE("https://raw.githubusercontent.com/ltdimages/images/refs/heads/main/Food004.png")</f>
        <v/>
      </c>
      <c r="C301" s="22" t="s">
        <v>1309</v>
      </c>
      <c r="D301" s="22" t="s">
        <v>1310</v>
      </c>
      <c r="E301" s="22" t="s">
        <v>1311</v>
      </c>
      <c r="F301" s="23" t="s">
        <v>407</v>
      </c>
      <c r="G301" s="23">
        <v>1.5</v>
      </c>
      <c r="H301" s="22" t="s">
        <v>45</v>
      </c>
      <c r="I301" s="22" t="s">
        <v>46</v>
      </c>
      <c r="J301" s="22" t="s">
        <v>45</v>
      </c>
      <c r="K301" s="22" t="s">
        <v>56</v>
      </c>
      <c r="L301" s="22" t="s">
        <v>48</v>
      </c>
      <c r="M301" s="22" t="s">
        <v>45</v>
      </c>
      <c r="N301" s="22" t="s">
        <v>49</v>
      </c>
      <c r="O301" s="22" t="s">
        <v>45</v>
      </c>
      <c r="P301" s="22" t="s">
        <v>49</v>
      </c>
      <c r="Q301" s="22" t="s">
        <v>1312</v>
      </c>
      <c r="R301" s="22" t="s">
        <v>1313</v>
      </c>
    </row>
    <row r="302" ht="45.0" customHeight="1">
      <c r="A302" s="20" t="s">
        <v>1314</v>
      </c>
      <c r="B302" s="21" t="str">
        <f>IMAGE("https://raw.githubusercontent.com/ltdimages/images/refs/heads/main/Food123.png")</f>
        <v/>
      </c>
      <c r="C302" s="24" t="s">
        <v>1315</v>
      </c>
      <c r="D302" s="24" t="s">
        <v>1310</v>
      </c>
      <c r="E302" s="24" t="s">
        <v>1316</v>
      </c>
      <c r="F302" s="25" t="s">
        <v>1210</v>
      </c>
      <c r="G302" s="25">
        <v>1.5</v>
      </c>
      <c r="H302" s="24" t="s">
        <v>45</v>
      </c>
      <c r="I302" s="24" t="s">
        <v>46</v>
      </c>
      <c r="J302" s="24" t="s">
        <v>45</v>
      </c>
      <c r="K302" s="24" t="s">
        <v>47</v>
      </c>
      <c r="L302" s="24" t="s">
        <v>172</v>
      </c>
      <c r="M302" s="24" t="s">
        <v>49</v>
      </c>
      <c r="N302" s="24" t="s">
        <v>49</v>
      </c>
      <c r="O302" s="24" t="s">
        <v>49</v>
      </c>
      <c r="P302" s="24" t="s">
        <v>49</v>
      </c>
      <c r="Q302" s="24" t="s">
        <v>1317</v>
      </c>
      <c r="R302" s="24" t="s">
        <v>1318</v>
      </c>
    </row>
    <row r="303" ht="45.0" customHeight="1">
      <c r="A303" s="20" t="s">
        <v>1319</v>
      </c>
      <c r="B303" s="21" t="str">
        <f>IMAGE("https://raw.githubusercontent.com/ltdimages/images/refs/heads/main/Food448.png")</f>
        <v/>
      </c>
      <c r="C303" s="22" t="s">
        <v>1320</v>
      </c>
      <c r="D303" s="22" t="s">
        <v>1310</v>
      </c>
      <c r="E303" s="22" t="s">
        <v>1321</v>
      </c>
      <c r="F303" s="23" t="s">
        <v>407</v>
      </c>
      <c r="G303" s="23">
        <v>6.8</v>
      </c>
      <c r="H303" s="22" t="s">
        <v>49</v>
      </c>
      <c r="I303" s="22" t="s">
        <v>46</v>
      </c>
      <c r="J303" s="22" t="s">
        <v>45</v>
      </c>
      <c r="K303" s="22" t="s">
        <v>56</v>
      </c>
      <c r="L303" s="22" t="s">
        <v>48</v>
      </c>
      <c r="M303" s="22" t="s">
        <v>49</v>
      </c>
      <c r="N303" s="22" t="s">
        <v>45</v>
      </c>
      <c r="O303" s="22" t="s">
        <v>49</v>
      </c>
      <c r="P303" s="22" t="s">
        <v>45</v>
      </c>
      <c r="Q303" s="22" t="s">
        <v>1322</v>
      </c>
      <c r="R303" s="22" t="s">
        <v>1323</v>
      </c>
    </row>
    <row r="304" ht="45.0" customHeight="1">
      <c r="A304" s="20" t="s">
        <v>1324</v>
      </c>
      <c r="B304" s="21" t="str">
        <f>IMAGE("https://raw.githubusercontent.com/ltdimages/images/refs/heads/main/Food002.png")</f>
        <v/>
      </c>
      <c r="C304" s="22" t="s">
        <v>1325</v>
      </c>
      <c r="D304" s="22" t="s">
        <v>1310</v>
      </c>
      <c r="E304" s="22" t="s">
        <v>1321</v>
      </c>
      <c r="F304" s="23" t="s">
        <v>407</v>
      </c>
      <c r="G304" s="23">
        <v>4.8</v>
      </c>
      <c r="H304" s="22" t="s">
        <v>49</v>
      </c>
      <c r="I304" s="22" t="s">
        <v>46</v>
      </c>
      <c r="J304" s="22" t="s">
        <v>45</v>
      </c>
      <c r="K304" s="22" t="s">
        <v>56</v>
      </c>
      <c r="L304" s="22" t="s">
        <v>48</v>
      </c>
      <c r="M304" s="22" t="s">
        <v>49</v>
      </c>
      <c r="N304" s="22" t="s">
        <v>49</v>
      </c>
      <c r="O304" s="22" t="s">
        <v>49</v>
      </c>
      <c r="P304" s="22" t="s">
        <v>49</v>
      </c>
      <c r="Q304" s="22" t="s">
        <v>1326</v>
      </c>
      <c r="R304" s="22" t="s">
        <v>1327</v>
      </c>
    </row>
    <row r="305" ht="45.0" customHeight="1">
      <c r="A305" s="20" t="s">
        <v>1328</v>
      </c>
      <c r="B305" s="21" t="str">
        <f>IMAGE("https://raw.githubusercontent.com/ltdimages/images/refs/heads/main/Food117.png")</f>
        <v/>
      </c>
      <c r="C305" s="22" t="s">
        <v>1329</v>
      </c>
      <c r="D305" s="22" t="s">
        <v>1310</v>
      </c>
      <c r="E305" s="22" t="s">
        <v>106</v>
      </c>
      <c r="F305" s="23" t="s">
        <v>407</v>
      </c>
      <c r="G305" s="23">
        <v>3.8</v>
      </c>
      <c r="H305" s="22" t="s">
        <v>45</v>
      </c>
      <c r="I305" s="22" t="s">
        <v>46</v>
      </c>
      <c r="J305" s="22" t="s">
        <v>45</v>
      </c>
      <c r="K305" s="22" t="s">
        <v>56</v>
      </c>
      <c r="L305" s="22" t="s">
        <v>57</v>
      </c>
      <c r="M305" s="22" t="s">
        <v>49</v>
      </c>
      <c r="N305" s="22" t="s">
        <v>49</v>
      </c>
      <c r="O305" s="22" t="s">
        <v>49</v>
      </c>
      <c r="P305" s="22" t="s">
        <v>49</v>
      </c>
      <c r="Q305" s="22" t="s">
        <v>1330</v>
      </c>
      <c r="R305" s="22" t="s">
        <v>1331</v>
      </c>
    </row>
    <row r="306" ht="45.0" customHeight="1">
      <c r="A306" s="20" t="s">
        <v>1332</v>
      </c>
      <c r="B306" s="21" t="str">
        <f>IMAGE("https://raw.githubusercontent.com/ltdimages/images/refs/heads/main/Food094.png")</f>
        <v/>
      </c>
      <c r="C306" s="22" t="s">
        <v>1333</v>
      </c>
      <c r="D306" s="22" t="s">
        <v>1310</v>
      </c>
      <c r="E306" s="22" t="s">
        <v>1316</v>
      </c>
      <c r="F306" s="23" t="s">
        <v>407</v>
      </c>
      <c r="G306" s="23">
        <v>1.0</v>
      </c>
      <c r="H306" s="22" t="s">
        <v>45</v>
      </c>
      <c r="I306" s="22" t="s">
        <v>46</v>
      </c>
      <c r="J306" s="22" t="s">
        <v>45</v>
      </c>
      <c r="K306" s="22" t="s">
        <v>47</v>
      </c>
      <c r="L306" s="22" t="s">
        <v>48</v>
      </c>
      <c r="M306" s="22" t="s">
        <v>49</v>
      </c>
      <c r="N306" s="22" t="s">
        <v>49</v>
      </c>
      <c r="O306" s="22" t="s">
        <v>49</v>
      </c>
      <c r="P306" s="22" t="s">
        <v>49</v>
      </c>
      <c r="Q306" s="22" t="s">
        <v>1334</v>
      </c>
      <c r="R306" s="22" t="s">
        <v>1335</v>
      </c>
    </row>
    <row r="307" ht="45.0" customHeight="1">
      <c r="A307" s="20" t="s">
        <v>1336</v>
      </c>
      <c r="B307" s="21" t="str">
        <f>IMAGE("https://raw.githubusercontent.com/ltdimages/images/refs/heads/main/Food179.png")</f>
        <v/>
      </c>
      <c r="C307" s="22" t="s">
        <v>1337</v>
      </c>
      <c r="D307" s="22" t="s">
        <v>1310</v>
      </c>
      <c r="E307" s="22" t="s">
        <v>1316</v>
      </c>
      <c r="F307" s="23"/>
      <c r="G307" s="23">
        <v>0.2</v>
      </c>
      <c r="H307" s="22" t="s">
        <v>45</v>
      </c>
      <c r="I307" s="22" t="s">
        <v>46</v>
      </c>
      <c r="J307" s="22" t="s">
        <v>49</v>
      </c>
      <c r="K307" s="22" t="s">
        <v>47</v>
      </c>
      <c r="L307" s="22" t="s">
        <v>48</v>
      </c>
      <c r="M307" s="22" t="s">
        <v>45</v>
      </c>
      <c r="N307" s="22" t="s">
        <v>45</v>
      </c>
      <c r="O307" s="22" t="s">
        <v>45</v>
      </c>
      <c r="P307" s="22" t="s">
        <v>45</v>
      </c>
      <c r="Q307" s="22" t="s">
        <v>1338</v>
      </c>
      <c r="R307" s="22" t="s">
        <v>1339</v>
      </c>
    </row>
    <row r="308" ht="45.0" customHeight="1">
      <c r="A308" s="20" t="s">
        <v>1340</v>
      </c>
      <c r="B308" s="21" t="str">
        <f>IMAGE("https://raw.githubusercontent.com/ltdimages/images/refs/heads/main/Food273.png")</f>
        <v/>
      </c>
      <c r="C308" s="22" t="s">
        <v>1341</v>
      </c>
      <c r="D308" s="22" t="s">
        <v>1310</v>
      </c>
      <c r="E308" s="22" t="s">
        <v>1321</v>
      </c>
      <c r="F308" s="23" t="s">
        <v>407</v>
      </c>
      <c r="G308" s="23">
        <v>6.5</v>
      </c>
      <c r="H308" s="22" t="s">
        <v>49</v>
      </c>
      <c r="I308" s="22" t="s">
        <v>46</v>
      </c>
      <c r="J308" s="22" t="s">
        <v>45</v>
      </c>
      <c r="K308" s="22" t="s">
        <v>56</v>
      </c>
      <c r="L308" s="22" t="s">
        <v>48</v>
      </c>
      <c r="M308" s="22" t="s">
        <v>49</v>
      </c>
      <c r="N308" s="22" t="s">
        <v>45</v>
      </c>
      <c r="O308" s="22" t="s">
        <v>49</v>
      </c>
      <c r="P308" s="22" t="s">
        <v>45</v>
      </c>
      <c r="Q308" s="22" t="s">
        <v>1342</v>
      </c>
      <c r="R308" s="22" t="s">
        <v>1343</v>
      </c>
    </row>
    <row r="309" ht="45.0" customHeight="1">
      <c r="A309" s="20" t="s">
        <v>1344</v>
      </c>
      <c r="B309" s="21" t="str">
        <f>IMAGE("https://raw.githubusercontent.com/ltdimages/images/refs/heads/main/Food254.png")</f>
        <v/>
      </c>
      <c r="C309" s="22" t="s">
        <v>1345</v>
      </c>
      <c r="D309" s="22" t="s">
        <v>1310</v>
      </c>
      <c r="E309" s="22" t="s">
        <v>62</v>
      </c>
      <c r="F309" s="23" t="s">
        <v>111</v>
      </c>
      <c r="G309" s="23">
        <v>3.0</v>
      </c>
      <c r="H309" s="22" t="s">
        <v>45</v>
      </c>
      <c r="I309" s="22" t="s">
        <v>46</v>
      </c>
      <c r="J309" s="22" t="s">
        <v>45</v>
      </c>
      <c r="K309" s="22" t="s">
        <v>47</v>
      </c>
      <c r="L309" s="22" t="s">
        <v>48</v>
      </c>
      <c r="M309" s="22" t="s">
        <v>49</v>
      </c>
      <c r="N309" s="22" t="s">
        <v>49</v>
      </c>
      <c r="O309" s="22" t="s">
        <v>49</v>
      </c>
      <c r="P309" s="22" t="s">
        <v>49</v>
      </c>
      <c r="Q309" s="22" t="s">
        <v>1346</v>
      </c>
      <c r="R309" s="22" t="s">
        <v>1347</v>
      </c>
    </row>
    <row r="310" ht="45.0" customHeight="1">
      <c r="A310" s="20" t="s">
        <v>1348</v>
      </c>
      <c r="B310" s="21" t="str">
        <f>IMAGE("https://raw.githubusercontent.com/ltdimages/images/refs/heads/main/Food143.png")</f>
        <v/>
      </c>
      <c r="C310" s="22" t="s">
        <v>1349</v>
      </c>
      <c r="D310" s="22" t="s">
        <v>1310</v>
      </c>
      <c r="E310" s="22" t="s">
        <v>1350</v>
      </c>
      <c r="F310" s="23" t="s">
        <v>407</v>
      </c>
      <c r="G310" s="23">
        <v>0.0</v>
      </c>
      <c r="H310" s="22" t="s">
        <v>45</v>
      </c>
      <c r="I310" s="22" t="s">
        <v>46</v>
      </c>
      <c r="J310" s="22" t="s">
        <v>45</v>
      </c>
      <c r="K310" s="22" t="s">
        <v>86</v>
      </c>
      <c r="L310" s="22" t="s">
        <v>172</v>
      </c>
      <c r="M310" s="22" t="s">
        <v>45</v>
      </c>
      <c r="N310" s="22" t="s">
        <v>45</v>
      </c>
      <c r="O310" s="22" t="s">
        <v>45</v>
      </c>
      <c r="P310" s="22" t="s">
        <v>45</v>
      </c>
      <c r="Q310" s="22" t="s">
        <v>1351</v>
      </c>
      <c r="R310" s="22" t="s">
        <v>1352</v>
      </c>
    </row>
    <row r="311" ht="45.0" customHeight="1">
      <c r="A311" s="20" t="s">
        <v>1353</v>
      </c>
      <c r="B311" s="21" t="str">
        <f>IMAGE("https://raw.githubusercontent.com/ltdimages/images/refs/heads/main/Food240.png")</f>
        <v/>
      </c>
      <c r="C311" s="22" t="s">
        <v>1354</v>
      </c>
      <c r="D311" s="22" t="s">
        <v>1310</v>
      </c>
      <c r="E311" s="22" t="s">
        <v>1350</v>
      </c>
      <c r="F311" s="23"/>
      <c r="G311" s="23">
        <v>1.5</v>
      </c>
      <c r="H311" s="22" t="s">
        <v>45</v>
      </c>
      <c r="I311" s="22" t="s">
        <v>46</v>
      </c>
      <c r="J311" s="22" t="s">
        <v>45</v>
      </c>
      <c r="K311" s="22" t="s">
        <v>47</v>
      </c>
      <c r="L311" s="22" t="s">
        <v>48</v>
      </c>
      <c r="M311" s="22" t="s">
        <v>49</v>
      </c>
      <c r="N311" s="22" t="s">
        <v>49</v>
      </c>
      <c r="O311" s="22" t="s">
        <v>49</v>
      </c>
      <c r="P311" s="22" t="s">
        <v>49</v>
      </c>
      <c r="Q311" s="22" t="s">
        <v>1355</v>
      </c>
      <c r="R311" s="22" t="s">
        <v>1356</v>
      </c>
    </row>
    <row r="312" ht="45.0" customHeight="1">
      <c r="A312" s="20" t="s">
        <v>1357</v>
      </c>
      <c r="B312" s="21" t="str">
        <f>IMAGE("https://raw.githubusercontent.com/ltdimages/images/refs/heads/main/Food245.png")</f>
        <v/>
      </c>
      <c r="C312" s="22" t="s">
        <v>1358</v>
      </c>
      <c r="D312" s="22" t="s">
        <v>1310</v>
      </c>
      <c r="E312" s="22" t="s">
        <v>1350</v>
      </c>
      <c r="F312" s="23" t="s">
        <v>407</v>
      </c>
      <c r="G312" s="23">
        <v>4.5</v>
      </c>
      <c r="H312" s="22" t="s">
        <v>45</v>
      </c>
      <c r="I312" s="22" t="s">
        <v>46</v>
      </c>
      <c r="J312" s="22" t="s">
        <v>45</v>
      </c>
      <c r="K312" s="22" t="s">
        <v>56</v>
      </c>
      <c r="L312" s="22" t="s">
        <v>48</v>
      </c>
      <c r="M312" s="22" t="s">
        <v>49</v>
      </c>
      <c r="N312" s="22" t="s">
        <v>49</v>
      </c>
      <c r="O312" s="22" t="s">
        <v>49</v>
      </c>
      <c r="P312" s="22" t="s">
        <v>45</v>
      </c>
      <c r="Q312" s="22" t="s">
        <v>1359</v>
      </c>
      <c r="R312" s="22" t="s">
        <v>1360</v>
      </c>
    </row>
    <row r="313" ht="45.0" customHeight="1">
      <c r="A313" s="20" t="s">
        <v>1361</v>
      </c>
      <c r="B313" s="21" t="str">
        <f>IMAGE("https://raw.githubusercontent.com/ltdimages/images/refs/heads/main/Food255.png")</f>
        <v/>
      </c>
      <c r="C313" s="22" t="s">
        <v>1362</v>
      </c>
      <c r="D313" s="22" t="s">
        <v>1310</v>
      </c>
      <c r="E313" s="22" t="s">
        <v>1350</v>
      </c>
      <c r="F313" s="23" t="s">
        <v>407</v>
      </c>
      <c r="G313" s="23">
        <v>4.2</v>
      </c>
      <c r="H313" s="22" t="s">
        <v>45</v>
      </c>
      <c r="I313" s="22" t="s">
        <v>46</v>
      </c>
      <c r="J313" s="22" t="s">
        <v>45</v>
      </c>
      <c r="K313" s="22" t="s">
        <v>47</v>
      </c>
      <c r="L313" s="22" t="s">
        <v>48</v>
      </c>
      <c r="M313" s="22" t="s">
        <v>49</v>
      </c>
      <c r="N313" s="22" t="s">
        <v>49</v>
      </c>
      <c r="O313" s="22" t="s">
        <v>49</v>
      </c>
      <c r="P313" s="22" t="s">
        <v>49</v>
      </c>
      <c r="Q313" s="22" t="s">
        <v>1363</v>
      </c>
      <c r="R313" s="22" t="s">
        <v>1364</v>
      </c>
    </row>
    <row r="314" ht="45.0" customHeight="1">
      <c r="A314" s="20" t="s">
        <v>1365</v>
      </c>
      <c r="B314" s="21" t="str">
        <f>IMAGE("https://raw.githubusercontent.com/ltdimages/images/refs/heads/main/Food483.png")</f>
        <v/>
      </c>
      <c r="C314" s="22" t="s">
        <v>1366</v>
      </c>
      <c r="D314" s="22" t="s">
        <v>1310</v>
      </c>
      <c r="E314" s="22" t="s">
        <v>1350</v>
      </c>
      <c r="F314" s="23" t="s">
        <v>407</v>
      </c>
      <c r="G314" s="23">
        <v>9.8</v>
      </c>
      <c r="H314" s="22" t="s">
        <v>45</v>
      </c>
      <c r="I314" s="22" t="s">
        <v>46</v>
      </c>
      <c r="J314" s="22" t="s">
        <v>45</v>
      </c>
      <c r="K314" s="22" t="s">
        <v>56</v>
      </c>
      <c r="L314" s="22" t="s">
        <v>172</v>
      </c>
      <c r="M314" s="22" t="s">
        <v>45</v>
      </c>
      <c r="N314" s="22" t="s">
        <v>49</v>
      </c>
      <c r="O314" s="22" t="s">
        <v>45</v>
      </c>
      <c r="P314" s="22" t="s">
        <v>45</v>
      </c>
      <c r="Q314" s="22" t="s">
        <v>1367</v>
      </c>
      <c r="R314" s="22" t="s">
        <v>1368</v>
      </c>
    </row>
    <row r="315" ht="45.0" customHeight="1">
      <c r="A315" s="20" t="s">
        <v>1369</v>
      </c>
      <c r="B315" s="21" t="str">
        <f>IMAGE("https://raw.githubusercontent.com/ltdimages/images/refs/heads/main/Food457.png")</f>
        <v/>
      </c>
      <c r="C315" s="22" t="s">
        <v>1370</v>
      </c>
      <c r="D315" s="22" t="s">
        <v>1310</v>
      </c>
      <c r="E315" s="22" t="s">
        <v>1350</v>
      </c>
      <c r="F315" s="23" t="s">
        <v>407</v>
      </c>
      <c r="G315" s="23">
        <v>8.0</v>
      </c>
      <c r="H315" s="22" t="s">
        <v>49</v>
      </c>
      <c r="I315" s="22" t="s">
        <v>46</v>
      </c>
      <c r="J315" s="22" t="s">
        <v>45</v>
      </c>
      <c r="K315" s="22" t="s">
        <v>56</v>
      </c>
      <c r="L315" s="22" t="s">
        <v>48</v>
      </c>
      <c r="M315" s="22" t="s">
        <v>45</v>
      </c>
      <c r="N315" s="22" t="s">
        <v>45</v>
      </c>
      <c r="O315" s="22" t="s">
        <v>1371</v>
      </c>
      <c r="P315" s="22" t="s">
        <v>45</v>
      </c>
      <c r="Q315" s="22" t="s">
        <v>1372</v>
      </c>
      <c r="R315" s="22" t="s">
        <v>1373</v>
      </c>
    </row>
    <row r="316" ht="45.0" customHeight="1">
      <c r="A316" s="20" t="s">
        <v>1374</v>
      </c>
      <c r="B316" s="21" t="str">
        <f>IMAGE("https://raw.githubusercontent.com/ltdimages/images/refs/heads/main/Food319.png")</f>
        <v/>
      </c>
      <c r="C316" s="22" t="s">
        <v>1375</v>
      </c>
      <c r="D316" s="22" t="s">
        <v>1310</v>
      </c>
      <c r="E316" s="22" t="s">
        <v>1350</v>
      </c>
      <c r="F316" s="23" t="s">
        <v>407</v>
      </c>
      <c r="G316" s="23">
        <v>6.2</v>
      </c>
      <c r="H316" s="22" t="s">
        <v>49</v>
      </c>
      <c r="I316" s="22" t="s">
        <v>46</v>
      </c>
      <c r="J316" s="22" t="s">
        <v>45</v>
      </c>
      <c r="K316" s="22" t="s">
        <v>56</v>
      </c>
      <c r="L316" s="22" t="s">
        <v>48</v>
      </c>
      <c r="M316" s="22" t="s">
        <v>45</v>
      </c>
      <c r="N316" s="22" t="s">
        <v>45</v>
      </c>
      <c r="O316" s="22" t="s">
        <v>49</v>
      </c>
      <c r="P316" s="22" t="s">
        <v>45</v>
      </c>
      <c r="Q316" s="22" t="s">
        <v>1376</v>
      </c>
      <c r="R316" s="22" t="s">
        <v>1377</v>
      </c>
    </row>
    <row r="317" ht="45.0" customHeight="1">
      <c r="A317" s="20" t="s">
        <v>1378</v>
      </c>
      <c r="B317" s="21" t="str">
        <f>IMAGE("https://raw.githubusercontent.com/ltdimages/images/refs/heads/main/Food041.png")</f>
        <v/>
      </c>
      <c r="C317" s="22" t="s">
        <v>1379</v>
      </c>
      <c r="D317" s="22" t="s">
        <v>1310</v>
      </c>
      <c r="E317" s="22" t="s">
        <v>1350</v>
      </c>
      <c r="F317" s="23" t="s">
        <v>407</v>
      </c>
      <c r="G317" s="23">
        <v>1.8</v>
      </c>
      <c r="H317" s="22" t="s">
        <v>45</v>
      </c>
      <c r="I317" s="22" t="s">
        <v>46</v>
      </c>
      <c r="J317" s="22" t="s">
        <v>45</v>
      </c>
      <c r="K317" s="22" t="s">
        <v>47</v>
      </c>
      <c r="L317" s="22" t="s">
        <v>48</v>
      </c>
      <c r="M317" s="22" t="s">
        <v>49</v>
      </c>
      <c r="N317" s="22" t="s">
        <v>49</v>
      </c>
      <c r="O317" s="22" t="s">
        <v>49</v>
      </c>
      <c r="P317" s="22" t="s">
        <v>49</v>
      </c>
      <c r="Q317" s="22" t="s">
        <v>1380</v>
      </c>
      <c r="R317" s="22" t="s">
        <v>1381</v>
      </c>
    </row>
    <row r="318" ht="45.0" customHeight="1">
      <c r="A318" s="20" t="s">
        <v>1382</v>
      </c>
      <c r="B318" s="21" t="str">
        <f>IMAGE("https://raw.githubusercontent.com/ltdimages/images/refs/heads/main/Food165.png")</f>
        <v/>
      </c>
      <c r="C318" s="22" t="s">
        <v>1383</v>
      </c>
      <c r="D318" s="22" t="s">
        <v>1310</v>
      </c>
      <c r="E318" s="22" t="s">
        <v>1321</v>
      </c>
      <c r="F318" s="23" t="s">
        <v>407</v>
      </c>
      <c r="G318" s="23">
        <v>2.5</v>
      </c>
      <c r="H318" s="22" t="s">
        <v>45</v>
      </c>
      <c r="I318" s="22" t="s">
        <v>46</v>
      </c>
      <c r="J318" s="22" t="s">
        <v>45</v>
      </c>
      <c r="K318" s="22" t="s">
        <v>56</v>
      </c>
      <c r="L318" s="22" t="s">
        <v>48</v>
      </c>
      <c r="M318" s="22" t="s">
        <v>49</v>
      </c>
      <c r="N318" s="22" t="s">
        <v>45</v>
      </c>
      <c r="O318" s="22" t="s">
        <v>49</v>
      </c>
      <c r="P318" s="22" t="s">
        <v>49</v>
      </c>
      <c r="Q318" s="22" t="s">
        <v>1384</v>
      </c>
      <c r="R318" s="22" t="s">
        <v>1385</v>
      </c>
    </row>
    <row r="319" ht="45.0" customHeight="1">
      <c r="A319" s="20" t="s">
        <v>1386</v>
      </c>
      <c r="B319" s="21" t="str">
        <f>IMAGE("https://raw.githubusercontent.com/ltdimages/images/refs/heads/main/Food380.png")</f>
        <v/>
      </c>
      <c r="C319" s="22" t="s">
        <v>1387</v>
      </c>
      <c r="D319" s="22" t="s">
        <v>1310</v>
      </c>
      <c r="E319" s="22" t="s">
        <v>1350</v>
      </c>
      <c r="F319" s="23" t="s">
        <v>407</v>
      </c>
      <c r="G319" s="23">
        <v>0.75</v>
      </c>
      <c r="H319" s="22" t="s">
        <v>49</v>
      </c>
      <c r="I319" s="22" t="s">
        <v>46</v>
      </c>
      <c r="J319" s="22" t="s">
        <v>45</v>
      </c>
      <c r="K319" s="22" t="s">
        <v>47</v>
      </c>
      <c r="L319" s="22" t="s">
        <v>48</v>
      </c>
      <c r="M319" s="22" t="s">
        <v>1388</v>
      </c>
      <c r="N319" s="22" t="s">
        <v>45</v>
      </c>
      <c r="O319" s="22" t="s">
        <v>45</v>
      </c>
      <c r="P319" s="22" t="s">
        <v>45</v>
      </c>
      <c r="Q319" s="22" t="s">
        <v>1389</v>
      </c>
      <c r="R319" s="22" t="s">
        <v>1390</v>
      </c>
    </row>
    <row r="320" ht="45.0" customHeight="1">
      <c r="A320" s="20" t="s">
        <v>1391</v>
      </c>
      <c r="B320" s="21" t="str">
        <f>IMAGE("https://raw.githubusercontent.com/ltdimages/images/refs/heads/main/Food432.png")</f>
        <v/>
      </c>
      <c r="C320" s="22" t="s">
        <v>1392</v>
      </c>
      <c r="D320" s="22" t="s">
        <v>1310</v>
      </c>
      <c r="E320" s="22" t="s">
        <v>1350</v>
      </c>
      <c r="F320" s="23" t="s">
        <v>407</v>
      </c>
      <c r="G320" s="23">
        <v>4.0</v>
      </c>
      <c r="H320" s="22" t="s">
        <v>45</v>
      </c>
      <c r="I320" s="22" t="s">
        <v>46</v>
      </c>
      <c r="J320" s="22" t="s">
        <v>45</v>
      </c>
      <c r="K320" s="22" t="s">
        <v>47</v>
      </c>
      <c r="L320" s="22" t="s">
        <v>48</v>
      </c>
      <c r="M320" s="22" t="s">
        <v>45</v>
      </c>
      <c r="N320" s="22" t="s">
        <v>49</v>
      </c>
      <c r="O320" s="22" t="s">
        <v>49</v>
      </c>
      <c r="P320" s="22" t="s">
        <v>49</v>
      </c>
      <c r="Q320" s="22" t="s">
        <v>1393</v>
      </c>
      <c r="R320" s="22" t="s">
        <v>1394</v>
      </c>
    </row>
    <row r="321" ht="45.0" customHeight="1">
      <c r="A321" s="20" t="s">
        <v>1395</v>
      </c>
      <c r="B321" s="21" t="str">
        <f>IMAGE("https://raw.githubusercontent.com/ltdimages/images/refs/heads/main/Food328.png")</f>
        <v/>
      </c>
      <c r="C321" s="22" t="s">
        <v>1396</v>
      </c>
      <c r="D321" s="22" t="s">
        <v>1310</v>
      </c>
      <c r="E321" s="22" t="s">
        <v>1350</v>
      </c>
      <c r="F321" s="23" t="s">
        <v>407</v>
      </c>
      <c r="G321" s="23">
        <v>2.0</v>
      </c>
      <c r="H321" s="22" t="s">
        <v>45</v>
      </c>
      <c r="I321" s="22" t="s">
        <v>46</v>
      </c>
      <c r="J321" s="22" t="s">
        <v>45</v>
      </c>
      <c r="K321" s="22" t="s">
        <v>47</v>
      </c>
      <c r="L321" s="22" t="s">
        <v>172</v>
      </c>
      <c r="M321" s="22" t="s">
        <v>49</v>
      </c>
      <c r="N321" s="22" t="s">
        <v>45</v>
      </c>
      <c r="O321" s="22" t="s">
        <v>49</v>
      </c>
      <c r="P321" s="22" t="s">
        <v>45</v>
      </c>
      <c r="Q321" s="22" t="s">
        <v>1397</v>
      </c>
      <c r="R321" s="22" t="s">
        <v>1398</v>
      </c>
    </row>
    <row r="322" ht="45.0" customHeight="1">
      <c r="A322" s="20" t="s">
        <v>1399</v>
      </c>
      <c r="B322" s="21" t="str">
        <f>IMAGE("https://raw.githubusercontent.com/ltdimages/images/refs/heads/main/Food438.png")</f>
        <v/>
      </c>
      <c r="C322" s="22" t="s">
        <v>1400</v>
      </c>
      <c r="D322" s="22" t="s">
        <v>1310</v>
      </c>
      <c r="E322" s="22" t="s">
        <v>1350</v>
      </c>
      <c r="F322" s="23" t="s">
        <v>407</v>
      </c>
      <c r="G322" s="23">
        <v>5.7</v>
      </c>
      <c r="H322" s="22" t="s">
        <v>49</v>
      </c>
      <c r="I322" s="22" t="s">
        <v>46</v>
      </c>
      <c r="J322" s="22" t="s">
        <v>45</v>
      </c>
      <c r="K322" s="22" t="s">
        <v>56</v>
      </c>
      <c r="L322" s="22" t="s">
        <v>48</v>
      </c>
      <c r="M322" s="22" t="s">
        <v>49</v>
      </c>
      <c r="N322" s="22" t="s">
        <v>49</v>
      </c>
      <c r="O322" s="22" t="s">
        <v>49</v>
      </c>
      <c r="P322" s="22" t="s">
        <v>45</v>
      </c>
      <c r="Q322" s="22" t="s">
        <v>1401</v>
      </c>
      <c r="R322" s="22" t="s">
        <v>1402</v>
      </c>
    </row>
    <row r="323" ht="45.0" customHeight="1">
      <c r="A323" s="20" t="s">
        <v>1403</v>
      </c>
      <c r="B323" s="21" t="str">
        <f>IMAGE("https://raw.githubusercontent.com/ltdimages/images/refs/heads/main/Food256.png")</f>
        <v/>
      </c>
      <c r="C323" s="22" t="s">
        <v>1404</v>
      </c>
      <c r="D323" s="22" t="s">
        <v>1310</v>
      </c>
      <c r="E323" s="22" t="s">
        <v>1350</v>
      </c>
      <c r="F323" s="23"/>
      <c r="G323" s="23">
        <v>5.3</v>
      </c>
      <c r="H323" s="22" t="s">
        <v>49</v>
      </c>
      <c r="I323" s="22" t="s">
        <v>46</v>
      </c>
      <c r="J323" s="22" t="s">
        <v>45</v>
      </c>
      <c r="K323" s="22" t="s">
        <v>56</v>
      </c>
      <c r="L323" s="22" t="s">
        <v>48</v>
      </c>
      <c r="M323" s="22" t="s">
        <v>49</v>
      </c>
      <c r="N323" s="22" t="s">
        <v>49</v>
      </c>
      <c r="O323" s="22" t="s">
        <v>49</v>
      </c>
      <c r="P323" s="22" t="s">
        <v>49</v>
      </c>
      <c r="Q323" s="22" t="s">
        <v>1405</v>
      </c>
      <c r="R323" s="22" t="s">
        <v>1406</v>
      </c>
    </row>
    <row r="324" ht="45.0" customHeight="1">
      <c r="A324" s="20" t="s">
        <v>1407</v>
      </c>
      <c r="B324" s="21" t="str">
        <f>IMAGE("https://raw.githubusercontent.com/ltdimages/images/refs/heads/main/Food026.png")</f>
        <v/>
      </c>
      <c r="C324" s="22" t="s">
        <v>1408</v>
      </c>
      <c r="D324" s="22" t="s">
        <v>1310</v>
      </c>
      <c r="E324" s="22" t="s">
        <v>1350</v>
      </c>
      <c r="F324" s="23" t="s">
        <v>407</v>
      </c>
      <c r="G324" s="23">
        <v>5.0</v>
      </c>
      <c r="H324" s="22" t="s">
        <v>49</v>
      </c>
      <c r="I324" s="22" t="s">
        <v>46</v>
      </c>
      <c r="J324" s="22" t="s">
        <v>45</v>
      </c>
      <c r="K324" s="22" t="s">
        <v>56</v>
      </c>
      <c r="L324" s="22" t="s">
        <v>48</v>
      </c>
      <c r="M324" s="22" t="s">
        <v>45</v>
      </c>
      <c r="N324" s="22" t="s">
        <v>49</v>
      </c>
      <c r="O324" s="22" t="s">
        <v>45</v>
      </c>
      <c r="P324" s="22" t="s">
        <v>49</v>
      </c>
      <c r="Q324" s="22" t="s">
        <v>1409</v>
      </c>
      <c r="R324" s="22" t="s">
        <v>1410</v>
      </c>
    </row>
    <row r="325" ht="45.0" customHeight="1">
      <c r="A325" s="20" t="s">
        <v>1411</v>
      </c>
      <c r="B325" s="21" t="str">
        <f>IMAGE("https://raw.githubusercontent.com/ltdimages/images/refs/heads/main/Food144.png")</f>
        <v/>
      </c>
      <c r="C325" s="22" t="s">
        <v>1412</v>
      </c>
      <c r="D325" s="22" t="s">
        <v>1310</v>
      </c>
      <c r="E325" s="22" t="s">
        <v>1350</v>
      </c>
      <c r="F325" s="23" t="s">
        <v>407</v>
      </c>
      <c r="G325" s="23">
        <v>4.9</v>
      </c>
      <c r="H325" s="22" t="s">
        <v>45</v>
      </c>
      <c r="I325" s="22" t="s">
        <v>46</v>
      </c>
      <c r="J325" s="22" t="s">
        <v>45</v>
      </c>
      <c r="K325" s="22" t="s">
        <v>56</v>
      </c>
      <c r="L325" s="22" t="s">
        <v>172</v>
      </c>
      <c r="M325" s="22" t="s">
        <v>49</v>
      </c>
      <c r="N325" s="22" t="s">
        <v>49</v>
      </c>
      <c r="O325" s="22" t="s">
        <v>49</v>
      </c>
      <c r="P325" s="22" t="s">
        <v>49</v>
      </c>
      <c r="Q325" s="22" t="s">
        <v>1413</v>
      </c>
      <c r="R325" s="22" t="s">
        <v>1414</v>
      </c>
    </row>
    <row r="326" ht="45.0" customHeight="1">
      <c r="A326" s="20" t="s">
        <v>1415</v>
      </c>
      <c r="B326" s="21" t="str">
        <f>IMAGE("https://raw.githubusercontent.com/ltdimages/images/refs/heads/main/Food314.png")</f>
        <v/>
      </c>
      <c r="C326" s="22" t="s">
        <v>1416</v>
      </c>
      <c r="D326" s="22" t="s">
        <v>1310</v>
      </c>
      <c r="E326" s="22" t="s">
        <v>1316</v>
      </c>
      <c r="F326" s="23" t="s">
        <v>407</v>
      </c>
      <c r="G326" s="23">
        <v>3.0</v>
      </c>
      <c r="H326" s="22" t="s">
        <v>45</v>
      </c>
      <c r="I326" s="22" t="s">
        <v>46</v>
      </c>
      <c r="J326" s="22" t="s">
        <v>45</v>
      </c>
      <c r="K326" s="22" t="s">
        <v>47</v>
      </c>
      <c r="L326" s="22" t="s">
        <v>48</v>
      </c>
      <c r="M326" s="22" t="s">
        <v>49</v>
      </c>
      <c r="N326" s="22" t="s">
        <v>45</v>
      </c>
      <c r="O326" s="22" t="s">
        <v>49</v>
      </c>
      <c r="P326" s="22" t="s">
        <v>45</v>
      </c>
      <c r="Q326" s="22" t="s">
        <v>1417</v>
      </c>
      <c r="R326" s="22" t="s">
        <v>1418</v>
      </c>
    </row>
    <row r="327" ht="45.0" customHeight="1">
      <c r="A327" s="20" t="s">
        <v>1419</v>
      </c>
      <c r="B327" s="21" t="str">
        <f>IMAGE("https://raw.githubusercontent.com/ltdimages/images/refs/heads/main/Food054.png")</f>
        <v/>
      </c>
      <c r="C327" s="22" t="s">
        <v>1420</v>
      </c>
      <c r="D327" s="22" t="s">
        <v>1310</v>
      </c>
      <c r="E327" s="22" t="s">
        <v>1316</v>
      </c>
      <c r="F327" s="23" t="s">
        <v>1210</v>
      </c>
      <c r="G327" s="23">
        <v>2.9</v>
      </c>
      <c r="H327" s="22" t="s">
        <v>45</v>
      </c>
      <c r="I327" s="22" t="s">
        <v>46</v>
      </c>
      <c r="J327" s="22" t="s">
        <v>45</v>
      </c>
      <c r="K327" s="22" t="s">
        <v>47</v>
      </c>
      <c r="L327" s="22" t="s">
        <v>172</v>
      </c>
      <c r="M327" s="22" t="s">
        <v>49</v>
      </c>
      <c r="N327" s="22" t="s">
        <v>49</v>
      </c>
      <c r="O327" s="22" t="s">
        <v>49</v>
      </c>
      <c r="P327" s="22" t="s">
        <v>49</v>
      </c>
      <c r="Q327" s="22" t="s">
        <v>1421</v>
      </c>
      <c r="R327" s="22" t="s">
        <v>1422</v>
      </c>
    </row>
    <row r="328" ht="45.0" customHeight="1">
      <c r="A328" s="20" t="s">
        <v>1423</v>
      </c>
      <c r="B328" s="21" t="str">
        <f>IMAGE("https://raw.githubusercontent.com/ltdimages/images/refs/heads/main/Food277.png")</f>
        <v/>
      </c>
      <c r="C328" s="22" t="s">
        <v>1424</v>
      </c>
      <c r="D328" s="22" t="s">
        <v>1310</v>
      </c>
      <c r="E328" s="22" t="s">
        <v>1321</v>
      </c>
      <c r="F328" s="23" t="s">
        <v>1210</v>
      </c>
      <c r="G328" s="23">
        <v>5.2</v>
      </c>
      <c r="H328" s="22" t="s">
        <v>49</v>
      </c>
      <c r="I328" s="22" t="s">
        <v>46</v>
      </c>
      <c r="J328" s="22" t="s">
        <v>45</v>
      </c>
      <c r="K328" s="22" t="s">
        <v>56</v>
      </c>
      <c r="L328" s="22" t="s">
        <v>48</v>
      </c>
      <c r="M328" s="22" t="s">
        <v>49</v>
      </c>
      <c r="N328" s="22" t="s">
        <v>49</v>
      </c>
      <c r="O328" s="22" t="s">
        <v>49</v>
      </c>
      <c r="P328" s="22" t="s">
        <v>45</v>
      </c>
      <c r="Q328" s="22" t="s">
        <v>1425</v>
      </c>
      <c r="R328" s="22" t="s">
        <v>1426</v>
      </c>
    </row>
    <row r="329" ht="45.0" customHeight="1">
      <c r="A329" s="20" t="s">
        <v>1427</v>
      </c>
      <c r="B329" s="21" t="str">
        <f>IMAGE("https://raw.githubusercontent.com/ltdimages/images/refs/heads/main/Food029.png")</f>
        <v/>
      </c>
      <c r="C329" s="22" t="s">
        <v>1428</v>
      </c>
      <c r="D329" s="22" t="s">
        <v>1310</v>
      </c>
      <c r="E329" s="22" t="s">
        <v>1350</v>
      </c>
      <c r="F329" s="23" t="s">
        <v>407</v>
      </c>
      <c r="G329" s="23">
        <v>1.2</v>
      </c>
      <c r="H329" s="22" t="s">
        <v>45</v>
      </c>
      <c r="I329" s="22" t="s">
        <v>46</v>
      </c>
      <c r="J329" s="22" t="s">
        <v>45</v>
      </c>
      <c r="K329" s="22" t="s">
        <v>47</v>
      </c>
      <c r="L329" s="22" t="s">
        <v>48</v>
      </c>
      <c r="M329" s="22" t="s">
        <v>49</v>
      </c>
      <c r="N329" s="22" t="s">
        <v>49</v>
      </c>
      <c r="O329" s="22" t="s">
        <v>49</v>
      </c>
      <c r="P329" s="22" t="s">
        <v>49</v>
      </c>
      <c r="Q329" s="22" t="s">
        <v>1429</v>
      </c>
      <c r="R329" s="22" t="s">
        <v>1430</v>
      </c>
    </row>
    <row r="330" ht="45.0" customHeight="1">
      <c r="A330" s="20" t="s">
        <v>1431</v>
      </c>
      <c r="B330" s="21" t="str">
        <f>IMAGE("https://raw.githubusercontent.com/ltdimages/images/refs/heads/main/Food084.png")</f>
        <v/>
      </c>
      <c r="C330" s="22" t="s">
        <v>1432</v>
      </c>
      <c r="D330" s="22" t="s">
        <v>1310</v>
      </c>
      <c r="E330" s="22" t="s">
        <v>1350</v>
      </c>
      <c r="F330" s="23" t="s">
        <v>407</v>
      </c>
      <c r="G330" s="23">
        <v>1.5</v>
      </c>
      <c r="H330" s="22" t="s">
        <v>45</v>
      </c>
      <c r="I330" s="22" t="s">
        <v>46</v>
      </c>
      <c r="J330" s="22" t="s">
        <v>45</v>
      </c>
      <c r="K330" s="22" t="s">
        <v>47</v>
      </c>
      <c r="L330" s="22" t="s">
        <v>48</v>
      </c>
      <c r="M330" s="22" t="s">
        <v>49</v>
      </c>
      <c r="N330" s="22" t="s">
        <v>49</v>
      </c>
      <c r="O330" s="22" t="s">
        <v>49</v>
      </c>
      <c r="P330" s="22" t="s">
        <v>49</v>
      </c>
      <c r="Q330" s="22" t="s">
        <v>1433</v>
      </c>
      <c r="R330" s="22" t="s">
        <v>1434</v>
      </c>
    </row>
    <row r="331" ht="45.0" customHeight="1">
      <c r="A331" s="20" t="s">
        <v>1435</v>
      </c>
      <c r="B331" s="21" t="str">
        <f>IMAGE("https://raw.githubusercontent.com/ltdimages/images/refs/heads/main/Food454.png")</f>
        <v/>
      </c>
      <c r="C331" s="22" t="s">
        <v>1436</v>
      </c>
      <c r="D331" s="22" t="s">
        <v>1310</v>
      </c>
      <c r="E331" s="22" t="s">
        <v>1350</v>
      </c>
      <c r="F331" s="23" t="s">
        <v>407</v>
      </c>
      <c r="G331" s="23">
        <v>3.5</v>
      </c>
      <c r="H331" s="22" t="s">
        <v>45</v>
      </c>
      <c r="I331" s="22" t="s">
        <v>46</v>
      </c>
      <c r="J331" s="22" t="s">
        <v>45</v>
      </c>
      <c r="K331" s="22" t="s">
        <v>47</v>
      </c>
      <c r="L331" s="22" t="s">
        <v>48</v>
      </c>
      <c r="M331" s="22" t="s">
        <v>49</v>
      </c>
      <c r="N331" s="22" t="s">
        <v>49</v>
      </c>
      <c r="O331" s="22" t="s">
        <v>1004</v>
      </c>
      <c r="P331" s="22" t="s">
        <v>49</v>
      </c>
      <c r="Q331" s="22" t="s">
        <v>1437</v>
      </c>
      <c r="R331" s="22" t="s">
        <v>1438</v>
      </c>
    </row>
    <row r="332" ht="45.0" customHeight="1">
      <c r="A332" s="20" t="s">
        <v>1439</v>
      </c>
      <c r="B332" s="21" t="str">
        <f>IMAGE("https://raw.githubusercontent.com/ltdimages/images/refs/heads/main/Food027.png")</f>
        <v/>
      </c>
      <c r="C332" s="22" t="s">
        <v>1440</v>
      </c>
      <c r="D332" s="22" t="s">
        <v>1310</v>
      </c>
      <c r="E332" s="22" t="s">
        <v>1350</v>
      </c>
      <c r="F332" s="23" t="s">
        <v>407</v>
      </c>
      <c r="G332" s="23">
        <v>6.0</v>
      </c>
      <c r="H332" s="22" t="s">
        <v>45</v>
      </c>
      <c r="I332" s="22" t="s">
        <v>46</v>
      </c>
      <c r="J332" s="22" t="s">
        <v>45</v>
      </c>
      <c r="K332" s="22" t="s">
        <v>56</v>
      </c>
      <c r="L332" s="22" t="s">
        <v>48</v>
      </c>
      <c r="M332" s="22" t="s">
        <v>49</v>
      </c>
      <c r="N332" s="22" t="s">
        <v>49</v>
      </c>
      <c r="O332" s="22" t="s">
        <v>49</v>
      </c>
      <c r="P332" s="22" t="s">
        <v>49</v>
      </c>
      <c r="Q332" s="22" t="s">
        <v>1441</v>
      </c>
      <c r="R332" s="22" t="s">
        <v>1442</v>
      </c>
    </row>
    <row r="333" ht="45.0" customHeight="1">
      <c r="A333" s="20" t="s">
        <v>1443</v>
      </c>
      <c r="B333" s="21" t="str">
        <f>IMAGE("https://raw.githubusercontent.com/ltdimages/images/refs/heads/main/Food085.png")</f>
        <v/>
      </c>
      <c r="C333" s="22" t="s">
        <v>1444</v>
      </c>
      <c r="D333" s="22" t="s">
        <v>1310</v>
      </c>
      <c r="E333" s="22" t="s">
        <v>1350</v>
      </c>
      <c r="F333" s="23" t="s">
        <v>407</v>
      </c>
      <c r="G333" s="23">
        <v>7.8</v>
      </c>
      <c r="H333" s="22" t="s">
        <v>49</v>
      </c>
      <c r="I333" s="22" t="s">
        <v>46</v>
      </c>
      <c r="J333" s="22" t="s">
        <v>45</v>
      </c>
      <c r="K333" s="22" t="s">
        <v>56</v>
      </c>
      <c r="L333" s="22" t="s">
        <v>172</v>
      </c>
      <c r="M333" s="22" t="s">
        <v>49</v>
      </c>
      <c r="N333" s="22" t="s">
        <v>49</v>
      </c>
      <c r="O333" s="22" t="s">
        <v>49</v>
      </c>
      <c r="P333" s="22" t="s">
        <v>49</v>
      </c>
      <c r="Q333" s="22" t="s">
        <v>1445</v>
      </c>
      <c r="R333" s="22" t="s">
        <v>1446</v>
      </c>
    </row>
    <row r="334" ht="45.0" customHeight="1">
      <c r="A334" s="20" t="s">
        <v>1447</v>
      </c>
      <c r="B334" s="21" t="str">
        <f>IMAGE("https://raw.githubusercontent.com/ltdimages/images/refs/heads/main/Food367.png")</f>
        <v/>
      </c>
      <c r="C334" s="22" t="s">
        <v>1448</v>
      </c>
      <c r="D334" s="22" t="s">
        <v>1310</v>
      </c>
      <c r="E334" s="22" t="s">
        <v>1311</v>
      </c>
      <c r="F334" s="23" t="s">
        <v>407</v>
      </c>
      <c r="G334" s="23">
        <v>1.5</v>
      </c>
      <c r="H334" s="22" t="s">
        <v>45</v>
      </c>
      <c r="I334" s="22" t="s">
        <v>46</v>
      </c>
      <c r="J334" s="22" t="s">
        <v>45</v>
      </c>
      <c r="K334" s="22" t="s">
        <v>56</v>
      </c>
      <c r="L334" s="22" t="s">
        <v>48</v>
      </c>
      <c r="M334" s="22" t="s">
        <v>49</v>
      </c>
      <c r="N334" s="22" t="s">
        <v>49</v>
      </c>
      <c r="O334" s="22" t="s">
        <v>49</v>
      </c>
      <c r="P334" s="22" t="s">
        <v>45</v>
      </c>
      <c r="Q334" s="22" t="s">
        <v>1449</v>
      </c>
      <c r="R334" s="22" t="s">
        <v>1450</v>
      </c>
    </row>
    <row r="335" ht="45.0" customHeight="1">
      <c r="A335" s="20" t="s">
        <v>1451</v>
      </c>
      <c r="B335" s="21" t="str">
        <f>IMAGE("https://raw.githubusercontent.com/ltdimages/images/refs/heads/main/Food355.png")</f>
        <v/>
      </c>
      <c r="C335" s="22" t="s">
        <v>1452</v>
      </c>
      <c r="D335" s="22" t="s">
        <v>1310</v>
      </c>
      <c r="E335" s="22" t="s">
        <v>1350</v>
      </c>
      <c r="F335" s="23" t="s">
        <v>573</v>
      </c>
      <c r="G335" s="23">
        <v>3.0</v>
      </c>
      <c r="H335" s="22" t="s">
        <v>49</v>
      </c>
      <c r="I335" s="22" t="s">
        <v>46</v>
      </c>
      <c r="J335" s="22" t="s">
        <v>45</v>
      </c>
      <c r="K335" s="22" t="s">
        <v>47</v>
      </c>
      <c r="L335" s="22" t="s">
        <v>48</v>
      </c>
      <c r="M335" s="22" t="s">
        <v>49</v>
      </c>
      <c r="N335" s="22" t="s">
        <v>49</v>
      </c>
      <c r="O335" s="22" t="s">
        <v>49</v>
      </c>
      <c r="P335" s="22" t="s">
        <v>49</v>
      </c>
      <c r="Q335" s="22" t="s">
        <v>1453</v>
      </c>
      <c r="R335" s="22" t="s">
        <v>1454</v>
      </c>
    </row>
    <row r="336" ht="45.0" customHeight="1">
      <c r="A336" s="20" t="s">
        <v>1455</v>
      </c>
      <c r="B336" s="21" t="str">
        <f>IMAGE("https://raw.githubusercontent.com/ltdimages/images/refs/heads/main/Food258.png")</f>
        <v/>
      </c>
      <c r="C336" s="22" t="s">
        <v>1456</v>
      </c>
      <c r="D336" s="22" t="s">
        <v>1310</v>
      </c>
      <c r="E336" s="22" t="s">
        <v>1311</v>
      </c>
      <c r="F336" s="23" t="s">
        <v>407</v>
      </c>
      <c r="G336" s="23">
        <v>1.3</v>
      </c>
      <c r="H336" s="22" t="s">
        <v>45</v>
      </c>
      <c r="I336" s="22" t="s">
        <v>46</v>
      </c>
      <c r="J336" s="22" t="s">
        <v>45</v>
      </c>
      <c r="K336" s="22" t="s">
        <v>56</v>
      </c>
      <c r="L336" s="22" t="s">
        <v>48</v>
      </c>
      <c r="M336" s="22" t="s">
        <v>49</v>
      </c>
      <c r="N336" s="22" t="s">
        <v>49</v>
      </c>
      <c r="O336" s="22" t="s">
        <v>49</v>
      </c>
      <c r="P336" s="22" t="s">
        <v>49</v>
      </c>
      <c r="Q336" s="22" t="s">
        <v>1457</v>
      </c>
      <c r="R336" s="22" t="s">
        <v>1458</v>
      </c>
    </row>
    <row r="337" ht="45.0" customHeight="1">
      <c r="A337" s="20" t="s">
        <v>1459</v>
      </c>
      <c r="B337" s="21" t="str">
        <f>IMAGE("https://raw.githubusercontent.com/ltdimages/images/refs/heads/main/Food298.png")</f>
        <v/>
      </c>
      <c r="C337" s="22" t="s">
        <v>1460</v>
      </c>
      <c r="D337" s="22" t="s">
        <v>1310</v>
      </c>
      <c r="E337" s="22"/>
      <c r="F337" s="23" t="s">
        <v>407</v>
      </c>
      <c r="G337" s="23">
        <v>1.2</v>
      </c>
      <c r="H337" s="22" t="s">
        <v>49</v>
      </c>
      <c r="I337" s="22" t="s">
        <v>46</v>
      </c>
      <c r="J337" s="22" t="s">
        <v>45</v>
      </c>
      <c r="K337" s="22" t="s">
        <v>47</v>
      </c>
      <c r="L337" s="22" t="s">
        <v>48</v>
      </c>
      <c r="M337" s="22" t="s">
        <v>45</v>
      </c>
      <c r="N337" s="22" t="s">
        <v>49</v>
      </c>
      <c r="O337" s="22" t="s">
        <v>49</v>
      </c>
      <c r="P337" s="22" t="s">
        <v>45</v>
      </c>
      <c r="Q337" s="22" t="s">
        <v>1461</v>
      </c>
      <c r="R337" s="22" t="s">
        <v>1462</v>
      </c>
    </row>
    <row r="338" ht="45.0" customHeight="1">
      <c r="A338" s="20" t="s">
        <v>1463</v>
      </c>
      <c r="B338" s="21" t="str">
        <f>IMAGE("https://raw.githubusercontent.com/ltdimages/images/refs/heads/main/Food140.png")</f>
        <v/>
      </c>
      <c r="C338" s="22" t="s">
        <v>1464</v>
      </c>
      <c r="D338" s="22" t="s">
        <v>1310</v>
      </c>
      <c r="E338" s="22" t="s">
        <v>1316</v>
      </c>
      <c r="F338" s="23" t="s">
        <v>407</v>
      </c>
      <c r="G338" s="23">
        <v>5.5</v>
      </c>
      <c r="H338" s="22" t="s">
        <v>45</v>
      </c>
      <c r="I338" s="22" t="s">
        <v>46</v>
      </c>
      <c r="J338" s="22" t="s">
        <v>45</v>
      </c>
      <c r="K338" s="22" t="s">
        <v>47</v>
      </c>
      <c r="L338" s="22" t="s">
        <v>172</v>
      </c>
      <c r="M338" s="22" t="s">
        <v>49</v>
      </c>
      <c r="N338" s="22" t="s">
        <v>49</v>
      </c>
      <c r="O338" s="22" t="s">
        <v>49</v>
      </c>
      <c r="P338" s="22" t="s">
        <v>49</v>
      </c>
      <c r="Q338" s="22" t="s">
        <v>1465</v>
      </c>
      <c r="R338" s="22" t="s">
        <v>1466</v>
      </c>
    </row>
    <row r="339" ht="45.0" customHeight="1">
      <c r="A339" s="20" t="s">
        <v>1467</v>
      </c>
      <c r="B339" s="21" t="str">
        <f>IMAGE("https://raw.githubusercontent.com/ltdimages/images/refs/heads/main/Food458.png")</f>
        <v/>
      </c>
      <c r="C339" s="22" t="s">
        <v>1468</v>
      </c>
      <c r="D339" s="22" t="s">
        <v>1310</v>
      </c>
      <c r="E339" s="22" t="s">
        <v>1350</v>
      </c>
      <c r="F339" s="23" t="s">
        <v>407</v>
      </c>
      <c r="G339" s="23">
        <v>7.8</v>
      </c>
      <c r="H339" s="22" t="s">
        <v>45</v>
      </c>
      <c r="I339" s="22" t="s">
        <v>46</v>
      </c>
      <c r="J339" s="22" t="s">
        <v>45</v>
      </c>
      <c r="K339" s="22" t="s">
        <v>56</v>
      </c>
      <c r="L339" s="22" t="s">
        <v>48</v>
      </c>
      <c r="M339" s="22" t="s">
        <v>45</v>
      </c>
      <c r="N339" s="22" t="s">
        <v>45</v>
      </c>
      <c r="O339" s="22" t="s">
        <v>1004</v>
      </c>
      <c r="P339" s="22" t="s">
        <v>45</v>
      </c>
      <c r="Q339" s="22" t="s">
        <v>1469</v>
      </c>
      <c r="R339" s="22" t="s">
        <v>1470</v>
      </c>
    </row>
    <row r="340" ht="45.0" customHeight="1">
      <c r="A340" s="20" t="s">
        <v>1471</v>
      </c>
      <c r="B340" s="21" t="str">
        <f>IMAGE("https://raw.githubusercontent.com/ltdimages/images/refs/heads/main/Food138.png")</f>
        <v/>
      </c>
      <c r="C340" s="22" t="s">
        <v>1472</v>
      </c>
      <c r="D340" s="22" t="s">
        <v>1310</v>
      </c>
      <c r="E340" s="22" t="s">
        <v>1350</v>
      </c>
      <c r="F340" s="23" t="s">
        <v>407</v>
      </c>
      <c r="G340" s="23">
        <v>3.0</v>
      </c>
      <c r="H340" s="22" t="s">
        <v>45</v>
      </c>
      <c r="I340" s="22" t="s">
        <v>46</v>
      </c>
      <c r="J340" s="22" t="s">
        <v>45</v>
      </c>
      <c r="K340" s="22" t="s">
        <v>47</v>
      </c>
      <c r="L340" s="22" t="s">
        <v>48</v>
      </c>
      <c r="M340" s="22" t="s">
        <v>49</v>
      </c>
      <c r="N340" s="22" t="s">
        <v>49</v>
      </c>
      <c r="O340" s="22" t="s">
        <v>49</v>
      </c>
      <c r="P340" s="22" t="s">
        <v>49</v>
      </c>
      <c r="Q340" s="22" t="s">
        <v>1473</v>
      </c>
      <c r="R340" s="22" t="s">
        <v>1474</v>
      </c>
    </row>
    <row r="341" ht="45.0" customHeight="1">
      <c r="A341" s="20" t="s">
        <v>1475</v>
      </c>
      <c r="B341" s="21" t="str">
        <f>IMAGE("https://raw.githubusercontent.com/ltdimages/images/refs/heads/main/Food099.png")</f>
        <v/>
      </c>
      <c r="C341" s="22" t="s">
        <v>1476</v>
      </c>
      <c r="D341" s="22" t="s">
        <v>1310</v>
      </c>
      <c r="E341" s="22" t="s">
        <v>1350</v>
      </c>
      <c r="F341" s="23" t="s">
        <v>407</v>
      </c>
      <c r="G341" s="23">
        <v>1.5</v>
      </c>
      <c r="H341" s="22" t="s">
        <v>45</v>
      </c>
      <c r="I341" s="22" t="s">
        <v>46</v>
      </c>
      <c r="J341" s="22" t="s">
        <v>45</v>
      </c>
      <c r="K341" s="22" t="s">
        <v>47</v>
      </c>
      <c r="L341" s="22" t="s">
        <v>48</v>
      </c>
      <c r="M341" s="22" t="s">
        <v>49</v>
      </c>
      <c r="N341" s="22" t="s">
        <v>49</v>
      </c>
      <c r="O341" s="22" t="s">
        <v>49</v>
      </c>
      <c r="P341" s="22" t="s">
        <v>49</v>
      </c>
      <c r="Q341" s="22" t="s">
        <v>1477</v>
      </c>
      <c r="R341" s="22" t="s">
        <v>1478</v>
      </c>
    </row>
    <row r="342" ht="45.0" customHeight="1">
      <c r="A342" s="20" t="s">
        <v>1479</v>
      </c>
      <c r="B342" s="21" t="str">
        <f>IMAGE("https://raw.githubusercontent.com/ltdimages/images/refs/heads/main/Food062.png")</f>
        <v/>
      </c>
      <c r="C342" s="22" t="s">
        <v>1480</v>
      </c>
      <c r="D342" s="22" t="s">
        <v>1310</v>
      </c>
      <c r="E342" s="22" t="s">
        <v>1350</v>
      </c>
      <c r="F342" s="23" t="s">
        <v>407</v>
      </c>
      <c r="G342" s="23">
        <v>2.5</v>
      </c>
      <c r="H342" s="22" t="s">
        <v>45</v>
      </c>
      <c r="I342" s="22" t="s">
        <v>46</v>
      </c>
      <c r="J342" s="22" t="s">
        <v>45</v>
      </c>
      <c r="K342" s="22" t="s">
        <v>47</v>
      </c>
      <c r="L342" s="22" t="s">
        <v>172</v>
      </c>
      <c r="M342" s="22" t="s">
        <v>49</v>
      </c>
      <c r="N342" s="22" t="s">
        <v>49</v>
      </c>
      <c r="O342" s="22" t="s">
        <v>49</v>
      </c>
      <c r="P342" s="22" t="s">
        <v>49</v>
      </c>
      <c r="Q342" s="22" t="s">
        <v>1481</v>
      </c>
      <c r="R342" s="22" t="s">
        <v>1482</v>
      </c>
    </row>
    <row r="343" ht="45.0" customHeight="1">
      <c r="A343" s="20" t="s">
        <v>1483</v>
      </c>
      <c r="B343" s="21" t="str">
        <f>IMAGE("https://raw.githubusercontent.com/ltdimages/images/refs/heads/main/Food332.png")</f>
        <v/>
      </c>
      <c r="C343" s="22" t="s">
        <v>1484</v>
      </c>
      <c r="D343" s="22" t="s">
        <v>1310</v>
      </c>
      <c r="E343" s="22" t="s">
        <v>1350</v>
      </c>
      <c r="F343" s="23" t="s">
        <v>407</v>
      </c>
      <c r="G343" s="23">
        <v>4.6</v>
      </c>
      <c r="H343" s="22" t="s">
        <v>49</v>
      </c>
      <c r="I343" s="22" t="s">
        <v>46</v>
      </c>
      <c r="J343" s="22" t="s">
        <v>45</v>
      </c>
      <c r="K343" s="22" t="s">
        <v>47</v>
      </c>
      <c r="L343" s="22" t="s">
        <v>172</v>
      </c>
      <c r="M343" s="22" t="s">
        <v>49</v>
      </c>
      <c r="N343" s="22" t="s">
        <v>49</v>
      </c>
      <c r="O343" s="22" t="s">
        <v>49</v>
      </c>
      <c r="P343" s="22" t="s">
        <v>49</v>
      </c>
      <c r="Q343" s="22" t="s">
        <v>1485</v>
      </c>
      <c r="R343" s="22" t="s">
        <v>1486</v>
      </c>
    </row>
    <row r="344" ht="45.0" customHeight="1">
      <c r="A344" s="20" t="s">
        <v>1487</v>
      </c>
      <c r="B344" s="21" t="str">
        <f>IMAGE("https://raw.githubusercontent.com/ltdimages/images/refs/heads/main/Food045.png")</f>
        <v/>
      </c>
      <c r="C344" s="22" t="s">
        <v>1488</v>
      </c>
      <c r="D344" s="22" t="s">
        <v>1310</v>
      </c>
      <c r="E344" s="22" t="s">
        <v>1350</v>
      </c>
      <c r="F344" s="23" t="s">
        <v>407</v>
      </c>
      <c r="G344" s="23">
        <v>4.0</v>
      </c>
      <c r="H344" s="22" t="s">
        <v>49</v>
      </c>
      <c r="I344" s="22" t="s">
        <v>46</v>
      </c>
      <c r="J344" s="22" t="s">
        <v>45</v>
      </c>
      <c r="K344" s="22" t="s">
        <v>56</v>
      </c>
      <c r="L344" s="22" t="s">
        <v>48</v>
      </c>
      <c r="M344" s="22" t="s">
        <v>49</v>
      </c>
      <c r="N344" s="22" t="s">
        <v>49</v>
      </c>
      <c r="O344" s="22" t="s">
        <v>49</v>
      </c>
      <c r="P344" s="22" t="s">
        <v>49</v>
      </c>
      <c r="Q344" s="22" t="s">
        <v>1489</v>
      </c>
      <c r="R344" s="22" t="s">
        <v>1490</v>
      </c>
    </row>
    <row r="345" ht="45.0" customHeight="1">
      <c r="A345" s="20" t="s">
        <v>1491</v>
      </c>
      <c r="B345" s="21" t="str">
        <f>IMAGE("https://raw.githubusercontent.com/ltdimages/images/refs/heads/main/Food469.png")</f>
        <v/>
      </c>
      <c r="C345" s="22" t="s">
        <v>1492</v>
      </c>
      <c r="D345" s="22" t="s">
        <v>1310</v>
      </c>
      <c r="E345" s="22" t="s">
        <v>1350</v>
      </c>
      <c r="F345" s="23" t="s">
        <v>407</v>
      </c>
      <c r="G345" s="23">
        <v>4.0</v>
      </c>
      <c r="H345" s="22" t="s">
        <v>45</v>
      </c>
      <c r="I345" s="22" t="s">
        <v>46</v>
      </c>
      <c r="J345" s="22" t="s">
        <v>45</v>
      </c>
      <c r="K345" s="22" t="s">
        <v>47</v>
      </c>
      <c r="L345" s="22" t="s">
        <v>48</v>
      </c>
      <c r="M345" s="22" t="s">
        <v>45</v>
      </c>
      <c r="N345" s="22" t="s">
        <v>49</v>
      </c>
      <c r="O345" s="22" t="s">
        <v>45</v>
      </c>
      <c r="P345" s="22" t="s">
        <v>45</v>
      </c>
      <c r="Q345" s="22" t="s">
        <v>1493</v>
      </c>
      <c r="R345" s="22" t="s">
        <v>1494</v>
      </c>
    </row>
    <row r="346" ht="45.0" customHeight="1">
      <c r="A346" s="20" t="s">
        <v>1495</v>
      </c>
      <c r="B346" s="21" t="str">
        <f>IMAGE("https://raw.githubusercontent.com/ltdimages/images/refs/heads/main/Food357.png")</f>
        <v/>
      </c>
      <c r="C346" s="22" t="s">
        <v>1496</v>
      </c>
      <c r="D346" s="22" t="s">
        <v>1310</v>
      </c>
      <c r="E346" s="22" t="s">
        <v>1316</v>
      </c>
      <c r="F346" s="23" t="s">
        <v>407</v>
      </c>
      <c r="G346" s="23">
        <v>2.5</v>
      </c>
      <c r="H346" s="22" t="s">
        <v>49</v>
      </c>
      <c r="I346" s="22" t="s">
        <v>46</v>
      </c>
      <c r="J346" s="22" t="s">
        <v>45</v>
      </c>
      <c r="K346" s="22" t="s">
        <v>47</v>
      </c>
      <c r="L346" s="22" t="s">
        <v>48</v>
      </c>
      <c r="M346" s="22" t="s">
        <v>49</v>
      </c>
      <c r="N346" s="22" t="s">
        <v>49</v>
      </c>
      <c r="O346" s="22" t="s">
        <v>49</v>
      </c>
      <c r="P346" s="22" t="s">
        <v>45</v>
      </c>
      <c r="Q346" s="22" t="s">
        <v>1497</v>
      </c>
      <c r="R346" s="22" t="s">
        <v>1498</v>
      </c>
    </row>
    <row r="347" ht="45.0" customHeight="1">
      <c r="A347" s="20" t="s">
        <v>1499</v>
      </c>
      <c r="B347" s="21" t="str">
        <f>IMAGE("https://raw.githubusercontent.com/ltdimages/images/refs/heads/main/Food091.png")</f>
        <v/>
      </c>
      <c r="C347" s="22" t="s">
        <v>1500</v>
      </c>
      <c r="D347" s="22" t="s">
        <v>1310</v>
      </c>
      <c r="E347" s="22" t="s">
        <v>1350</v>
      </c>
      <c r="F347" s="23" t="s">
        <v>407</v>
      </c>
      <c r="G347" s="23">
        <v>4.5</v>
      </c>
      <c r="H347" s="22" t="s">
        <v>45</v>
      </c>
      <c r="I347" s="22" t="s">
        <v>46</v>
      </c>
      <c r="J347" s="22" t="s">
        <v>45</v>
      </c>
      <c r="K347" s="22" t="s">
        <v>56</v>
      </c>
      <c r="L347" s="22" t="s">
        <v>48</v>
      </c>
      <c r="M347" s="22" t="s">
        <v>45</v>
      </c>
      <c r="N347" s="22" t="s">
        <v>49</v>
      </c>
      <c r="O347" s="22" t="s">
        <v>45</v>
      </c>
      <c r="P347" s="22" t="s">
        <v>49</v>
      </c>
      <c r="Q347" s="22" t="s">
        <v>1501</v>
      </c>
      <c r="R347" s="22" t="s">
        <v>1502</v>
      </c>
    </row>
    <row r="348" ht="45.0" customHeight="1">
      <c r="A348" s="20" t="s">
        <v>1503</v>
      </c>
      <c r="B348" s="21" t="str">
        <f>IMAGE("https://raw.githubusercontent.com/ltdimages/images/refs/heads/main/Food090.png")</f>
        <v/>
      </c>
      <c r="C348" s="22" t="s">
        <v>1504</v>
      </c>
      <c r="D348" s="22" t="s">
        <v>1310</v>
      </c>
      <c r="E348" s="22" t="s">
        <v>1311</v>
      </c>
      <c r="F348" s="23" t="s">
        <v>573</v>
      </c>
      <c r="G348" s="23">
        <v>1.3</v>
      </c>
      <c r="H348" s="22" t="s">
        <v>45</v>
      </c>
      <c r="I348" s="22" t="s">
        <v>46</v>
      </c>
      <c r="J348" s="22" t="s">
        <v>45</v>
      </c>
      <c r="K348" s="22" t="s">
        <v>47</v>
      </c>
      <c r="L348" s="22" t="s">
        <v>48</v>
      </c>
      <c r="M348" s="22" t="s">
        <v>49</v>
      </c>
      <c r="N348" s="22" t="s">
        <v>49</v>
      </c>
      <c r="O348" s="22" t="s">
        <v>49</v>
      </c>
      <c r="P348" s="22" t="s">
        <v>49</v>
      </c>
      <c r="Q348" s="22" t="s">
        <v>1505</v>
      </c>
      <c r="R348" s="22" t="s">
        <v>1506</v>
      </c>
    </row>
    <row r="349" ht="45.0" customHeight="1">
      <c r="A349" s="20" t="s">
        <v>1507</v>
      </c>
      <c r="B349" s="21" t="str">
        <f>IMAGE("https://raw.githubusercontent.com/ltdimages/images/refs/heads/main/Food224.png")</f>
        <v/>
      </c>
      <c r="C349" s="22" t="s">
        <v>1508</v>
      </c>
      <c r="D349" s="22" t="s">
        <v>1310</v>
      </c>
      <c r="E349" s="22" t="s">
        <v>1316</v>
      </c>
      <c r="F349" s="23" t="s">
        <v>407</v>
      </c>
      <c r="G349" s="23">
        <v>5.0</v>
      </c>
      <c r="H349" s="22" t="s">
        <v>45</v>
      </c>
      <c r="I349" s="22" t="s">
        <v>46</v>
      </c>
      <c r="J349" s="22" t="s">
        <v>45</v>
      </c>
      <c r="K349" s="22" t="s">
        <v>47</v>
      </c>
      <c r="L349" s="22" t="s">
        <v>48</v>
      </c>
      <c r="M349" s="22" t="s">
        <v>45</v>
      </c>
      <c r="N349" s="22" t="s">
        <v>49</v>
      </c>
      <c r="O349" s="22" t="s">
        <v>45</v>
      </c>
      <c r="P349" s="22" t="s">
        <v>49</v>
      </c>
      <c r="Q349" s="22" t="s">
        <v>1509</v>
      </c>
      <c r="R349" s="22" t="s">
        <v>1510</v>
      </c>
    </row>
    <row r="350" ht="45.0" customHeight="1">
      <c r="A350" s="20" t="s">
        <v>1511</v>
      </c>
      <c r="B350" s="21" t="str">
        <f>IMAGE("https://raw.githubusercontent.com/ltdimages/images/refs/heads/main/Food279.png")</f>
        <v/>
      </c>
      <c r="C350" s="22" t="s">
        <v>1512</v>
      </c>
      <c r="D350" s="22" t="s">
        <v>1310</v>
      </c>
      <c r="E350" s="22" t="s">
        <v>1311</v>
      </c>
      <c r="F350" s="23" t="s">
        <v>573</v>
      </c>
      <c r="G350" s="23">
        <v>2.0</v>
      </c>
      <c r="H350" s="22" t="s">
        <v>45</v>
      </c>
      <c r="I350" s="22" t="s">
        <v>46</v>
      </c>
      <c r="J350" s="22" t="s">
        <v>45</v>
      </c>
      <c r="K350" s="22" t="s">
        <v>56</v>
      </c>
      <c r="L350" s="22" t="s">
        <v>48</v>
      </c>
      <c r="M350" s="22" t="s">
        <v>49</v>
      </c>
      <c r="N350" s="22" t="s">
        <v>45</v>
      </c>
      <c r="O350" s="22" t="s">
        <v>45</v>
      </c>
      <c r="P350" s="22" t="s">
        <v>45</v>
      </c>
      <c r="Q350" s="22" t="s">
        <v>1513</v>
      </c>
      <c r="R350" s="22" t="s">
        <v>1514</v>
      </c>
    </row>
    <row r="351" ht="45.0" customHeight="1">
      <c r="A351" s="20" t="s">
        <v>1515</v>
      </c>
      <c r="B351" s="21" t="str">
        <f>IMAGE("https://raw.githubusercontent.com/ltdimages/images/refs/heads/main/Food378.png")</f>
        <v/>
      </c>
      <c r="C351" s="22" t="s">
        <v>1516</v>
      </c>
      <c r="D351" s="22" t="s">
        <v>1310</v>
      </c>
      <c r="E351" s="22" t="s">
        <v>1350</v>
      </c>
      <c r="F351" s="23" t="s">
        <v>407</v>
      </c>
      <c r="G351" s="23">
        <v>5.0</v>
      </c>
      <c r="H351" s="22" t="s">
        <v>45</v>
      </c>
      <c r="I351" s="22" t="s">
        <v>46</v>
      </c>
      <c r="J351" s="22" t="s">
        <v>45</v>
      </c>
      <c r="K351" s="22" t="s">
        <v>47</v>
      </c>
      <c r="L351" s="22" t="s">
        <v>48</v>
      </c>
      <c r="M351" s="22" t="s">
        <v>49</v>
      </c>
      <c r="N351" s="22" t="s">
        <v>49</v>
      </c>
      <c r="O351" s="22" t="s">
        <v>49</v>
      </c>
      <c r="P351" s="22" t="s">
        <v>49</v>
      </c>
      <c r="Q351" s="22" t="s">
        <v>1517</v>
      </c>
      <c r="R351" s="22" t="s">
        <v>1518</v>
      </c>
    </row>
    <row r="352" ht="45.0" customHeight="1">
      <c r="A352" s="20" t="s">
        <v>1519</v>
      </c>
      <c r="B352" s="21" t="str">
        <f>IMAGE("https://raw.githubusercontent.com/ltdimages/images/refs/heads/main/Food102.png")</f>
        <v/>
      </c>
      <c r="C352" s="22" t="s">
        <v>1520</v>
      </c>
      <c r="D352" s="22" t="s">
        <v>1310</v>
      </c>
      <c r="E352" s="22" t="s">
        <v>1350</v>
      </c>
      <c r="F352" s="23" t="s">
        <v>407</v>
      </c>
      <c r="G352" s="23">
        <v>1.5</v>
      </c>
      <c r="H352" s="22" t="s">
        <v>49</v>
      </c>
      <c r="I352" s="22" t="s">
        <v>46</v>
      </c>
      <c r="J352" s="22" t="s">
        <v>45</v>
      </c>
      <c r="K352" s="22" t="s">
        <v>47</v>
      </c>
      <c r="L352" s="22" t="s">
        <v>172</v>
      </c>
      <c r="M352" s="22" t="s">
        <v>49</v>
      </c>
      <c r="N352" s="22" t="s">
        <v>49</v>
      </c>
      <c r="O352" s="22" t="s">
        <v>49</v>
      </c>
      <c r="P352" s="22" t="s">
        <v>49</v>
      </c>
      <c r="Q352" s="22" t="s">
        <v>1521</v>
      </c>
      <c r="R352" s="22" t="s">
        <v>1522</v>
      </c>
    </row>
    <row r="353" ht="45.0" customHeight="1">
      <c r="A353" s="20" t="s">
        <v>1523</v>
      </c>
      <c r="B353" s="21" t="str">
        <f>IMAGE("https://raw.githubusercontent.com/ltdimages/images/refs/heads/main/Food452.png")</f>
        <v/>
      </c>
      <c r="C353" s="22" t="s">
        <v>1524</v>
      </c>
      <c r="D353" s="22" t="s">
        <v>1310</v>
      </c>
      <c r="E353" s="22" t="s">
        <v>1350</v>
      </c>
      <c r="F353" s="23" t="s">
        <v>407</v>
      </c>
      <c r="G353" s="23">
        <v>4.0</v>
      </c>
      <c r="H353" s="22" t="s">
        <v>49</v>
      </c>
      <c r="I353" s="22" t="s">
        <v>46</v>
      </c>
      <c r="J353" s="22" t="s">
        <v>45</v>
      </c>
      <c r="K353" s="22" t="s">
        <v>56</v>
      </c>
      <c r="L353" s="22" t="s">
        <v>48</v>
      </c>
      <c r="M353" s="22" t="s">
        <v>49</v>
      </c>
      <c r="N353" s="22" t="s">
        <v>49</v>
      </c>
      <c r="O353" s="22" t="s">
        <v>45</v>
      </c>
      <c r="P353" s="22" t="s">
        <v>45</v>
      </c>
      <c r="Q353" s="22" t="s">
        <v>1525</v>
      </c>
      <c r="R353" s="22" t="s">
        <v>1526</v>
      </c>
    </row>
    <row r="354" ht="45.0" customHeight="1">
      <c r="A354" s="20" t="s">
        <v>1527</v>
      </c>
      <c r="B354" s="21" t="str">
        <f>IMAGE("https://raw.githubusercontent.com/ltdimages/images/refs/heads/main/Food374.png")</f>
        <v/>
      </c>
      <c r="C354" s="22" t="s">
        <v>1528</v>
      </c>
      <c r="D354" s="22" t="s">
        <v>1310</v>
      </c>
      <c r="E354" s="22" t="s">
        <v>1350</v>
      </c>
      <c r="F354" s="23" t="s">
        <v>407</v>
      </c>
      <c r="G354" s="23">
        <v>1.0</v>
      </c>
      <c r="H354" s="22" t="s">
        <v>45</v>
      </c>
      <c r="I354" s="22" t="s">
        <v>46</v>
      </c>
      <c r="J354" s="22" t="s">
        <v>45</v>
      </c>
      <c r="K354" s="22" t="s">
        <v>47</v>
      </c>
      <c r="L354" s="22" t="s">
        <v>172</v>
      </c>
      <c r="M354" s="22" t="s">
        <v>49</v>
      </c>
      <c r="N354" s="22" t="s">
        <v>49</v>
      </c>
      <c r="O354" s="22" t="s">
        <v>49</v>
      </c>
      <c r="P354" s="22" t="s">
        <v>45</v>
      </c>
      <c r="Q354" s="22" t="s">
        <v>1529</v>
      </c>
      <c r="R354" s="22" t="s">
        <v>1530</v>
      </c>
    </row>
    <row r="355" ht="45.0" customHeight="1">
      <c r="A355" s="20" t="s">
        <v>1531</v>
      </c>
      <c r="B355" s="21" t="str">
        <f>IMAGE("https://raw.githubusercontent.com/ltdimages/images/refs/heads/main/Food280.png")</f>
        <v/>
      </c>
      <c r="C355" s="22" t="s">
        <v>1532</v>
      </c>
      <c r="D355" s="22" t="s">
        <v>1310</v>
      </c>
      <c r="E355" s="22" t="s">
        <v>1350</v>
      </c>
      <c r="F355" s="23"/>
      <c r="G355" s="23">
        <v>1.8</v>
      </c>
      <c r="H355" s="22" t="s">
        <v>49</v>
      </c>
      <c r="I355" s="22" t="s">
        <v>46</v>
      </c>
      <c r="J355" s="22" t="s">
        <v>45</v>
      </c>
      <c r="K355" s="22" t="s">
        <v>56</v>
      </c>
      <c r="L355" s="22" t="s">
        <v>172</v>
      </c>
      <c r="M355" s="22" t="s">
        <v>49</v>
      </c>
      <c r="N355" s="22" t="s">
        <v>49</v>
      </c>
      <c r="O355" s="22" t="s">
        <v>49</v>
      </c>
      <c r="P355" s="22" t="s">
        <v>49</v>
      </c>
      <c r="Q355" s="22" t="s">
        <v>1533</v>
      </c>
      <c r="R355" s="22" t="s">
        <v>1534</v>
      </c>
    </row>
    <row r="356" ht="45.0" customHeight="1">
      <c r="A356" s="20" t="s">
        <v>1535</v>
      </c>
      <c r="B356" s="21" t="str">
        <f>IMAGE("https://raw.githubusercontent.com/ltdimages/images/refs/heads/main/Food301.png")</f>
        <v/>
      </c>
      <c r="C356" s="22" t="s">
        <v>1536</v>
      </c>
      <c r="D356" s="22" t="s">
        <v>1310</v>
      </c>
      <c r="E356" s="22" t="s">
        <v>1350</v>
      </c>
      <c r="F356" s="23" t="s">
        <v>407</v>
      </c>
      <c r="G356" s="23">
        <v>4.0</v>
      </c>
      <c r="H356" s="22" t="s">
        <v>45</v>
      </c>
      <c r="I356" s="22" t="s">
        <v>46</v>
      </c>
      <c r="J356" s="22" t="s">
        <v>45</v>
      </c>
      <c r="K356" s="22" t="s">
        <v>56</v>
      </c>
      <c r="L356" s="22" t="s">
        <v>48</v>
      </c>
      <c r="M356" s="22" t="s">
        <v>49</v>
      </c>
      <c r="N356" s="22" t="s">
        <v>49</v>
      </c>
      <c r="O356" s="22" t="s">
        <v>49</v>
      </c>
      <c r="P356" s="22" t="s">
        <v>45</v>
      </c>
      <c r="Q356" s="22" t="s">
        <v>1537</v>
      </c>
      <c r="R356" s="22" t="s">
        <v>1538</v>
      </c>
    </row>
    <row r="357" ht="45.0" customHeight="1">
      <c r="A357" s="20" t="s">
        <v>1539</v>
      </c>
      <c r="B357" s="21" t="str">
        <f>IMAGE("https://raw.githubusercontent.com/ltdimages/images/refs/heads/main/Food170.png")</f>
        <v/>
      </c>
      <c r="C357" s="22" t="s">
        <v>1540</v>
      </c>
      <c r="D357" s="22" t="s">
        <v>1310</v>
      </c>
      <c r="E357" s="22" t="s">
        <v>1350</v>
      </c>
      <c r="F357" s="23" t="s">
        <v>407</v>
      </c>
      <c r="G357" s="23">
        <v>1.5</v>
      </c>
      <c r="H357" s="22" t="s">
        <v>49</v>
      </c>
      <c r="I357" s="22" t="s">
        <v>46</v>
      </c>
      <c r="J357" s="22" t="s">
        <v>45</v>
      </c>
      <c r="K357" s="22" t="s">
        <v>47</v>
      </c>
      <c r="L357" s="22" t="s">
        <v>172</v>
      </c>
      <c r="M357" s="22" t="s">
        <v>49</v>
      </c>
      <c r="N357" s="22" t="s">
        <v>49</v>
      </c>
      <c r="O357" s="22" t="s">
        <v>49</v>
      </c>
      <c r="P357" s="22" t="s">
        <v>49</v>
      </c>
      <c r="Q357" s="22" t="s">
        <v>1541</v>
      </c>
      <c r="R357" s="22" t="s">
        <v>1542</v>
      </c>
    </row>
    <row r="358" ht="45.0" customHeight="1">
      <c r="A358" s="20" t="s">
        <v>1543</v>
      </c>
      <c r="B358" s="21" t="str">
        <f>IMAGE("https://raw.githubusercontent.com/ltdimages/images/refs/heads/main/Food299.png")</f>
        <v/>
      </c>
      <c r="C358" s="22" t="s">
        <v>1544</v>
      </c>
      <c r="D358" s="22" t="s">
        <v>1310</v>
      </c>
      <c r="E358" s="22" t="s">
        <v>1311</v>
      </c>
      <c r="F358" s="23" t="s">
        <v>407</v>
      </c>
      <c r="G358" s="23">
        <v>4.5</v>
      </c>
      <c r="H358" s="22" t="s">
        <v>49</v>
      </c>
      <c r="I358" s="22" t="s">
        <v>46</v>
      </c>
      <c r="J358" s="22" t="s">
        <v>45</v>
      </c>
      <c r="K358" s="22" t="s">
        <v>56</v>
      </c>
      <c r="L358" s="22" t="s">
        <v>48</v>
      </c>
      <c r="M358" s="22" t="s">
        <v>49</v>
      </c>
      <c r="N358" s="22" t="s">
        <v>45</v>
      </c>
      <c r="O358" s="22" t="s">
        <v>49</v>
      </c>
      <c r="P358" s="22" t="s">
        <v>45</v>
      </c>
      <c r="Q358" s="22" t="s">
        <v>1545</v>
      </c>
      <c r="R358" s="22" t="s">
        <v>1546</v>
      </c>
    </row>
    <row r="359" ht="45.0" customHeight="1">
      <c r="A359" s="20" t="s">
        <v>1547</v>
      </c>
      <c r="B359" s="21" t="str">
        <f>IMAGE("https://raw.githubusercontent.com/ltdimages/images/refs/heads/main/Food465.png")</f>
        <v/>
      </c>
      <c r="C359" s="22" t="s">
        <v>1548</v>
      </c>
      <c r="D359" s="22" t="s">
        <v>1310</v>
      </c>
      <c r="E359" s="22" t="s">
        <v>1350</v>
      </c>
      <c r="F359" s="23" t="s">
        <v>407</v>
      </c>
      <c r="G359" s="23">
        <v>2.3</v>
      </c>
      <c r="H359" s="22" t="s">
        <v>45</v>
      </c>
      <c r="I359" s="22" t="s">
        <v>46</v>
      </c>
      <c r="J359" s="22" t="s">
        <v>45</v>
      </c>
      <c r="K359" s="22" t="s">
        <v>47</v>
      </c>
      <c r="L359" s="22" t="s">
        <v>48</v>
      </c>
      <c r="M359" s="22" t="s">
        <v>49</v>
      </c>
      <c r="N359" s="22" t="s">
        <v>49</v>
      </c>
      <c r="O359" s="22" t="s">
        <v>1549</v>
      </c>
      <c r="P359" s="22" t="s">
        <v>49</v>
      </c>
      <c r="Q359" s="22" t="s">
        <v>1550</v>
      </c>
      <c r="R359" s="22" t="s">
        <v>1551</v>
      </c>
    </row>
    <row r="360" ht="45.0" customHeight="1">
      <c r="A360" s="20" t="s">
        <v>1552</v>
      </c>
      <c r="B360" s="21" t="str">
        <f>IMAGE("https://raw.githubusercontent.com/ltdimages/images/refs/heads/main/Food281.png")</f>
        <v/>
      </c>
      <c r="C360" s="22" t="s">
        <v>1553</v>
      </c>
      <c r="D360" s="22" t="s">
        <v>1310</v>
      </c>
      <c r="E360" s="22" t="s">
        <v>1321</v>
      </c>
      <c r="F360" s="23" t="s">
        <v>1210</v>
      </c>
      <c r="G360" s="23">
        <v>6.0</v>
      </c>
      <c r="H360" s="22" t="s">
        <v>49</v>
      </c>
      <c r="I360" s="22" t="s">
        <v>46</v>
      </c>
      <c r="J360" s="22" t="s">
        <v>45</v>
      </c>
      <c r="K360" s="22" t="s">
        <v>56</v>
      </c>
      <c r="L360" s="22" t="s">
        <v>172</v>
      </c>
      <c r="M360" s="22" t="s">
        <v>49</v>
      </c>
      <c r="N360" s="22" t="s">
        <v>49</v>
      </c>
      <c r="O360" s="22" t="s">
        <v>45</v>
      </c>
      <c r="P360" s="22" t="s">
        <v>49</v>
      </c>
      <c r="Q360" s="22" t="s">
        <v>1554</v>
      </c>
      <c r="R360" s="22" t="s">
        <v>1555</v>
      </c>
    </row>
    <row r="361" ht="45.0" customHeight="1">
      <c r="A361" s="20" t="s">
        <v>1556</v>
      </c>
      <c r="B361" s="21" t="str">
        <f>IMAGE("https://raw.githubusercontent.com/ltdimages/images/refs/heads/main/Food046.png")</f>
        <v/>
      </c>
      <c r="C361" s="22" t="s">
        <v>1557</v>
      </c>
      <c r="D361" s="22" t="s">
        <v>1310</v>
      </c>
      <c r="E361" s="22" t="s">
        <v>1316</v>
      </c>
      <c r="F361" s="23" t="s">
        <v>131</v>
      </c>
      <c r="G361" s="23">
        <v>3.0</v>
      </c>
      <c r="H361" s="22" t="s">
        <v>45</v>
      </c>
      <c r="I361" s="22" t="s">
        <v>46</v>
      </c>
      <c r="J361" s="22" t="s">
        <v>45</v>
      </c>
      <c r="K361" s="22" t="s">
        <v>47</v>
      </c>
      <c r="L361" s="22" t="s">
        <v>172</v>
      </c>
      <c r="M361" s="22" t="s">
        <v>49</v>
      </c>
      <c r="N361" s="22" t="s">
        <v>49</v>
      </c>
      <c r="O361" s="22" t="s">
        <v>49</v>
      </c>
      <c r="P361" s="22" t="s">
        <v>49</v>
      </c>
      <c r="Q361" s="22" t="s">
        <v>1558</v>
      </c>
      <c r="R361" s="22" t="s">
        <v>1559</v>
      </c>
    </row>
    <row r="362" ht="45.0" customHeight="1">
      <c r="A362" s="20" t="s">
        <v>1560</v>
      </c>
      <c r="B362" s="21" t="str">
        <f>IMAGE("https://raw.githubusercontent.com/ltdimages/images/refs/heads/main/Food100.png")</f>
        <v/>
      </c>
      <c r="C362" s="22" t="s">
        <v>1561</v>
      </c>
      <c r="D362" s="22" t="s">
        <v>1310</v>
      </c>
      <c r="E362" s="22" t="s">
        <v>1316</v>
      </c>
      <c r="F362" s="23" t="s">
        <v>1210</v>
      </c>
      <c r="G362" s="23">
        <v>4.9</v>
      </c>
      <c r="H362" s="22" t="s">
        <v>45</v>
      </c>
      <c r="I362" s="22" t="s">
        <v>46</v>
      </c>
      <c r="J362" s="22" t="s">
        <v>45</v>
      </c>
      <c r="K362" s="22" t="s">
        <v>47</v>
      </c>
      <c r="L362" s="22" t="s">
        <v>172</v>
      </c>
      <c r="M362" s="22" t="s">
        <v>49</v>
      </c>
      <c r="N362" s="22" t="s">
        <v>49</v>
      </c>
      <c r="O362" s="22" t="s">
        <v>49</v>
      </c>
      <c r="P362" s="22" t="s">
        <v>49</v>
      </c>
      <c r="Q362" s="22" t="s">
        <v>1562</v>
      </c>
      <c r="R362" s="22" t="s">
        <v>1563</v>
      </c>
    </row>
    <row r="363" ht="45.0" customHeight="1">
      <c r="A363" s="20" t="s">
        <v>1564</v>
      </c>
      <c r="B363" s="21" t="str">
        <f>IMAGE("https://raw.githubusercontent.com/ltdimages/images/refs/heads/main/Food042.png")</f>
        <v/>
      </c>
      <c r="C363" s="22" t="s">
        <v>1565</v>
      </c>
      <c r="D363" s="22" t="s">
        <v>1310</v>
      </c>
      <c r="E363" s="22" t="s">
        <v>1350</v>
      </c>
      <c r="F363" s="23" t="s">
        <v>407</v>
      </c>
      <c r="G363" s="23">
        <v>1.0</v>
      </c>
      <c r="H363" s="22" t="s">
        <v>45</v>
      </c>
      <c r="I363" s="22" t="s">
        <v>46</v>
      </c>
      <c r="J363" s="22" t="s">
        <v>45</v>
      </c>
      <c r="K363" s="22" t="s">
        <v>47</v>
      </c>
      <c r="L363" s="22" t="s">
        <v>48</v>
      </c>
      <c r="M363" s="22" t="s">
        <v>49</v>
      </c>
      <c r="N363" s="22" t="s">
        <v>49</v>
      </c>
      <c r="O363" s="22" t="s">
        <v>49</v>
      </c>
      <c r="P363" s="22" t="s">
        <v>49</v>
      </c>
      <c r="Q363" s="22" t="s">
        <v>1566</v>
      </c>
      <c r="R363" s="22" t="s">
        <v>1567</v>
      </c>
    </row>
    <row r="364" ht="45.0" customHeight="1">
      <c r="A364" s="20" t="s">
        <v>1568</v>
      </c>
      <c r="B364" s="21" t="str">
        <f>IMAGE("https://raw.githubusercontent.com/ltdimages/images/refs/heads/main/Food197.png")</f>
        <v/>
      </c>
      <c r="C364" s="22" t="s">
        <v>1569</v>
      </c>
      <c r="D364" s="22" t="s">
        <v>1310</v>
      </c>
      <c r="E364" s="22" t="s">
        <v>1350</v>
      </c>
      <c r="F364" s="23" t="s">
        <v>407</v>
      </c>
      <c r="G364" s="23">
        <v>30.0</v>
      </c>
      <c r="H364" s="22" t="s">
        <v>45</v>
      </c>
      <c r="I364" s="22" t="s">
        <v>46</v>
      </c>
      <c r="J364" s="22" t="s">
        <v>45</v>
      </c>
      <c r="K364" s="22" t="s">
        <v>56</v>
      </c>
      <c r="L364" s="22" t="s">
        <v>48</v>
      </c>
      <c r="M364" s="22" t="s">
        <v>49</v>
      </c>
      <c r="N364" s="22" t="s">
        <v>49</v>
      </c>
      <c r="O364" s="22" t="s">
        <v>49</v>
      </c>
      <c r="P364" s="22" t="s">
        <v>1570</v>
      </c>
      <c r="Q364" s="22" t="s">
        <v>1571</v>
      </c>
      <c r="R364" s="22" t="s">
        <v>1572</v>
      </c>
    </row>
    <row r="365" ht="45.0" customHeight="1">
      <c r="A365" s="20" t="s">
        <v>1573</v>
      </c>
      <c r="B365" s="21" t="str">
        <f>IMAGE("https://raw.githubusercontent.com/ltdimages/images/refs/heads/main/Food283.png")</f>
        <v/>
      </c>
      <c r="C365" s="22" t="s">
        <v>1574</v>
      </c>
      <c r="D365" s="22" t="s">
        <v>1310</v>
      </c>
      <c r="E365" s="22" t="s">
        <v>1350</v>
      </c>
      <c r="F365" s="23" t="s">
        <v>407</v>
      </c>
      <c r="G365" s="23">
        <v>0.5</v>
      </c>
      <c r="H365" s="22" t="s">
        <v>45</v>
      </c>
      <c r="I365" s="22" t="s">
        <v>46</v>
      </c>
      <c r="J365" s="22" t="s">
        <v>45</v>
      </c>
      <c r="K365" s="22" t="s">
        <v>47</v>
      </c>
      <c r="L365" s="22" t="s">
        <v>48</v>
      </c>
      <c r="M365" s="22" t="s">
        <v>49</v>
      </c>
      <c r="N365" s="22" t="s">
        <v>49</v>
      </c>
      <c r="O365" s="22" t="s">
        <v>49</v>
      </c>
      <c r="P365" s="22" t="s">
        <v>49</v>
      </c>
      <c r="Q365" s="22" t="s">
        <v>1575</v>
      </c>
      <c r="R365" s="22" t="s">
        <v>1576</v>
      </c>
    </row>
    <row r="366" ht="45.0" customHeight="1">
      <c r="A366" s="20" t="s">
        <v>1577</v>
      </c>
      <c r="B366" s="21" t="str">
        <f>IMAGE("https://raw.githubusercontent.com/ltdimages/images/refs/heads/main/Food231.png")</f>
        <v/>
      </c>
      <c r="C366" s="22" t="s">
        <v>1578</v>
      </c>
      <c r="D366" s="22" t="s">
        <v>1310</v>
      </c>
      <c r="E366" s="22"/>
      <c r="F366" s="23" t="s">
        <v>407</v>
      </c>
      <c r="G366" s="23">
        <v>4.5</v>
      </c>
      <c r="H366" s="22" t="s">
        <v>49</v>
      </c>
      <c r="I366" s="22" t="s">
        <v>46</v>
      </c>
      <c r="J366" s="22" t="s">
        <v>45</v>
      </c>
      <c r="K366" s="22" t="s">
        <v>47</v>
      </c>
      <c r="L366" s="22" t="s">
        <v>48</v>
      </c>
      <c r="M366" s="22" t="s">
        <v>49</v>
      </c>
      <c r="N366" s="22" t="s">
        <v>49</v>
      </c>
      <c r="O366" s="22" t="s">
        <v>49</v>
      </c>
      <c r="P366" s="22" t="s">
        <v>49</v>
      </c>
      <c r="Q366" s="22" t="s">
        <v>1579</v>
      </c>
      <c r="R366" s="22" t="s">
        <v>1580</v>
      </c>
    </row>
    <row r="367" ht="45.0" customHeight="1">
      <c r="A367" s="20" t="s">
        <v>1581</v>
      </c>
      <c r="B367" s="21" t="str">
        <f>IMAGE("https://raw.githubusercontent.com/ltdimages/images/refs/heads/main/Food000.png")</f>
        <v/>
      </c>
      <c r="C367" s="22" t="s">
        <v>1582</v>
      </c>
      <c r="D367" s="22" t="s">
        <v>1310</v>
      </c>
      <c r="E367" s="22" t="s">
        <v>1350</v>
      </c>
      <c r="F367" s="23" t="s">
        <v>407</v>
      </c>
      <c r="G367" s="23">
        <v>2.5</v>
      </c>
      <c r="H367" s="22" t="s">
        <v>45</v>
      </c>
      <c r="I367" s="22" t="s">
        <v>46</v>
      </c>
      <c r="J367" s="22" t="s">
        <v>45</v>
      </c>
      <c r="K367" s="22" t="s">
        <v>47</v>
      </c>
      <c r="L367" s="22" t="s">
        <v>172</v>
      </c>
      <c r="M367" s="22" t="s">
        <v>49</v>
      </c>
      <c r="N367" s="22" t="s">
        <v>49</v>
      </c>
      <c r="O367" s="22" t="s">
        <v>49</v>
      </c>
      <c r="P367" s="22" t="s">
        <v>49</v>
      </c>
      <c r="Q367" s="22" t="s">
        <v>1583</v>
      </c>
      <c r="R367" s="22" t="s">
        <v>1584</v>
      </c>
    </row>
    <row r="368" ht="45.0" customHeight="1">
      <c r="A368" s="20" t="s">
        <v>1585</v>
      </c>
      <c r="B368" s="21" t="str">
        <f>IMAGE("https://raw.githubusercontent.com/ltdimages/images/refs/heads/main/Food284.png")</f>
        <v/>
      </c>
      <c r="C368" s="22" t="s">
        <v>1586</v>
      </c>
      <c r="D368" s="22" t="s">
        <v>1310</v>
      </c>
      <c r="E368" s="22" t="s">
        <v>1350</v>
      </c>
      <c r="F368" s="23" t="s">
        <v>407</v>
      </c>
      <c r="G368" s="23">
        <v>3.1</v>
      </c>
      <c r="H368" s="22" t="s">
        <v>45</v>
      </c>
      <c r="I368" s="22" t="s">
        <v>46</v>
      </c>
      <c r="J368" s="22" t="s">
        <v>45</v>
      </c>
      <c r="K368" s="22" t="s">
        <v>47</v>
      </c>
      <c r="L368" s="22" t="s">
        <v>172</v>
      </c>
      <c r="M368" s="22" t="s">
        <v>49</v>
      </c>
      <c r="N368" s="22" t="s">
        <v>49</v>
      </c>
      <c r="O368" s="22" t="s">
        <v>49</v>
      </c>
      <c r="P368" s="22" t="s">
        <v>49</v>
      </c>
      <c r="Q368" s="22" t="s">
        <v>1587</v>
      </c>
      <c r="R368" s="22" t="s">
        <v>1588</v>
      </c>
    </row>
    <row r="369" ht="45.0" customHeight="1">
      <c r="A369" s="20" t="s">
        <v>1589</v>
      </c>
      <c r="B369" s="21" t="str">
        <f>IMAGE("https://raw.githubusercontent.com/ltdimages/images/refs/heads/main/Food285.png")</f>
        <v/>
      </c>
      <c r="C369" s="22" t="s">
        <v>1590</v>
      </c>
      <c r="D369" s="22" t="s">
        <v>1310</v>
      </c>
      <c r="E369" s="22" t="s">
        <v>1350</v>
      </c>
      <c r="F369" s="23" t="s">
        <v>1210</v>
      </c>
      <c r="G369" s="23">
        <v>4.6</v>
      </c>
      <c r="H369" s="22" t="s">
        <v>49</v>
      </c>
      <c r="I369" s="22" t="s">
        <v>46</v>
      </c>
      <c r="J369" s="22" t="s">
        <v>45</v>
      </c>
      <c r="K369" s="22" t="s">
        <v>56</v>
      </c>
      <c r="L369" s="22" t="s">
        <v>48</v>
      </c>
      <c r="M369" s="22" t="s">
        <v>49</v>
      </c>
      <c r="N369" s="22" t="s">
        <v>45</v>
      </c>
      <c r="O369" s="22" t="s">
        <v>49</v>
      </c>
      <c r="P369" s="22" t="s">
        <v>45</v>
      </c>
      <c r="Q369" s="22" t="s">
        <v>1591</v>
      </c>
      <c r="R369" s="22" t="s">
        <v>1592</v>
      </c>
    </row>
    <row r="370" ht="45.0" customHeight="1">
      <c r="A370" s="20" t="s">
        <v>1593</v>
      </c>
      <c r="B370" s="21" t="str">
        <f>IMAGE("https://raw.githubusercontent.com/ltdimages/images/refs/heads/main/Food464.png")</f>
        <v/>
      </c>
      <c r="C370" s="22" t="s">
        <v>1594</v>
      </c>
      <c r="D370" s="22" t="s">
        <v>1310</v>
      </c>
      <c r="E370" s="22" t="s">
        <v>1350</v>
      </c>
      <c r="F370" s="23" t="s">
        <v>407</v>
      </c>
      <c r="G370" s="23">
        <v>5.2</v>
      </c>
      <c r="H370" s="22" t="s">
        <v>45</v>
      </c>
      <c r="I370" s="22" t="s">
        <v>46</v>
      </c>
      <c r="J370" s="22" t="s">
        <v>45</v>
      </c>
      <c r="K370" s="22" t="s">
        <v>56</v>
      </c>
      <c r="L370" s="22" t="s">
        <v>48</v>
      </c>
      <c r="M370" s="22" t="s">
        <v>49</v>
      </c>
      <c r="N370" s="22" t="s">
        <v>49</v>
      </c>
      <c r="O370" s="22" t="s">
        <v>1595</v>
      </c>
      <c r="P370" s="22" t="s">
        <v>45</v>
      </c>
      <c r="Q370" s="22" t="s">
        <v>1596</v>
      </c>
      <c r="R370" s="22" t="s">
        <v>1597</v>
      </c>
    </row>
    <row r="371" ht="45.0" customHeight="1">
      <c r="A371" s="20" t="s">
        <v>1598</v>
      </c>
      <c r="B371" s="21" t="str">
        <f>IMAGE("https://raw.githubusercontent.com/ltdimages/images/refs/heads/main/Food145.png")</f>
        <v/>
      </c>
      <c r="C371" s="22" t="s">
        <v>1599</v>
      </c>
      <c r="D371" s="22" t="s">
        <v>1310</v>
      </c>
      <c r="E371" s="22" t="s">
        <v>1316</v>
      </c>
      <c r="F371" s="23" t="s">
        <v>1210</v>
      </c>
      <c r="G371" s="23">
        <v>1.5</v>
      </c>
      <c r="H371" s="22" t="s">
        <v>45</v>
      </c>
      <c r="I371" s="22" t="s">
        <v>46</v>
      </c>
      <c r="J371" s="22" t="s">
        <v>45</v>
      </c>
      <c r="K371" s="22" t="s">
        <v>47</v>
      </c>
      <c r="L371" s="22" t="s">
        <v>172</v>
      </c>
      <c r="M371" s="22" t="s">
        <v>49</v>
      </c>
      <c r="N371" s="22" t="s">
        <v>49</v>
      </c>
      <c r="O371" s="22" t="s">
        <v>49</v>
      </c>
      <c r="P371" s="22" t="s">
        <v>49</v>
      </c>
      <c r="Q371" s="22" t="s">
        <v>1600</v>
      </c>
      <c r="R371" s="22" t="s">
        <v>1601</v>
      </c>
    </row>
    <row r="372" ht="45.0" customHeight="1">
      <c r="A372" s="20" t="s">
        <v>1602</v>
      </c>
      <c r="B372" s="21" t="str">
        <f>IMAGE("https://raw.githubusercontent.com/ltdimages/images/refs/heads/main/Food249.png")</f>
        <v/>
      </c>
      <c r="C372" s="22" t="s">
        <v>1603</v>
      </c>
      <c r="D372" s="22" t="s">
        <v>1310</v>
      </c>
      <c r="E372" s="22" t="s">
        <v>1350</v>
      </c>
      <c r="F372" s="23"/>
      <c r="G372" s="23">
        <v>0.7</v>
      </c>
      <c r="H372" s="22" t="s">
        <v>45</v>
      </c>
      <c r="I372" s="22" t="s">
        <v>46</v>
      </c>
      <c r="J372" s="22" t="s">
        <v>45</v>
      </c>
      <c r="K372" s="22" t="s">
        <v>47</v>
      </c>
      <c r="L372" s="22" t="s">
        <v>48</v>
      </c>
      <c r="M372" s="22" t="s">
        <v>49</v>
      </c>
      <c r="N372" s="22" t="s">
        <v>45</v>
      </c>
      <c r="O372" s="22" t="s">
        <v>49</v>
      </c>
      <c r="P372" s="22" t="s">
        <v>45</v>
      </c>
      <c r="Q372" s="22" t="s">
        <v>1604</v>
      </c>
      <c r="R372" s="22" t="s">
        <v>1605</v>
      </c>
    </row>
    <row r="373" ht="45.0" customHeight="1">
      <c r="A373" s="20" t="s">
        <v>1606</v>
      </c>
      <c r="B373" s="21" t="str">
        <f>IMAGE("https://raw.githubusercontent.com/ltdimages/images/refs/heads/main/Food105.png")</f>
        <v/>
      </c>
      <c r="C373" s="22" t="s">
        <v>1607</v>
      </c>
      <c r="D373" s="22" t="s">
        <v>1310</v>
      </c>
      <c r="E373" s="22" t="s">
        <v>1350</v>
      </c>
      <c r="F373" s="23" t="s">
        <v>407</v>
      </c>
      <c r="G373" s="23">
        <v>3.0</v>
      </c>
      <c r="H373" s="22" t="s">
        <v>45</v>
      </c>
      <c r="I373" s="22" t="s">
        <v>46</v>
      </c>
      <c r="J373" s="22" t="s">
        <v>45</v>
      </c>
      <c r="K373" s="22" t="s">
        <v>47</v>
      </c>
      <c r="L373" s="22" t="s">
        <v>48</v>
      </c>
      <c r="M373" s="22" t="s">
        <v>49</v>
      </c>
      <c r="N373" s="22" t="s">
        <v>49</v>
      </c>
      <c r="O373" s="22" t="s">
        <v>49</v>
      </c>
      <c r="P373" s="22" t="s">
        <v>49</v>
      </c>
      <c r="Q373" s="22" t="s">
        <v>1608</v>
      </c>
      <c r="R373" s="22" t="s">
        <v>1609</v>
      </c>
    </row>
    <row r="374" ht="45.0" customHeight="1">
      <c r="A374" s="20" t="s">
        <v>1610</v>
      </c>
      <c r="B374" s="21" t="str">
        <f>IMAGE("https://raw.githubusercontent.com/ltdimages/images/refs/heads/main/Food109.png")</f>
        <v/>
      </c>
      <c r="C374" s="22" t="s">
        <v>1611</v>
      </c>
      <c r="D374" s="22" t="s">
        <v>1310</v>
      </c>
      <c r="E374" s="22" t="s">
        <v>1350</v>
      </c>
      <c r="F374" s="23"/>
      <c r="G374" s="23">
        <v>5.0</v>
      </c>
      <c r="H374" s="22" t="s">
        <v>49</v>
      </c>
      <c r="I374" s="22" t="s">
        <v>46</v>
      </c>
      <c r="J374" s="22" t="s">
        <v>45</v>
      </c>
      <c r="K374" s="22" t="s">
        <v>47</v>
      </c>
      <c r="L374" s="22" t="s">
        <v>48</v>
      </c>
      <c r="M374" s="22" t="s">
        <v>49</v>
      </c>
      <c r="N374" s="22" t="s">
        <v>49</v>
      </c>
      <c r="O374" s="22" t="s">
        <v>49</v>
      </c>
      <c r="P374" s="22" t="s">
        <v>49</v>
      </c>
      <c r="Q374" s="22" t="s">
        <v>1612</v>
      </c>
      <c r="R374" s="22" t="s">
        <v>1613</v>
      </c>
    </row>
    <row r="375" ht="45.0" customHeight="1">
      <c r="A375" s="20" t="s">
        <v>1614</v>
      </c>
      <c r="B375" s="21" t="str">
        <f>IMAGE("https://raw.githubusercontent.com/ltdimages/images/refs/heads/main/Food147.png")</f>
        <v/>
      </c>
      <c r="C375" s="22" t="s">
        <v>1615</v>
      </c>
      <c r="D375" s="22" t="s">
        <v>1310</v>
      </c>
      <c r="E375" s="22" t="s">
        <v>1350</v>
      </c>
      <c r="F375" s="23" t="s">
        <v>407</v>
      </c>
      <c r="G375" s="23">
        <v>3.0</v>
      </c>
      <c r="H375" s="22" t="s">
        <v>45</v>
      </c>
      <c r="I375" s="22" t="s">
        <v>46</v>
      </c>
      <c r="J375" s="22" t="s">
        <v>45</v>
      </c>
      <c r="K375" s="22" t="s">
        <v>47</v>
      </c>
      <c r="L375" s="22" t="s">
        <v>172</v>
      </c>
      <c r="M375" s="22" t="s">
        <v>49</v>
      </c>
      <c r="N375" s="22" t="s">
        <v>49</v>
      </c>
      <c r="O375" s="22" t="s">
        <v>49</v>
      </c>
      <c r="P375" s="22" t="s">
        <v>49</v>
      </c>
      <c r="Q375" s="22" t="s">
        <v>1616</v>
      </c>
      <c r="R375" s="22" t="s">
        <v>1617</v>
      </c>
    </row>
    <row r="376" ht="45.0" customHeight="1">
      <c r="A376" s="20" t="s">
        <v>1618</v>
      </c>
      <c r="B376" s="21" t="str">
        <f>IMAGE("https://raw.githubusercontent.com/ltdimages/images/refs/heads/main/Food185.png")</f>
        <v/>
      </c>
      <c r="C376" s="22" t="s">
        <v>1619</v>
      </c>
      <c r="D376" s="22" t="s">
        <v>1310</v>
      </c>
      <c r="E376" s="22" t="s">
        <v>1316</v>
      </c>
      <c r="F376" s="23" t="s">
        <v>407</v>
      </c>
      <c r="G376" s="23">
        <v>9.0</v>
      </c>
      <c r="H376" s="22" t="s">
        <v>45</v>
      </c>
      <c r="I376" s="22" t="s">
        <v>46</v>
      </c>
      <c r="J376" s="22" t="s">
        <v>45</v>
      </c>
      <c r="K376" s="22" t="s">
        <v>47</v>
      </c>
      <c r="L376" s="22" t="s">
        <v>172</v>
      </c>
      <c r="M376" s="22" t="s">
        <v>49</v>
      </c>
      <c r="N376" s="22" t="s">
        <v>49</v>
      </c>
      <c r="O376" s="22" t="s">
        <v>49</v>
      </c>
      <c r="P376" s="22" t="s">
        <v>49</v>
      </c>
      <c r="Q376" s="22" t="s">
        <v>1620</v>
      </c>
      <c r="R376" s="22" t="s">
        <v>1621</v>
      </c>
    </row>
    <row r="377" ht="45.0" customHeight="1">
      <c r="A377" s="20" t="s">
        <v>1622</v>
      </c>
      <c r="B377" s="21" t="str">
        <f>IMAGE("https://raw.githubusercontent.com/ltdimages/images/refs/heads/main/Food441.png")</f>
        <v/>
      </c>
      <c r="C377" s="22" t="s">
        <v>1623</v>
      </c>
      <c r="D377" s="22" t="s">
        <v>1310</v>
      </c>
      <c r="E377" s="22" t="s">
        <v>1350</v>
      </c>
      <c r="F377" s="23" t="s">
        <v>407</v>
      </c>
      <c r="G377" s="23">
        <v>3.4</v>
      </c>
      <c r="H377" s="22" t="s">
        <v>45</v>
      </c>
      <c r="I377" s="22" t="s">
        <v>46</v>
      </c>
      <c r="J377" s="22" t="s">
        <v>45</v>
      </c>
      <c r="K377" s="22" t="s">
        <v>47</v>
      </c>
      <c r="L377" s="22" t="s">
        <v>48</v>
      </c>
      <c r="M377" s="22" t="s">
        <v>49</v>
      </c>
      <c r="N377" s="22" t="s">
        <v>45</v>
      </c>
      <c r="O377" s="22" t="s">
        <v>45</v>
      </c>
      <c r="P377" s="22" t="s">
        <v>45</v>
      </c>
      <c r="Q377" s="22" t="s">
        <v>1624</v>
      </c>
      <c r="R377" s="22" t="s">
        <v>1625</v>
      </c>
    </row>
    <row r="378" ht="45.0" customHeight="1">
      <c r="A378" s="20" t="s">
        <v>1626</v>
      </c>
      <c r="B378" s="21" t="str">
        <f>IMAGE("https://raw.githubusercontent.com/ltdimages/images/refs/heads/main/Food342.png")</f>
        <v/>
      </c>
      <c r="C378" s="22" t="s">
        <v>1627</v>
      </c>
      <c r="D378" s="22" t="s">
        <v>1310</v>
      </c>
      <c r="E378" s="22" t="s">
        <v>1350</v>
      </c>
      <c r="F378" s="23" t="s">
        <v>407</v>
      </c>
      <c r="G378" s="23">
        <v>7.0</v>
      </c>
      <c r="H378" s="22" t="s">
        <v>45</v>
      </c>
      <c r="I378" s="22" t="s">
        <v>46</v>
      </c>
      <c r="J378" s="22" t="s">
        <v>45</v>
      </c>
      <c r="K378" s="22" t="s">
        <v>47</v>
      </c>
      <c r="L378" s="22" t="s">
        <v>48</v>
      </c>
      <c r="M378" s="22" t="s">
        <v>45</v>
      </c>
      <c r="N378" s="22" t="s">
        <v>45</v>
      </c>
      <c r="O378" s="22" t="s">
        <v>49</v>
      </c>
      <c r="P378" s="22" t="s">
        <v>45</v>
      </c>
      <c r="Q378" s="22" t="s">
        <v>1628</v>
      </c>
      <c r="R378" s="22" t="s">
        <v>1629</v>
      </c>
    </row>
    <row r="379" ht="45.0" customHeight="1">
      <c r="A379" s="20" t="s">
        <v>1630</v>
      </c>
      <c r="B379" s="21" t="str">
        <f>IMAGE("https://raw.githubusercontent.com/ltdimages/images/refs/heads/main/Food149.png")</f>
        <v/>
      </c>
      <c r="C379" s="22" t="s">
        <v>1631</v>
      </c>
      <c r="D379" s="22" t="s">
        <v>1310</v>
      </c>
      <c r="E379" s="22" t="s">
        <v>1316</v>
      </c>
      <c r="F379" s="23" t="s">
        <v>407</v>
      </c>
      <c r="G379" s="23">
        <v>10.0</v>
      </c>
      <c r="H379" s="22" t="s">
        <v>45</v>
      </c>
      <c r="I379" s="22" t="s">
        <v>46</v>
      </c>
      <c r="J379" s="22" t="s">
        <v>45</v>
      </c>
      <c r="K379" s="22" t="s">
        <v>47</v>
      </c>
      <c r="L379" s="22" t="s">
        <v>172</v>
      </c>
      <c r="M379" s="22" t="s">
        <v>49</v>
      </c>
      <c r="N379" s="22" t="s">
        <v>49</v>
      </c>
      <c r="O379" s="22" t="s">
        <v>49</v>
      </c>
      <c r="P379" s="22" t="s">
        <v>49</v>
      </c>
      <c r="Q379" s="22" t="s">
        <v>1632</v>
      </c>
      <c r="R379" s="22" t="s">
        <v>1633</v>
      </c>
    </row>
    <row r="380" ht="45.0" customHeight="1">
      <c r="A380" s="20" t="s">
        <v>1634</v>
      </c>
      <c r="B380" s="21" t="str">
        <f>IMAGE("https://raw.githubusercontent.com/ltdimages/images/refs/heads/main/Food347.png")</f>
        <v/>
      </c>
      <c r="C380" s="22" t="s">
        <v>1635</v>
      </c>
      <c r="D380" s="22" t="s">
        <v>1310</v>
      </c>
      <c r="E380" s="22" t="s">
        <v>1321</v>
      </c>
      <c r="F380" s="23" t="s">
        <v>407</v>
      </c>
      <c r="G380" s="23">
        <v>2.0</v>
      </c>
      <c r="H380" s="22" t="s">
        <v>45</v>
      </c>
      <c r="I380" s="22" t="s">
        <v>46</v>
      </c>
      <c r="J380" s="22" t="s">
        <v>45</v>
      </c>
      <c r="K380" s="22" t="s">
        <v>47</v>
      </c>
      <c r="L380" s="22" t="s">
        <v>48</v>
      </c>
      <c r="M380" s="22" t="s">
        <v>45</v>
      </c>
      <c r="N380" s="22" t="s">
        <v>45</v>
      </c>
      <c r="O380" s="22" t="s">
        <v>951</v>
      </c>
      <c r="P380" s="22" t="s">
        <v>45</v>
      </c>
      <c r="Q380" s="22" t="s">
        <v>1636</v>
      </c>
      <c r="R380" s="22" t="s">
        <v>1637</v>
      </c>
    </row>
    <row r="381" ht="45.0" customHeight="1">
      <c r="A381" s="20" t="s">
        <v>1638</v>
      </c>
      <c r="B381" s="21" t="str">
        <f>IMAGE("https://raw.githubusercontent.com/ltdimages/images/refs/heads/main/Food381.png")</f>
        <v/>
      </c>
      <c r="C381" s="22" t="s">
        <v>1639</v>
      </c>
      <c r="D381" s="22" t="s">
        <v>1310</v>
      </c>
      <c r="E381" s="22" t="s">
        <v>1350</v>
      </c>
      <c r="F381" s="23" t="s">
        <v>407</v>
      </c>
      <c r="G381" s="23">
        <v>0.2</v>
      </c>
      <c r="H381" s="22" t="s">
        <v>45</v>
      </c>
      <c r="I381" s="22" t="s">
        <v>46</v>
      </c>
      <c r="J381" s="22" t="s">
        <v>45</v>
      </c>
      <c r="K381" s="22" t="s">
        <v>47</v>
      </c>
      <c r="L381" s="22" t="s">
        <v>48</v>
      </c>
      <c r="M381" s="22" t="s">
        <v>49</v>
      </c>
      <c r="N381" s="22" t="s">
        <v>49</v>
      </c>
      <c r="O381" s="22" t="s">
        <v>49</v>
      </c>
      <c r="P381" s="22" t="s">
        <v>49</v>
      </c>
      <c r="Q381" s="22" t="s">
        <v>1640</v>
      </c>
      <c r="R381" s="22" t="s">
        <v>1641</v>
      </c>
    </row>
    <row r="382" ht="45.0" customHeight="1">
      <c r="A382" s="20" t="s">
        <v>1642</v>
      </c>
      <c r="B382" s="21" t="str">
        <f>IMAGE("https://raw.githubusercontent.com/ltdimages/images/refs/heads/main/Food489.png")</f>
        <v/>
      </c>
      <c r="C382" s="22" t="s">
        <v>1643</v>
      </c>
      <c r="D382" s="22" t="s">
        <v>1310</v>
      </c>
      <c r="E382" s="22" t="s">
        <v>1350</v>
      </c>
      <c r="F382" s="23" t="s">
        <v>407</v>
      </c>
      <c r="G382" s="23">
        <v>0.0</v>
      </c>
      <c r="H382" s="22" t="s">
        <v>49</v>
      </c>
      <c r="I382" s="22" t="s">
        <v>46</v>
      </c>
      <c r="J382" s="22" t="s">
        <v>45</v>
      </c>
      <c r="K382" s="22" t="s">
        <v>47</v>
      </c>
      <c r="L382" s="22" t="s">
        <v>48</v>
      </c>
      <c r="M382" s="22" t="s">
        <v>45</v>
      </c>
      <c r="N382" s="22" t="s">
        <v>45</v>
      </c>
      <c r="O382" s="22" t="s">
        <v>45</v>
      </c>
      <c r="P382" s="22" t="s">
        <v>45</v>
      </c>
      <c r="Q382" s="22" t="s">
        <v>1644</v>
      </c>
      <c r="R382" s="22" t="s">
        <v>1645</v>
      </c>
    </row>
    <row r="383" ht="45.0" customHeight="1">
      <c r="A383" s="20" t="s">
        <v>1646</v>
      </c>
      <c r="B383" s="21" t="str">
        <f>IMAGE("https://raw.githubusercontent.com/ltdimages/images/refs/heads/main/Food151.png")</f>
        <v/>
      </c>
      <c r="C383" s="22" t="s">
        <v>1647</v>
      </c>
      <c r="D383" s="22" t="s">
        <v>1310</v>
      </c>
      <c r="E383" s="22" t="s">
        <v>1350</v>
      </c>
      <c r="F383" s="23" t="s">
        <v>407</v>
      </c>
      <c r="G383" s="23">
        <v>3.3</v>
      </c>
      <c r="H383" s="22" t="s">
        <v>45</v>
      </c>
      <c r="I383" s="22" t="s">
        <v>46</v>
      </c>
      <c r="J383" s="22" t="s">
        <v>45</v>
      </c>
      <c r="K383" s="22" t="s">
        <v>47</v>
      </c>
      <c r="L383" s="22" t="s">
        <v>48</v>
      </c>
      <c r="M383" s="22" t="s">
        <v>49</v>
      </c>
      <c r="N383" s="22" t="s">
        <v>49</v>
      </c>
      <c r="O383" s="22" t="s">
        <v>49</v>
      </c>
      <c r="P383" s="22" t="s">
        <v>49</v>
      </c>
      <c r="Q383" s="22" t="s">
        <v>1648</v>
      </c>
      <c r="R383" s="22" t="s">
        <v>1649</v>
      </c>
    </row>
    <row r="384" ht="45.0" customHeight="1">
      <c r="A384" s="20" t="s">
        <v>1650</v>
      </c>
      <c r="B384" s="21" t="str">
        <f>IMAGE("https://raw.githubusercontent.com/ltdimages/images/refs/heads/main/Food150.png")</f>
        <v/>
      </c>
      <c r="C384" s="22" t="s">
        <v>1651</v>
      </c>
      <c r="D384" s="22" t="s">
        <v>1310</v>
      </c>
      <c r="E384" s="22" t="s">
        <v>1350</v>
      </c>
      <c r="F384" s="23" t="s">
        <v>407</v>
      </c>
      <c r="G384" s="23">
        <v>6.2</v>
      </c>
      <c r="H384" s="22" t="s">
        <v>49</v>
      </c>
      <c r="I384" s="22" t="s">
        <v>46</v>
      </c>
      <c r="J384" s="22" t="s">
        <v>45</v>
      </c>
      <c r="K384" s="22" t="s">
        <v>56</v>
      </c>
      <c r="L384" s="22" t="s">
        <v>172</v>
      </c>
      <c r="M384" s="22" t="s">
        <v>49</v>
      </c>
      <c r="N384" s="22" t="s">
        <v>49</v>
      </c>
      <c r="O384" s="22" t="s">
        <v>49</v>
      </c>
      <c r="P384" s="22" t="s">
        <v>49</v>
      </c>
      <c r="Q384" s="22" t="s">
        <v>1652</v>
      </c>
      <c r="R384" s="22" t="s">
        <v>1653</v>
      </c>
    </row>
    <row r="385" ht="45.0" customHeight="1">
      <c r="A385" s="20" t="s">
        <v>1654</v>
      </c>
      <c r="B385" s="21" t="str">
        <f>IMAGE("https://raw.githubusercontent.com/ltdimages/images/refs/heads/main/Food322.png")</f>
        <v/>
      </c>
      <c r="C385" s="22" t="s">
        <v>1655</v>
      </c>
      <c r="D385" s="22" t="s">
        <v>1310</v>
      </c>
      <c r="E385" s="22" t="s">
        <v>1350</v>
      </c>
      <c r="F385" s="23" t="s">
        <v>407</v>
      </c>
      <c r="G385" s="23">
        <v>2.5</v>
      </c>
      <c r="H385" s="22" t="s">
        <v>49</v>
      </c>
      <c r="I385" s="22" t="s">
        <v>46</v>
      </c>
      <c r="J385" s="22" t="s">
        <v>45</v>
      </c>
      <c r="K385" s="22" t="s">
        <v>47</v>
      </c>
      <c r="L385" s="22" t="s">
        <v>172</v>
      </c>
      <c r="M385" s="22" t="s">
        <v>49</v>
      </c>
      <c r="N385" s="22" t="s">
        <v>45</v>
      </c>
      <c r="O385" s="22" t="s">
        <v>45</v>
      </c>
      <c r="P385" s="22" t="s">
        <v>45</v>
      </c>
      <c r="Q385" s="22" t="s">
        <v>1656</v>
      </c>
      <c r="R385" s="22" t="s">
        <v>1657</v>
      </c>
    </row>
    <row r="386" ht="45.0" customHeight="1">
      <c r="A386" s="20" t="s">
        <v>1658</v>
      </c>
      <c r="B386" s="21" t="str">
        <f>IMAGE("https://raw.githubusercontent.com/ltdimages/images/refs/heads/main/Food288.png")</f>
        <v/>
      </c>
      <c r="C386" s="22" t="s">
        <v>1659</v>
      </c>
      <c r="D386" s="22" t="s">
        <v>1310</v>
      </c>
      <c r="E386" s="22" t="s">
        <v>1350</v>
      </c>
      <c r="F386" s="23" t="s">
        <v>407</v>
      </c>
      <c r="G386" s="23">
        <v>2.2</v>
      </c>
      <c r="H386" s="22" t="s">
        <v>45</v>
      </c>
      <c r="I386" s="22" t="s">
        <v>46</v>
      </c>
      <c r="J386" s="22" t="s">
        <v>45</v>
      </c>
      <c r="K386" s="22" t="s">
        <v>47</v>
      </c>
      <c r="L386" s="22" t="s">
        <v>48</v>
      </c>
      <c r="M386" s="22" t="s">
        <v>49</v>
      </c>
      <c r="N386" s="22" t="s">
        <v>49</v>
      </c>
      <c r="O386" s="22" t="s">
        <v>49</v>
      </c>
      <c r="P386" s="22" t="s">
        <v>45</v>
      </c>
      <c r="Q386" s="22" t="s">
        <v>1660</v>
      </c>
      <c r="R386" s="22" t="s">
        <v>1661</v>
      </c>
    </row>
    <row r="387" ht="45.0" customHeight="1">
      <c r="A387" s="20" t="s">
        <v>1662</v>
      </c>
      <c r="B387" s="21" t="str">
        <f>IMAGE("https://raw.githubusercontent.com/ltdimages/images/refs/heads/main/Food112.png")</f>
        <v/>
      </c>
      <c r="C387" s="22" t="s">
        <v>1663</v>
      </c>
      <c r="D387" s="22" t="s">
        <v>1310</v>
      </c>
      <c r="E387" s="22" t="s">
        <v>1316</v>
      </c>
      <c r="F387" s="23" t="s">
        <v>1210</v>
      </c>
      <c r="G387" s="23">
        <v>1.0</v>
      </c>
      <c r="H387" s="22" t="s">
        <v>45</v>
      </c>
      <c r="I387" s="22" t="s">
        <v>46</v>
      </c>
      <c r="J387" s="22" t="s">
        <v>45</v>
      </c>
      <c r="K387" s="22" t="s">
        <v>47</v>
      </c>
      <c r="L387" s="22" t="s">
        <v>48</v>
      </c>
      <c r="M387" s="22" t="s">
        <v>49</v>
      </c>
      <c r="N387" s="22" t="s">
        <v>49</v>
      </c>
      <c r="O387" s="22" t="s">
        <v>49</v>
      </c>
      <c r="P387" s="22" t="s">
        <v>49</v>
      </c>
      <c r="Q387" s="22" t="s">
        <v>1664</v>
      </c>
      <c r="R387" s="22" t="s">
        <v>1665</v>
      </c>
    </row>
    <row r="388" ht="45.0" customHeight="1">
      <c r="A388" s="20" t="s">
        <v>1666</v>
      </c>
      <c r="B388" s="21" t="str">
        <f>IMAGE("https://raw.githubusercontent.com/ltdimages/images/refs/heads/main/Food382.png")</f>
        <v/>
      </c>
      <c r="C388" s="22" t="s">
        <v>1667</v>
      </c>
      <c r="D388" s="22" t="s">
        <v>1310</v>
      </c>
      <c r="E388" s="22" t="s">
        <v>1316</v>
      </c>
      <c r="F388" s="23" t="s">
        <v>407</v>
      </c>
      <c r="G388" s="23">
        <v>1.0</v>
      </c>
      <c r="H388" s="22" t="s">
        <v>45</v>
      </c>
      <c r="I388" s="22" t="s">
        <v>46</v>
      </c>
      <c r="J388" s="22" t="s">
        <v>45</v>
      </c>
      <c r="K388" s="22" t="s">
        <v>47</v>
      </c>
      <c r="L388" s="22" t="s">
        <v>172</v>
      </c>
      <c r="M388" s="22" t="s">
        <v>45</v>
      </c>
      <c r="N388" s="22" t="s">
        <v>49</v>
      </c>
      <c r="O388" s="22" t="s">
        <v>45</v>
      </c>
      <c r="P388" s="22" t="s">
        <v>45</v>
      </c>
      <c r="Q388" s="22" t="s">
        <v>1668</v>
      </c>
      <c r="R388" s="22" t="s">
        <v>1669</v>
      </c>
    </row>
    <row r="389" ht="45.0" customHeight="1">
      <c r="A389" s="20" t="s">
        <v>1670</v>
      </c>
      <c r="B389" s="21" t="str">
        <f>IMAGE("https://raw.githubusercontent.com/ltdimages/images/refs/heads/main/Food305.png")</f>
        <v/>
      </c>
      <c r="C389" s="22" t="s">
        <v>1671</v>
      </c>
      <c r="D389" s="22" t="s">
        <v>1310</v>
      </c>
      <c r="E389" s="22" t="s">
        <v>1311</v>
      </c>
      <c r="F389" s="23" t="s">
        <v>407</v>
      </c>
      <c r="G389" s="23">
        <v>1.2</v>
      </c>
      <c r="H389" s="22" t="s">
        <v>45</v>
      </c>
      <c r="I389" s="22" t="s">
        <v>46</v>
      </c>
      <c r="J389" s="22" t="s">
        <v>45</v>
      </c>
      <c r="K389" s="22" t="s">
        <v>56</v>
      </c>
      <c r="L389" s="22" t="s">
        <v>48</v>
      </c>
      <c r="M389" s="22" t="s">
        <v>49</v>
      </c>
      <c r="N389" s="22" t="s">
        <v>49</v>
      </c>
      <c r="O389" s="22" t="s">
        <v>49</v>
      </c>
      <c r="P389" s="22" t="s">
        <v>49</v>
      </c>
      <c r="Q389" s="22" t="s">
        <v>1672</v>
      </c>
      <c r="R389" s="22" t="s">
        <v>1673</v>
      </c>
    </row>
    <row r="390" ht="45.0" customHeight="1">
      <c r="A390" s="26" t="s">
        <v>1674</v>
      </c>
      <c r="B390" s="21" t="str">
        <f>IMAGE("https://raw.githubusercontent.com/ltdimages/images/refs/heads/main/Food252.png")</f>
        <v/>
      </c>
      <c r="C390" s="24" t="s">
        <v>1675</v>
      </c>
      <c r="D390" s="24" t="s">
        <v>1310</v>
      </c>
      <c r="E390" s="24" t="s">
        <v>1311</v>
      </c>
      <c r="F390" s="25" t="s">
        <v>407</v>
      </c>
      <c r="G390" s="25">
        <v>1.5</v>
      </c>
      <c r="H390" s="24" t="s">
        <v>45</v>
      </c>
      <c r="I390" s="24" t="s">
        <v>46</v>
      </c>
      <c r="J390" s="24" t="s">
        <v>45</v>
      </c>
      <c r="K390" s="24" t="s">
        <v>56</v>
      </c>
      <c r="L390" s="24" t="s">
        <v>48</v>
      </c>
      <c r="M390" s="24" t="s">
        <v>49</v>
      </c>
      <c r="N390" s="24" t="s">
        <v>49</v>
      </c>
      <c r="O390" s="24" t="s">
        <v>49</v>
      </c>
      <c r="P390" s="24" t="s">
        <v>49</v>
      </c>
      <c r="Q390" s="24" t="s">
        <v>1676</v>
      </c>
      <c r="R390" s="24" t="s">
        <v>1677</v>
      </c>
    </row>
    <row r="391" ht="45.0" customHeight="1">
      <c r="A391" s="26" t="s">
        <v>1678</v>
      </c>
      <c r="B391" s="21" t="str">
        <f>IMAGE("https://raw.githubusercontent.com/ltdimages/images/refs/heads/main/Food172.png")</f>
        <v/>
      </c>
      <c r="C391" s="22" t="s">
        <v>1679</v>
      </c>
      <c r="D391" s="22" t="s">
        <v>1310</v>
      </c>
      <c r="E391" s="22" t="s">
        <v>1350</v>
      </c>
      <c r="F391" s="23" t="s">
        <v>407</v>
      </c>
      <c r="G391" s="23">
        <v>4.0</v>
      </c>
      <c r="H391" s="22" t="s">
        <v>49</v>
      </c>
      <c r="I391" s="22" t="s">
        <v>46</v>
      </c>
      <c r="J391" s="22" t="s">
        <v>45</v>
      </c>
      <c r="K391" s="22" t="s">
        <v>86</v>
      </c>
      <c r="L391" s="22" t="s">
        <v>57</v>
      </c>
      <c r="M391" s="22" t="s">
        <v>49</v>
      </c>
      <c r="N391" s="22" t="s">
        <v>49</v>
      </c>
      <c r="O391" s="22" t="s">
        <v>49</v>
      </c>
      <c r="P391" s="22" t="s">
        <v>49</v>
      </c>
      <c r="Q391" s="22" t="s">
        <v>1680</v>
      </c>
      <c r="R391" s="22" t="s">
        <v>1681</v>
      </c>
    </row>
    <row r="392" ht="45.0" customHeight="1">
      <c r="A392" s="26" t="s">
        <v>1682</v>
      </c>
      <c r="B392" s="21" t="str">
        <f>IMAGE("https://raw.githubusercontent.com/ltdimages/images/refs/heads/main/Food310.png")</f>
        <v/>
      </c>
      <c r="C392" s="24" t="s">
        <v>1683</v>
      </c>
      <c r="D392" s="24" t="s">
        <v>1310</v>
      </c>
      <c r="E392" s="24" t="s">
        <v>1311</v>
      </c>
      <c r="F392" s="25" t="s">
        <v>407</v>
      </c>
      <c r="G392" s="25">
        <v>5.5</v>
      </c>
      <c r="H392" s="24" t="s">
        <v>49</v>
      </c>
      <c r="I392" s="24" t="s">
        <v>46</v>
      </c>
      <c r="J392" s="24" t="s">
        <v>45</v>
      </c>
      <c r="K392" s="24" t="s">
        <v>56</v>
      </c>
      <c r="L392" s="24" t="s">
        <v>48</v>
      </c>
      <c r="M392" s="24" t="s">
        <v>45</v>
      </c>
      <c r="N392" s="24" t="s">
        <v>45</v>
      </c>
      <c r="O392" s="24" t="s">
        <v>951</v>
      </c>
      <c r="P392" s="24" t="s">
        <v>45</v>
      </c>
      <c r="Q392" s="24" t="s">
        <v>1684</v>
      </c>
      <c r="R392" s="24" t="s">
        <v>1685</v>
      </c>
    </row>
    <row r="393" ht="45.0" customHeight="1">
      <c r="A393" s="26" t="s">
        <v>1686</v>
      </c>
      <c r="B393" s="21" t="str">
        <f>IMAGE("https://raw.githubusercontent.com/ltdimages/images/refs/heads/main/Food311.png")</f>
        <v/>
      </c>
      <c r="C393" s="24" t="s">
        <v>1687</v>
      </c>
      <c r="D393" s="24" t="s">
        <v>1310</v>
      </c>
      <c r="E393" s="24" t="s">
        <v>1311</v>
      </c>
      <c r="F393" s="25" t="s">
        <v>1210</v>
      </c>
      <c r="G393" s="25">
        <v>2.0</v>
      </c>
      <c r="H393" s="24" t="s">
        <v>49</v>
      </c>
      <c r="I393" s="24" t="s">
        <v>46</v>
      </c>
      <c r="J393" s="24" t="s">
        <v>45</v>
      </c>
      <c r="K393" s="24" t="s">
        <v>56</v>
      </c>
      <c r="L393" s="24" t="s">
        <v>48</v>
      </c>
      <c r="M393" s="24" t="s">
        <v>49</v>
      </c>
      <c r="N393" s="24" t="s">
        <v>45</v>
      </c>
      <c r="O393" s="24" t="s">
        <v>951</v>
      </c>
      <c r="P393" s="24" t="s">
        <v>45</v>
      </c>
      <c r="Q393" s="24" t="s">
        <v>1688</v>
      </c>
      <c r="R393" s="24" t="s">
        <v>1689</v>
      </c>
    </row>
    <row r="394" ht="45.0" customHeight="1">
      <c r="A394" s="26" t="s">
        <v>1690</v>
      </c>
      <c r="B394" s="21" t="str">
        <f>IMAGE("https://raw.githubusercontent.com/ltdimages/images/refs/heads/main/Food338.png")</f>
        <v/>
      </c>
      <c r="C394" s="24" t="s">
        <v>1691</v>
      </c>
      <c r="D394" s="24" t="s">
        <v>1310</v>
      </c>
      <c r="E394" s="24" t="s">
        <v>1350</v>
      </c>
      <c r="F394" s="25" t="s">
        <v>407</v>
      </c>
      <c r="G394" s="25">
        <v>2.8</v>
      </c>
      <c r="H394" s="24" t="s">
        <v>49</v>
      </c>
      <c r="I394" s="24" t="s">
        <v>46</v>
      </c>
      <c r="J394" s="24" t="s">
        <v>45</v>
      </c>
      <c r="K394" s="24" t="s">
        <v>47</v>
      </c>
      <c r="L394" s="24" t="s">
        <v>172</v>
      </c>
      <c r="M394" s="24" t="s">
        <v>49</v>
      </c>
      <c r="N394" s="24" t="s">
        <v>49</v>
      </c>
      <c r="O394" s="24" t="s">
        <v>49</v>
      </c>
      <c r="P394" s="24" t="s">
        <v>49</v>
      </c>
      <c r="Q394" s="24" t="s">
        <v>1692</v>
      </c>
      <c r="R394" s="24" t="s">
        <v>1693</v>
      </c>
    </row>
    <row r="395" ht="45.0" customHeight="1">
      <c r="A395" s="20" t="s">
        <v>1694</v>
      </c>
      <c r="B395" s="21" t="str">
        <f>IMAGE("https://raw.githubusercontent.com/ltdimages/images/refs/heads/main/Food323.png")</f>
        <v/>
      </c>
      <c r="C395" s="22" t="s">
        <v>1695</v>
      </c>
      <c r="D395" s="22" t="s">
        <v>1310</v>
      </c>
      <c r="E395" s="22" t="s">
        <v>1350</v>
      </c>
      <c r="F395" s="23" t="s">
        <v>407</v>
      </c>
      <c r="G395" s="23">
        <v>2.8</v>
      </c>
      <c r="H395" s="22" t="s">
        <v>45</v>
      </c>
      <c r="I395" s="22" t="s">
        <v>46</v>
      </c>
      <c r="J395" s="22" t="s">
        <v>45</v>
      </c>
      <c r="K395" s="22" t="s">
        <v>47</v>
      </c>
      <c r="L395" s="22" t="s">
        <v>172</v>
      </c>
      <c r="M395" s="22" t="s">
        <v>49</v>
      </c>
      <c r="N395" s="22" t="s">
        <v>49</v>
      </c>
      <c r="O395" s="22" t="s">
        <v>49</v>
      </c>
      <c r="P395" s="22" t="s">
        <v>45</v>
      </c>
      <c r="Q395" s="22" t="s">
        <v>1696</v>
      </c>
      <c r="R395" s="22" t="s">
        <v>1697</v>
      </c>
    </row>
    <row r="396" ht="45.0" customHeight="1">
      <c r="A396" s="26" t="s">
        <v>1698</v>
      </c>
      <c r="B396" s="21" t="str">
        <f>IMAGE("https://raw.githubusercontent.com/ltdimages/images/refs/heads/main/Food116.png")</f>
        <v/>
      </c>
      <c r="C396" s="22" t="s">
        <v>1699</v>
      </c>
      <c r="D396" s="22" t="s">
        <v>1310</v>
      </c>
      <c r="E396" s="22" t="s">
        <v>1316</v>
      </c>
      <c r="F396" s="23" t="s">
        <v>407</v>
      </c>
      <c r="G396" s="23">
        <v>4.8</v>
      </c>
      <c r="H396" s="22" t="s">
        <v>45</v>
      </c>
      <c r="I396" s="22" t="s">
        <v>46</v>
      </c>
      <c r="J396" s="22" t="s">
        <v>45</v>
      </c>
      <c r="K396" s="22" t="s">
        <v>47</v>
      </c>
      <c r="L396" s="22" t="s">
        <v>172</v>
      </c>
      <c r="M396" s="22" t="s">
        <v>49</v>
      </c>
      <c r="N396" s="22" t="s">
        <v>49</v>
      </c>
      <c r="O396" s="22" t="s">
        <v>49</v>
      </c>
      <c r="P396" s="22" t="s">
        <v>49</v>
      </c>
      <c r="Q396" s="22" t="s">
        <v>1700</v>
      </c>
      <c r="R396" s="22" t="s">
        <v>1701</v>
      </c>
    </row>
    <row r="397" ht="45.0" customHeight="1">
      <c r="A397" s="26" t="s">
        <v>1702</v>
      </c>
      <c r="B397" s="21" t="str">
        <f>IMAGE("https://raw.githubusercontent.com/ltdimages/images/refs/heads/main/Food155.png")</f>
        <v/>
      </c>
      <c r="C397" s="22" t="s">
        <v>1703</v>
      </c>
      <c r="D397" s="22" t="s">
        <v>1310</v>
      </c>
      <c r="E397" s="22"/>
      <c r="F397" s="23" t="s">
        <v>111</v>
      </c>
      <c r="G397" s="23">
        <v>3.7</v>
      </c>
      <c r="H397" s="22" t="s">
        <v>45</v>
      </c>
      <c r="I397" s="22" t="s">
        <v>46</v>
      </c>
      <c r="J397" s="22" t="s">
        <v>45</v>
      </c>
      <c r="K397" s="22" t="s">
        <v>56</v>
      </c>
      <c r="L397" s="22" t="s">
        <v>48</v>
      </c>
      <c r="M397" s="22" t="s">
        <v>49</v>
      </c>
      <c r="N397" s="22" t="s">
        <v>49</v>
      </c>
      <c r="O397" s="22" t="s">
        <v>49</v>
      </c>
      <c r="P397" s="22" t="s">
        <v>49</v>
      </c>
      <c r="Q397" s="22" t="s">
        <v>1704</v>
      </c>
      <c r="R397" s="22" t="s">
        <v>1705</v>
      </c>
    </row>
    <row r="398" ht="45.0" customHeight="1">
      <c r="A398" s="26" t="s">
        <v>1706</v>
      </c>
      <c r="B398" s="21" t="str">
        <f>IMAGE("https://raw.githubusercontent.com/ltdimages/images/refs/heads/main/Food156.png")</f>
        <v/>
      </c>
      <c r="C398" s="22" t="s">
        <v>1707</v>
      </c>
      <c r="D398" s="22" t="s">
        <v>1310</v>
      </c>
      <c r="E398" s="22" t="s">
        <v>1316</v>
      </c>
      <c r="F398" s="23" t="s">
        <v>407</v>
      </c>
      <c r="G398" s="23">
        <v>4.6</v>
      </c>
      <c r="H398" s="22" t="s">
        <v>45</v>
      </c>
      <c r="I398" s="22" t="s">
        <v>46</v>
      </c>
      <c r="J398" s="22" t="s">
        <v>45</v>
      </c>
      <c r="K398" s="22" t="s">
        <v>47</v>
      </c>
      <c r="L398" s="22" t="s">
        <v>172</v>
      </c>
      <c r="M398" s="22" t="s">
        <v>49</v>
      </c>
      <c r="N398" s="22" t="s">
        <v>49</v>
      </c>
      <c r="O398" s="22" t="s">
        <v>49</v>
      </c>
      <c r="P398" s="22" t="s">
        <v>49</v>
      </c>
      <c r="Q398" s="22" t="s">
        <v>1708</v>
      </c>
      <c r="R398" s="22" t="s">
        <v>1709</v>
      </c>
    </row>
    <row r="399" ht="45.0" customHeight="1">
      <c r="A399" s="20" t="s">
        <v>1710</v>
      </c>
      <c r="B399" s="21" t="str">
        <f>IMAGE("https://raw.githubusercontent.com/ltdimages/images/refs/heads/main/Food024.png")</f>
        <v/>
      </c>
      <c r="C399" s="22" t="s">
        <v>1711</v>
      </c>
      <c r="D399" s="22" t="s">
        <v>1310</v>
      </c>
      <c r="E399" s="22" t="s">
        <v>1316</v>
      </c>
      <c r="F399" s="23" t="s">
        <v>407</v>
      </c>
      <c r="G399" s="23">
        <v>2.0</v>
      </c>
      <c r="H399" s="22" t="s">
        <v>45</v>
      </c>
      <c r="I399" s="22" t="s">
        <v>46</v>
      </c>
      <c r="J399" s="22" t="s">
        <v>45</v>
      </c>
      <c r="K399" s="22" t="s">
        <v>47</v>
      </c>
      <c r="L399" s="22" t="s">
        <v>48</v>
      </c>
      <c r="M399" s="22" t="s">
        <v>45</v>
      </c>
      <c r="N399" s="22" t="s">
        <v>49</v>
      </c>
      <c r="O399" s="22" t="s">
        <v>49</v>
      </c>
      <c r="P399" s="22" t="s">
        <v>49</v>
      </c>
      <c r="Q399" s="22" t="s">
        <v>1712</v>
      </c>
      <c r="R399" s="22" t="s">
        <v>1713</v>
      </c>
    </row>
    <row r="400" ht="45.0" customHeight="1">
      <c r="A400" s="20" t="s">
        <v>1714</v>
      </c>
      <c r="B400" s="21" t="str">
        <f>IMAGE("https://raw.githubusercontent.com/ltdimages/images/refs/heads/main/Food189.png")</f>
        <v/>
      </c>
      <c r="C400" s="22" t="s">
        <v>1715</v>
      </c>
      <c r="D400" s="22" t="s">
        <v>1310</v>
      </c>
      <c r="E400" s="22" t="s">
        <v>1316</v>
      </c>
      <c r="F400" s="23" t="s">
        <v>1210</v>
      </c>
      <c r="G400" s="23">
        <v>9.8</v>
      </c>
      <c r="H400" s="22" t="s">
        <v>45</v>
      </c>
      <c r="I400" s="22" t="s">
        <v>46</v>
      </c>
      <c r="J400" s="22" t="s">
        <v>45</v>
      </c>
      <c r="K400" s="22" t="s">
        <v>56</v>
      </c>
      <c r="L400" s="22" t="s">
        <v>172</v>
      </c>
      <c r="M400" s="22" t="s">
        <v>49</v>
      </c>
      <c r="N400" s="22" t="s">
        <v>49</v>
      </c>
      <c r="O400" s="22" t="s">
        <v>49</v>
      </c>
      <c r="P400" s="22" t="s">
        <v>49</v>
      </c>
      <c r="Q400" s="22" t="s">
        <v>1716</v>
      </c>
      <c r="R400" s="22" t="s">
        <v>1717</v>
      </c>
    </row>
    <row r="401" ht="45.0" customHeight="1">
      <c r="A401" s="20" t="s">
        <v>1718</v>
      </c>
      <c r="B401" s="21" t="str">
        <f>IMAGE("https://raw.githubusercontent.com/ltdimages/images/refs/heads/main/Food484.png")</f>
        <v/>
      </c>
      <c r="C401" s="22" t="s">
        <v>1719</v>
      </c>
      <c r="D401" s="22" t="s">
        <v>1310</v>
      </c>
      <c r="E401" s="22" t="s">
        <v>1350</v>
      </c>
      <c r="F401" s="23" t="s">
        <v>407</v>
      </c>
      <c r="G401" s="23">
        <v>7.6</v>
      </c>
      <c r="H401" s="22" t="s">
        <v>49</v>
      </c>
      <c r="I401" s="22" t="s">
        <v>46</v>
      </c>
      <c r="J401" s="22" t="s">
        <v>45</v>
      </c>
      <c r="K401" s="22" t="s">
        <v>56</v>
      </c>
      <c r="L401" s="22" t="s">
        <v>48</v>
      </c>
      <c r="M401" s="22" t="s">
        <v>45</v>
      </c>
      <c r="N401" s="22" t="s">
        <v>49</v>
      </c>
      <c r="O401" s="22" t="s">
        <v>45</v>
      </c>
      <c r="P401" s="22" t="s">
        <v>45</v>
      </c>
      <c r="Q401" s="22" t="s">
        <v>1720</v>
      </c>
      <c r="R401" s="22" t="s">
        <v>1721</v>
      </c>
    </row>
    <row r="402" ht="45.0" customHeight="1">
      <c r="A402" s="20" t="s">
        <v>1722</v>
      </c>
      <c r="B402" s="21" t="str">
        <f>IMAGE("https://raw.githubusercontent.com/ltdimages/images/refs/heads/main/Food359.png")</f>
        <v/>
      </c>
      <c r="C402" s="22" t="s">
        <v>1723</v>
      </c>
      <c r="D402" s="22" t="s">
        <v>1310</v>
      </c>
      <c r="E402" s="22"/>
      <c r="F402" s="23" t="s">
        <v>111</v>
      </c>
      <c r="G402" s="23">
        <v>3.5</v>
      </c>
      <c r="H402" s="22" t="s">
        <v>49</v>
      </c>
      <c r="I402" s="22" t="s">
        <v>46</v>
      </c>
      <c r="J402" s="22" t="s">
        <v>45</v>
      </c>
      <c r="K402" s="22" t="s">
        <v>56</v>
      </c>
      <c r="L402" s="22" t="s">
        <v>48</v>
      </c>
      <c r="M402" s="22" t="s">
        <v>49</v>
      </c>
      <c r="N402" s="22" t="s">
        <v>49</v>
      </c>
      <c r="O402" s="22" t="s">
        <v>49</v>
      </c>
      <c r="P402" s="22" t="s">
        <v>49</v>
      </c>
      <c r="Q402" s="22" t="s">
        <v>1724</v>
      </c>
      <c r="R402" s="22" t="s">
        <v>1725</v>
      </c>
    </row>
    <row r="403" ht="45.0" customHeight="1">
      <c r="A403" s="20" t="s">
        <v>1726</v>
      </c>
      <c r="B403" s="21" t="str">
        <f>IMAGE("https://raw.githubusercontent.com/ltdimages/images/refs/heads/main/Food350.png")</f>
        <v/>
      </c>
      <c r="C403" s="22" t="s">
        <v>1727</v>
      </c>
      <c r="D403" s="22" t="s">
        <v>1310</v>
      </c>
      <c r="E403" s="22" t="s">
        <v>1321</v>
      </c>
      <c r="F403" s="23" t="s">
        <v>407</v>
      </c>
      <c r="G403" s="23">
        <v>4.8</v>
      </c>
      <c r="H403" s="22" t="s">
        <v>49</v>
      </c>
      <c r="I403" s="22" t="s">
        <v>46</v>
      </c>
      <c r="J403" s="22" t="s">
        <v>45</v>
      </c>
      <c r="K403" s="22" t="s">
        <v>56</v>
      </c>
      <c r="L403" s="22" t="s">
        <v>48</v>
      </c>
      <c r="M403" s="22" t="s">
        <v>45</v>
      </c>
      <c r="N403" s="22" t="s">
        <v>45</v>
      </c>
      <c r="O403" s="22" t="s">
        <v>951</v>
      </c>
      <c r="P403" s="22" t="s">
        <v>45</v>
      </c>
      <c r="Q403" s="22" t="s">
        <v>1728</v>
      </c>
      <c r="R403" s="22" t="s">
        <v>1729</v>
      </c>
    </row>
    <row r="404" ht="45.0" customHeight="1">
      <c r="A404" s="20" t="s">
        <v>1730</v>
      </c>
      <c r="B404" s="21" t="str">
        <f>IMAGE("https://raw.githubusercontent.com/ltdimages/images/refs/heads/main/Food223.png")</f>
        <v/>
      </c>
      <c r="C404" s="22" t="s">
        <v>1731</v>
      </c>
      <c r="D404" s="22" t="s">
        <v>1310</v>
      </c>
      <c r="E404" s="22" t="s">
        <v>1350</v>
      </c>
      <c r="F404" s="23" t="s">
        <v>111</v>
      </c>
      <c r="G404" s="23">
        <v>2.5</v>
      </c>
      <c r="H404" s="22" t="s">
        <v>45</v>
      </c>
      <c r="I404" s="22" t="s">
        <v>46</v>
      </c>
      <c r="J404" s="22" t="s">
        <v>45</v>
      </c>
      <c r="K404" s="22" t="s">
        <v>56</v>
      </c>
      <c r="L404" s="22" t="s">
        <v>48</v>
      </c>
      <c r="M404" s="22" t="s">
        <v>49</v>
      </c>
      <c r="N404" s="22" t="s">
        <v>49</v>
      </c>
      <c r="O404" s="22" t="s">
        <v>49</v>
      </c>
      <c r="P404" s="22" t="s">
        <v>49</v>
      </c>
      <c r="Q404" s="22" t="s">
        <v>1732</v>
      </c>
      <c r="R404" s="22" t="s">
        <v>1733</v>
      </c>
    </row>
    <row r="405" ht="45.0" customHeight="1">
      <c r="A405" s="20" t="s">
        <v>1734</v>
      </c>
      <c r="B405" s="21" t="str">
        <f>IMAGE("https://raw.githubusercontent.com/ltdimages/images/refs/heads/main/Food106.png")</f>
        <v/>
      </c>
      <c r="C405" s="22" t="s">
        <v>1735</v>
      </c>
      <c r="D405" s="22" t="s">
        <v>1310</v>
      </c>
      <c r="E405" s="22" t="s">
        <v>1350</v>
      </c>
      <c r="F405" s="23" t="s">
        <v>55</v>
      </c>
      <c r="G405" s="23">
        <v>1.3</v>
      </c>
      <c r="H405" s="22" t="s">
        <v>49</v>
      </c>
      <c r="I405" s="22" t="s">
        <v>46</v>
      </c>
      <c r="J405" s="22" t="s">
        <v>45</v>
      </c>
      <c r="K405" s="22" t="s">
        <v>56</v>
      </c>
      <c r="L405" s="22" t="s">
        <v>48</v>
      </c>
      <c r="M405" s="22" t="s">
        <v>49</v>
      </c>
      <c r="N405" s="22" t="s">
        <v>49</v>
      </c>
      <c r="O405" s="22" t="s">
        <v>49</v>
      </c>
      <c r="P405" s="22" t="s">
        <v>49</v>
      </c>
      <c r="Q405" s="22" t="s">
        <v>1736</v>
      </c>
      <c r="R405" s="22" t="s">
        <v>1737</v>
      </c>
    </row>
    <row r="406" ht="45.0" customHeight="1">
      <c r="A406" s="20" t="s">
        <v>1738</v>
      </c>
      <c r="B406" s="21" t="str">
        <f>IMAGE("https://raw.githubusercontent.com/ltdimages/images/refs/heads/main/Food157.png")</f>
        <v/>
      </c>
      <c r="C406" s="22" t="s">
        <v>1739</v>
      </c>
      <c r="D406" s="22" t="s">
        <v>1310</v>
      </c>
      <c r="E406" s="22" t="s">
        <v>1350</v>
      </c>
      <c r="F406" s="23" t="s">
        <v>111</v>
      </c>
      <c r="G406" s="23">
        <v>1.3</v>
      </c>
      <c r="H406" s="22" t="s">
        <v>45</v>
      </c>
      <c r="I406" s="22" t="s">
        <v>46</v>
      </c>
      <c r="J406" s="22" t="s">
        <v>45</v>
      </c>
      <c r="K406" s="22" t="s">
        <v>56</v>
      </c>
      <c r="L406" s="22" t="s">
        <v>48</v>
      </c>
      <c r="M406" s="22" t="s">
        <v>49</v>
      </c>
      <c r="N406" s="22" t="s">
        <v>49</v>
      </c>
      <c r="O406" s="22" t="s">
        <v>49</v>
      </c>
      <c r="P406" s="22" t="s">
        <v>49</v>
      </c>
      <c r="Q406" s="22" t="s">
        <v>1740</v>
      </c>
      <c r="R406" s="22" t="s">
        <v>1741</v>
      </c>
    </row>
    <row r="407" ht="45.0" customHeight="1">
      <c r="A407" s="20" t="s">
        <v>1742</v>
      </c>
      <c r="B407" s="21" t="str">
        <f>IMAGE("https://raw.githubusercontent.com/ltdimages/images/refs/heads/main/Food371.png")</f>
        <v/>
      </c>
      <c r="C407" s="22" t="s">
        <v>1743</v>
      </c>
      <c r="D407" s="22" t="s">
        <v>1310</v>
      </c>
      <c r="E407" s="22" t="s">
        <v>1350</v>
      </c>
      <c r="F407" s="23" t="s">
        <v>407</v>
      </c>
      <c r="G407" s="23">
        <v>6.9</v>
      </c>
      <c r="H407" s="22" t="s">
        <v>49</v>
      </c>
      <c r="I407" s="22" t="s">
        <v>46</v>
      </c>
      <c r="J407" s="22" t="s">
        <v>45</v>
      </c>
      <c r="K407" s="22" t="s">
        <v>56</v>
      </c>
      <c r="L407" s="22" t="s">
        <v>172</v>
      </c>
      <c r="M407" s="22" t="s">
        <v>49</v>
      </c>
      <c r="N407" s="22" t="s">
        <v>45</v>
      </c>
      <c r="O407" s="22" t="s">
        <v>49</v>
      </c>
      <c r="P407" s="22" t="s">
        <v>45</v>
      </c>
      <c r="Q407" s="22" t="s">
        <v>1744</v>
      </c>
      <c r="R407" s="22" t="s">
        <v>1745</v>
      </c>
    </row>
    <row r="408" ht="45.0" customHeight="1">
      <c r="A408" s="20" t="s">
        <v>1746</v>
      </c>
      <c r="B408" s="21" t="str">
        <f>IMAGE("https://raw.githubusercontent.com/ltdimages/images/refs/heads/main/Food269.png")</f>
        <v/>
      </c>
      <c r="C408" s="22" t="s">
        <v>1747</v>
      </c>
      <c r="D408" s="22" t="s">
        <v>1310</v>
      </c>
      <c r="E408" s="22" t="s">
        <v>1350</v>
      </c>
      <c r="F408" s="23"/>
      <c r="G408" s="23">
        <v>4.6</v>
      </c>
      <c r="H408" s="22" t="s">
        <v>49</v>
      </c>
      <c r="I408" s="22" t="s">
        <v>46</v>
      </c>
      <c r="J408" s="22" t="s">
        <v>45</v>
      </c>
      <c r="K408" s="22" t="s">
        <v>56</v>
      </c>
      <c r="L408" s="22" t="s">
        <v>48</v>
      </c>
      <c r="M408" s="22" t="s">
        <v>1748</v>
      </c>
      <c r="N408" s="22" t="s">
        <v>49</v>
      </c>
      <c r="O408" s="22" t="s">
        <v>49</v>
      </c>
      <c r="P408" s="22" t="s">
        <v>45</v>
      </c>
      <c r="Q408" s="22" t="s">
        <v>1749</v>
      </c>
      <c r="R408" s="22" t="s">
        <v>1750</v>
      </c>
    </row>
    <row r="409" ht="45.0" customHeight="1">
      <c r="A409" s="20" t="s">
        <v>1751</v>
      </c>
      <c r="B409" s="21" t="str">
        <f>IMAGE("https://raw.githubusercontent.com/ltdimages/images/refs/heads/main/Food289.png")</f>
        <v/>
      </c>
      <c r="C409" s="22" t="s">
        <v>1752</v>
      </c>
      <c r="D409" s="22" t="s">
        <v>1310</v>
      </c>
      <c r="E409" s="22" t="s">
        <v>1350</v>
      </c>
      <c r="F409" s="23"/>
      <c r="G409" s="23">
        <v>4.5</v>
      </c>
      <c r="H409" s="22" t="s">
        <v>45</v>
      </c>
      <c r="I409" s="22" t="s">
        <v>46</v>
      </c>
      <c r="J409" s="22" t="s">
        <v>45</v>
      </c>
      <c r="K409" s="22" t="s">
        <v>56</v>
      </c>
      <c r="L409" s="22" t="s">
        <v>48</v>
      </c>
      <c r="M409" s="22" t="s">
        <v>49</v>
      </c>
      <c r="N409" s="22" t="s">
        <v>49</v>
      </c>
      <c r="O409" s="22" t="s">
        <v>49</v>
      </c>
      <c r="P409" s="22" t="s">
        <v>45</v>
      </c>
      <c r="Q409" s="22" t="s">
        <v>1753</v>
      </c>
      <c r="R409" s="22" t="s">
        <v>1754</v>
      </c>
    </row>
    <row r="410" ht="45.0" customHeight="1">
      <c r="A410" s="20" t="s">
        <v>1755</v>
      </c>
      <c r="B410" s="21" t="str">
        <f>IMAGE("https://raw.githubusercontent.com/ltdimages/images/refs/heads/main/Food128.png")</f>
        <v/>
      </c>
      <c r="C410" s="22" t="s">
        <v>1756</v>
      </c>
      <c r="D410" s="22" t="s">
        <v>1310</v>
      </c>
      <c r="E410" s="22" t="s">
        <v>1350</v>
      </c>
      <c r="F410" s="23" t="s">
        <v>111</v>
      </c>
      <c r="G410" s="23">
        <v>1.0</v>
      </c>
      <c r="H410" s="22" t="s">
        <v>45</v>
      </c>
      <c r="I410" s="22" t="s">
        <v>46</v>
      </c>
      <c r="J410" s="22" t="s">
        <v>45</v>
      </c>
      <c r="K410" s="22" t="s">
        <v>47</v>
      </c>
      <c r="L410" s="22" t="s">
        <v>48</v>
      </c>
      <c r="M410" s="22" t="s">
        <v>45</v>
      </c>
      <c r="N410" s="22" t="s">
        <v>49</v>
      </c>
      <c r="O410" s="22" t="s">
        <v>49</v>
      </c>
      <c r="P410" s="22" t="s">
        <v>49</v>
      </c>
      <c r="Q410" s="22" t="s">
        <v>1757</v>
      </c>
      <c r="R410" s="22" t="s">
        <v>1758</v>
      </c>
    </row>
    <row r="411" ht="45.0" customHeight="1">
      <c r="A411" s="20" t="s">
        <v>1759</v>
      </c>
      <c r="B411" s="21" t="str">
        <f>IMAGE("https://raw.githubusercontent.com/ltdimages/images/refs/heads/main/Food348.png")</f>
        <v/>
      </c>
      <c r="C411" s="22" t="s">
        <v>1760</v>
      </c>
      <c r="D411" s="22" t="s">
        <v>1310</v>
      </c>
      <c r="E411" s="22" t="s">
        <v>1761</v>
      </c>
      <c r="F411" s="23" t="s">
        <v>407</v>
      </c>
      <c r="G411" s="23">
        <v>4.5</v>
      </c>
      <c r="H411" s="22" t="s">
        <v>49</v>
      </c>
      <c r="I411" s="22" t="s">
        <v>46</v>
      </c>
      <c r="J411" s="22" t="s">
        <v>45</v>
      </c>
      <c r="K411" s="22" t="s">
        <v>56</v>
      </c>
      <c r="L411" s="22" t="s">
        <v>48</v>
      </c>
      <c r="M411" s="22" t="s">
        <v>49</v>
      </c>
      <c r="N411" s="22" t="s">
        <v>45</v>
      </c>
      <c r="O411" s="22" t="s">
        <v>49</v>
      </c>
      <c r="P411" s="22" t="s">
        <v>45</v>
      </c>
      <c r="Q411" s="22" t="s">
        <v>1762</v>
      </c>
      <c r="R411" s="22" t="s">
        <v>1763</v>
      </c>
    </row>
    <row r="412" ht="45.0" customHeight="1">
      <c r="A412" s="20" t="s">
        <v>1764</v>
      </c>
      <c r="B412" s="21" t="str">
        <f>IMAGE("https://raw.githubusercontent.com/ltdimages/images/refs/heads/main/Food137.png")</f>
        <v/>
      </c>
      <c r="C412" s="22" t="s">
        <v>1765</v>
      </c>
      <c r="D412" s="22" t="s">
        <v>1310</v>
      </c>
      <c r="E412" s="22" t="s">
        <v>1350</v>
      </c>
      <c r="F412" s="23" t="s">
        <v>407</v>
      </c>
      <c r="G412" s="23">
        <v>5.8</v>
      </c>
      <c r="H412" s="22" t="s">
        <v>49</v>
      </c>
      <c r="I412" s="22" t="s">
        <v>46</v>
      </c>
      <c r="J412" s="22" t="s">
        <v>45</v>
      </c>
      <c r="K412" s="22" t="s">
        <v>56</v>
      </c>
      <c r="L412" s="22" t="s">
        <v>57</v>
      </c>
      <c r="M412" s="22" t="s">
        <v>49</v>
      </c>
      <c r="N412" s="22" t="s">
        <v>49</v>
      </c>
      <c r="O412" s="22" t="s">
        <v>49</v>
      </c>
      <c r="P412" s="22" t="s">
        <v>49</v>
      </c>
      <c r="Q412" s="22" t="s">
        <v>1766</v>
      </c>
      <c r="R412" s="22" t="s">
        <v>1767</v>
      </c>
    </row>
    <row r="413" ht="45.0" customHeight="1">
      <c r="A413" s="20" t="s">
        <v>1768</v>
      </c>
      <c r="B413" s="21" t="str">
        <f>IMAGE("https://raw.githubusercontent.com/ltdimages/images/refs/heads/main/Food290.png")</f>
        <v/>
      </c>
      <c r="C413" s="22" t="s">
        <v>1769</v>
      </c>
      <c r="D413" s="22" t="s">
        <v>1310</v>
      </c>
      <c r="E413" s="22" t="s">
        <v>1350</v>
      </c>
      <c r="F413" s="23" t="s">
        <v>407</v>
      </c>
      <c r="G413" s="23">
        <v>3.0</v>
      </c>
      <c r="H413" s="22" t="s">
        <v>45</v>
      </c>
      <c r="I413" s="22" t="s">
        <v>46</v>
      </c>
      <c r="J413" s="22" t="s">
        <v>45</v>
      </c>
      <c r="K413" s="22" t="s">
        <v>47</v>
      </c>
      <c r="L413" s="22" t="s">
        <v>48</v>
      </c>
      <c r="M413" s="22" t="s">
        <v>49</v>
      </c>
      <c r="N413" s="22" t="s">
        <v>45</v>
      </c>
      <c r="O413" s="22" t="s">
        <v>45</v>
      </c>
      <c r="P413" s="22" t="s">
        <v>45</v>
      </c>
      <c r="Q413" s="22" t="s">
        <v>1770</v>
      </c>
      <c r="R413" s="22" t="s">
        <v>1771</v>
      </c>
    </row>
    <row r="414" ht="45.0" customHeight="1">
      <c r="A414" s="20" t="s">
        <v>1772</v>
      </c>
      <c r="B414" s="21" t="str">
        <f>IMAGE("https://raw.githubusercontent.com/ltdimages/images/refs/heads/main/Food376.png")</f>
        <v/>
      </c>
      <c r="C414" s="22" t="s">
        <v>1773</v>
      </c>
      <c r="D414" s="22" t="s">
        <v>1310</v>
      </c>
      <c r="E414" s="22" t="s">
        <v>1350</v>
      </c>
      <c r="F414" s="23" t="s">
        <v>111</v>
      </c>
      <c r="G414" s="23">
        <v>1.0</v>
      </c>
      <c r="H414" s="22" t="s">
        <v>45</v>
      </c>
      <c r="I414" s="22" t="s">
        <v>46</v>
      </c>
      <c r="J414" s="22" t="s">
        <v>45</v>
      </c>
      <c r="K414" s="22" t="s">
        <v>47</v>
      </c>
      <c r="L414" s="22" t="s">
        <v>48</v>
      </c>
      <c r="M414" s="22" t="s">
        <v>49</v>
      </c>
      <c r="N414" s="22" t="s">
        <v>49</v>
      </c>
      <c r="O414" s="22" t="s">
        <v>49</v>
      </c>
      <c r="P414" s="22" t="s">
        <v>49</v>
      </c>
      <c r="Q414" s="22" t="s">
        <v>1774</v>
      </c>
      <c r="R414" s="22" t="s">
        <v>1775</v>
      </c>
    </row>
    <row r="415" ht="45.0" customHeight="1">
      <c r="A415" s="20" t="s">
        <v>1776</v>
      </c>
      <c r="B415" s="21" t="str">
        <f>IMAGE("https://raw.githubusercontent.com/ltdimages/images/refs/heads/main/Food025.png")</f>
        <v/>
      </c>
      <c r="C415" s="22" t="s">
        <v>1777</v>
      </c>
      <c r="D415" s="22" t="s">
        <v>1310</v>
      </c>
      <c r="E415" s="22" t="s">
        <v>1350</v>
      </c>
      <c r="F415" s="23" t="s">
        <v>407</v>
      </c>
      <c r="G415" s="23">
        <v>1.5</v>
      </c>
      <c r="H415" s="22" t="s">
        <v>49</v>
      </c>
      <c r="I415" s="22" t="s">
        <v>46</v>
      </c>
      <c r="J415" s="22" t="s">
        <v>45</v>
      </c>
      <c r="K415" s="22" t="s">
        <v>47</v>
      </c>
      <c r="L415" s="22" t="s">
        <v>172</v>
      </c>
      <c r="M415" s="22" t="s">
        <v>49</v>
      </c>
      <c r="N415" s="22" t="s">
        <v>45</v>
      </c>
      <c r="O415" s="22" t="s">
        <v>49</v>
      </c>
      <c r="P415" s="22" t="s">
        <v>49</v>
      </c>
      <c r="Q415" s="22" t="s">
        <v>1778</v>
      </c>
      <c r="R415" s="22" t="s">
        <v>1779</v>
      </c>
    </row>
    <row r="416" ht="45.0" customHeight="1">
      <c r="A416" s="20" t="s">
        <v>1780</v>
      </c>
      <c r="B416" s="21" t="str">
        <f>IMAGE("https://raw.githubusercontent.com/ltdimages/images/refs/heads/main/Food075.png")</f>
        <v/>
      </c>
      <c r="C416" s="22" t="s">
        <v>1781</v>
      </c>
      <c r="D416" s="22" t="s">
        <v>1310</v>
      </c>
      <c r="E416" s="22" t="s">
        <v>1350</v>
      </c>
      <c r="F416" s="23" t="s">
        <v>407</v>
      </c>
      <c r="G416" s="23">
        <v>2.5</v>
      </c>
      <c r="H416" s="22" t="s">
        <v>45</v>
      </c>
      <c r="I416" s="22" t="s">
        <v>46</v>
      </c>
      <c r="J416" s="22" t="s">
        <v>45</v>
      </c>
      <c r="K416" s="22" t="s">
        <v>47</v>
      </c>
      <c r="L416" s="22" t="s">
        <v>172</v>
      </c>
      <c r="M416" s="22" t="s">
        <v>49</v>
      </c>
      <c r="N416" s="22" t="s">
        <v>49</v>
      </c>
      <c r="O416" s="22" t="s">
        <v>49</v>
      </c>
      <c r="P416" s="22" t="s">
        <v>49</v>
      </c>
      <c r="Q416" s="22" t="s">
        <v>1782</v>
      </c>
      <c r="R416" s="22" t="s">
        <v>1783</v>
      </c>
    </row>
    <row r="417" ht="45.0" customHeight="1">
      <c r="A417" s="20" t="s">
        <v>1784</v>
      </c>
      <c r="B417" s="21" t="str">
        <f>IMAGE("https://raw.githubusercontent.com/ltdimages/images/refs/heads/main/Food473.png")</f>
        <v/>
      </c>
      <c r="C417" s="22" t="s">
        <v>1785</v>
      </c>
      <c r="D417" s="22" t="s">
        <v>1310</v>
      </c>
      <c r="E417" s="22" t="s">
        <v>1350</v>
      </c>
      <c r="F417" s="23" t="s">
        <v>407</v>
      </c>
      <c r="G417" s="23">
        <v>6.0</v>
      </c>
      <c r="H417" s="22" t="s">
        <v>49</v>
      </c>
      <c r="I417" s="22" t="s">
        <v>46</v>
      </c>
      <c r="J417" s="22" t="s">
        <v>45</v>
      </c>
      <c r="K417" s="22" t="s">
        <v>56</v>
      </c>
      <c r="L417" s="22" t="s">
        <v>48</v>
      </c>
      <c r="M417" s="22" t="s">
        <v>45</v>
      </c>
      <c r="N417" s="22" t="s">
        <v>762</v>
      </c>
      <c r="O417" s="22" t="s">
        <v>45</v>
      </c>
      <c r="P417" s="22" t="s">
        <v>45</v>
      </c>
      <c r="Q417" s="22" t="s">
        <v>1786</v>
      </c>
      <c r="R417" s="22" t="s">
        <v>1787</v>
      </c>
    </row>
    <row r="418" ht="45.0" customHeight="1">
      <c r="A418" s="20" t="s">
        <v>1788</v>
      </c>
      <c r="B418" s="21" t="str">
        <f>IMAGE("https://raw.githubusercontent.com/ltdimages/images/refs/heads/main/Food354.png")</f>
        <v/>
      </c>
      <c r="C418" s="22" t="s">
        <v>1789</v>
      </c>
      <c r="D418" s="22" t="s">
        <v>1310</v>
      </c>
      <c r="E418" s="22" t="s">
        <v>182</v>
      </c>
      <c r="F418" s="23" t="s">
        <v>407</v>
      </c>
      <c r="G418" s="23">
        <v>5.0</v>
      </c>
      <c r="H418" s="22" t="s">
        <v>49</v>
      </c>
      <c r="I418" s="22" t="s">
        <v>46</v>
      </c>
      <c r="J418" s="22" t="s">
        <v>45</v>
      </c>
      <c r="K418" s="22" t="s">
        <v>56</v>
      </c>
      <c r="L418" s="22" t="s">
        <v>57</v>
      </c>
      <c r="M418" s="22" t="s">
        <v>49</v>
      </c>
      <c r="N418" s="22" t="s">
        <v>49</v>
      </c>
      <c r="O418" s="22" t="s">
        <v>49</v>
      </c>
      <c r="P418" s="22" t="s">
        <v>49</v>
      </c>
      <c r="Q418" s="22" t="s">
        <v>1790</v>
      </c>
      <c r="R418" s="22" t="s">
        <v>1791</v>
      </c>
    </row>
    <row r="419" ht="45.0" customHeight="1">
      <c r="A419" s="20" t="s">
        <v>1792</v>
      </c>
      <c r="B419" s="21" t="str">
        <f>IMAGE("https://raw.githubusercontent.com/ltdimages/images/refs/heads/main/Food460.png")</f>
        <v/>
      </c>
      <c r="C419" s="22" t="s">
        <v>1793</v>
      </c>
      <c r="D419" s="22" t="s">
        <v>1310</v>
      </c>
      <c r="E419" s="22" t="s">
        <v>1311</v>
      </c>
      <c r="F419" s="23" t="s">
        <v>407</v>
      </c>
      <c r="G419" s="23">
        <v>8.0</v>
      </c>
      <c r="H419" s="22" t="s">
        <v>45</v>
      </c>
      <c r="I419" s="22" t="s">
        <v>46</v>
      </c>
      <c r="J419" s="22" t="s">
        <v>45</v>
      </c>
      <c r="K419" s="22" t="s">
        <v>56</v>
      </c>
      <c r="L419" s="22" t="s">
        <v>48</v>
      </c>
      <c r="M419" s="22" t="s">
        <v>45</v>
      </c>
      <c r="N419" s="22" t="s">
        <v>45</v>
      </c>
      <c r="O419" s="22" t="s">
        <v>951</v>
      </c>
      <c r="P419" s="22" t="s">
        <v>49</v>
      </c>
      <c r="Q419" s="22" t="s">
        <v>1794</v>
      </c>
      <c r="R419" s="22" t="s">
        <v>1795</v>
      </c>
    </row>
    <row r="420" ht="45.0" customHeight="1">
      <c r="A420" s="20" t="s">
        <v>1796</v>
      </c>
      <c r="B420" s="21" t="str">
        <f>IMAGE("https://raw.githubusercontent.com/ltdimages/images/refs/heads/main/Food005.png")</f>
        <v/>
      </c>
      <c r="C420" s="22" t="s">
        <v>1797</v>
      </c>
      <c r="D420" s="22" t="s">
        <v>1310</v>
      </c>
      <c r="E420" s="22" t="s">
        <v>1316</v>
      </c>
      <c r="F420" s="23" t="s">
        <v>1210</v>
      </c>
      <c r="G420" s="23">
        <v>4.8</v>
      </c>
      <c r="H420" s="22" t="s">
        <v>45</v>
      </c>
      <c r="I420" s="22" t="s">
        <v>46</v>
      </c>
      <c r="J420" s="22" t="s">
        <v>45</v>
      </c>
      <c r="K420" s="22" t="s">
        <v>47</v>
      </c>
      <c r="L420" s="22" t="s">
        <v>172</v>
      </c>
      <c r="M420" s="22" t="s">
        <v>49</v>
      </c>
      <c r="N420" s="22" t="s">
        <v>49</v>
      </c>
      <c r="O420" s="22" t="s">
        <v>49</v>
      </c>
      <c r="P420" s="22" t="s">
        <v>49</v>
      </c>
      <c r="Q420" s="22" t="s">
        <v>1798</v>
      </c>
      <c r="R420" s="22" t="s">
        <v>1799</v>
      </c>
    </row>
    <row r="421" ht="45.0" customHeight="1">
      <c r="A421" s="20" t="s">
        <v>1800</v>
      </c>
      <c r="B421" s="21" t="str">
        <f>IMAGE("https://raw.githubusercontent.com/ltdimages/images/refs/heads/main/Food064.png")</f>
        <v/>
      </c>
      <c r="C421" s="22" t="s">
        <v>1801</v>
      </c>
      <c r="D421" s="22" t="s">
        <v>1310</v>
      </c>
      <c r="E421" s="22" t="s">
        <v>1350</v>
      </c>
      <c r="F421" s="23" t="s">
        <v>407</v>
      </c>
      <c r="G421" s="23">
        <v>4.0</v>
      </c>
      <c r="H421" s="22" t="s">
        <v>45</v>
      </c>
      <c r="I421" s="22" t="s">
        <v>46</v>
      </c>
      <c r="J421" s="22" t="s">
        <v>45</v>
      </c>
      <c r="K421" s="22" t="s">
        <v>47</v>
      </c>
      <c r="L421" s="22" t="s">
        <v>172</v>
      </c>
      <c r="M421" s="22" t="s">
        <v>49</v>
      </c>
      <c r="N421" s="22" t="s">
        <v>49</v>
      </c>
      <c r="O421" s="22" t="s">
        <v>49</v>
      </c>
      <c r="P421" s="22" t="s">
        <v>49</v>
      </c>
      <c r="Q421" s="22" t="s">
        <v>1802</v>
      </c>
      <c r="R421" s="22" t="s">
        <v>1803</v>
      </c>
    </row>
    <row r="422" ht="45.0" customHeight="1">
      <c r="A422" s="20" t="s">
        <v>1804</v>
      </c>
      <c r="B422" s="21" t="str">
        <f>IMAGE("https://raw.githubusercontent.com/ltdimages/images/refs/heads/main/Food242.png")</f>
        <v/>
      </c>
      <c r="C422" s="22" t="s">
        <v>1805</v>
      </c>
      <c r="D422" s="22" t="s">
        <v>1310</v>
      </c>
      <c r="E422" s="22"/>
      <c r="F422" s="23"/>
      <c r="G422" s="23">
        <v>3.0</v>
      </c>
      <c r="H422" s="22" t="s">
        <v>49</v>
      </c>
      <c r="I422" s="22" t="s">
        <v>46</v>
      </c>
      <c r="J422" s="22" t="s">
        <v>45</v>
      </c>
      <c r="K422" s="22" t="s">
        <v>47</v>
      </c>
      <c r="L422" s="22" t="s">
        <v>48</v>
      </c>
      <c r="M422" s="22" t="s">
        <v>49</v>
      </c>
      <c r="N422" s="22" t="s">
        <v>49</v>
      </c>
      <c r="O422" s="22" t="s">
        <v>49</v>
      </c>
      <c r="P422" s="22" t="s">
        <v>45</v>
      </c>
      <c r="Q422" s="22" t="s">
        <v>1806</v>
      </c>
      <c r="R422" s="22" t="s">
        <v>1807</v>
      </c>
    </row>
    <row r="423" ht="45.0" customHeight="1">
      <c r="A423" s="20" t="s">
        <v>1808</v>
      </c>
      <c r="B423" s="21" t="str">
        <f>IMAGE("https://raw.githubusercontent.com/ltdimages/images/refs/heads/main/Food066.png")</f>
        <v/>
      </c>
      <c r="C423" s="22" t="s">
        <v>1809</v>
      </c>
      <c r="D423" s="22" t="s">
        <v>1310</v>
      </c>
      <c r="E423" s="22" t="s">
        <v>1350</v>
      </c>
      <c r="F423" s="23" t="s">
        <v>407</v>
      </c>
      <c r="G423" s="23">
        <v>3.8</v>
      </c>
      <c r="H423" s="22" t="s">
        <v>45</v>
      </c>
      <c r="I423" s="22" t="s">
        <v>46</v>
      </c>
      <c r="J423" s="22" t="s">
        <v>45</v>
      </c>
      <c r="K423" s="22" t="s">
        <v>47</v>
      </c>
      <c r="L423" s="22" t="s">
        <v>48</v>
      </c>
      <c r="M423" s="22" t="s">
        <v>45</v>
      </c>
      <c r="N423" s="22" t="s">
        <v>49</v>
      </c>
      <c r="O423" s="22" t="s">
        <v>49</v>
      </c>
      <c r="P423" s="22" t="s">
        <v>49</v>
      </c>
      <c r="Q423" s="22" t="s">
        <v>1810</v>
      </c>
      <c r="R423" s="22" t="s">
        <v>1811</v>
      </c>
    </row>
    <row r="424" ht="45.0" customHeight="1">
      <c r="A424" s="20" t="s">
        <v>1812</v>
      </c>
      <c r="B424" s="21" t="str">
        <f>IMAGE("https://raw.githubusercontent.com/ltdimages/images/refs/heads/main/Food077.png")</f>
        <v/>
      </c>
      <c r="C424" s="22" t="s">
        <v>1813</v>
      </c>
      <c r="D424" s="22" t="s">
        <v>1310</v>
      </c>
      <c r="E424" s="22" t="s">
        <v>1350</v>
      </c>
      <c r="F424" s="23" t="s">
        <v>407</v>
      </c>
      <c r="G424" s="23">
        <v>2.0</v>
      </c>
      <c r="H424" s="22" t="s">
        <v>45</v>
      </c>
      <c r="I424" s="22" t="s">
        <v>46</v>
      </c>
      <c r="J424" s="22" t="s">
        <v>45</v>
      </c>
      <c r="K424" s="22" t="s">
        <v>47</v>
      </c>
      <c r="L424" s="22" t="s">
        <v>57</v>
      </c>
      <c r="M424" s="22" t="s">
        <v>45</v>
      </c>
      <c r="N424" s="22" t="s">
        <v>49</v>
      </c>
      <c r="O424" s="22" t="s">
        <v>45</v>
      </c>
      <c r="P424" s="22" t="s">
        <v>49</v>
      </c>
      <c r="Q424" s="22" t="s">
        <v>1814</v>
      </c>
      <c r="R424" s="22" t="s">
        <v>1815</v>
      </c>
    </row>
    <row r="425" ht="45.0" customHeight="1">
      <c r="A425" s="20" t="s">
        <v>1816</v>
      </c>
      <c r="B425" s="21" t="str">
        <f>IMAGE("https://raw.githubusercontent.com/ltdimages/images/refs/heads/main/Food478.png")</f>
        <v/>
      </c>
      <c r="C425" s="22" t="s">
        <v>1817</v>
      </c>
      <c r="D425" s="22" t="s">
        <v>1310</v>
      </c>
      <c r="E425" s="22" t="s">
        <v>1350</v>
      </c>
      <c r="F425" s="23" t="s">
        <v>407</v>
      </c>
      <c r="G425" s="23">
        <v>7.6</v>
      </c>
      <c r="H425" s="22" t="s">
        <v>49</v>
      </c>
      <c r="I425" s="22" t="s">
        <v>46</v>
      </c>
      <c r="J425" s="22" t="s">
        <v>45</v>
      </c>
      <c r="K425" s="22" t="s">
        <v>56</v>
      </c>
      <c r="L425" s="22" t="s">
        <v>48</v>
      </c>
      <c r="M425" s="22" t="s">
        <v>45</v>
      </c>
      <c r="N425" s="22" t="s">
        <v>1818</v>
      </c>
      <c r="O425" s="22" t="s">
        <v>45</v>
      </c>
      <c r="P425" s="22" t="s">
        <v>45</v>
      </c>
      <c r="Q425" s="22" t="s">
        <v>1819</v>
      </c>
      <c r="R425" s="22" t="s">
        <v>1820</v>
      </c>
    </row>
    <row r="426" ht="45.0" customHeight="1">
      <c r="A426" s="20" t="s">
        <v>1821</v>
      </c>
      <c r="B426" s="21" t="str">
        <f>IMAGE("https://raw.githubusercontent.com/ltdimages/images/refs/heads/main/Food164.png")</f>
        <v/>
      </c>
      <c r="C426" s="22" t="s">
        <v>1822</v>
      </c>
      <c r="D426" s="22" t="s">
        <v>1310</v>
      </c>
      <c r="E426" s="22" t="s">
        <v>1350</v>
      </c>
      <c r="F426" s="23" t="s">
        <v>407</v>
      </c>
      <c r="G426" s="23">
        <v>5.0</v>
      </c>
      <c r="H426" s="22" t="s">
        <v>49</v>
      </c>
      <c r="I426" s="22" t="s">
        <v>46</v>
      </c>
      <c r="J426" s="22" t="s">
        <v>45</v>
      </c>
      <c r="K426" s="22" t="s">
        <v>56</v>
      </c>
      <c r="L426" s="22" t="s">
        <v>172</v>
      </c>
      <c r="M426" s="22" t="s">
        <v>49</v>
      </c>
      <c r="N426" s="22" t="s">
        <v>49</v>
      </c>
      <c r="O426" s="22" t="s">
        <v>49</v>
      </c>
      <c r="P426" s="22" t="s">
        <v>49</v>
      </c>
      <c r="Q426" s="22" t="s">
        <v>1823</v>
      </c>
      <c r="R426" s="22" t="s">
        <v>1824</v>
      </c>
    </row>
    <row r="427" ht="45.0" customHeight="1">
      <c r="A427" s="20" t="s">
        <v>1825</v>
      </c>
      <c r="B427" s="21" t="str">
        <f>IMAGE("https://raw.githubusercontent.com/ltdimages/images/refs/heads/main/Food466.png")</f>
        <v/>
      </c>
      <c r="C427" s="22" t="s">
        <v>1826</v>
      </c>
      <c r="D427" s="22" t="s">
        <v>1310</v>
      </c>
      <c r="E427" s="22" t="s">
        <v>1350</v>
      </c>
      <c r="F427" s="23" t="s">
        <v>407</v>
      </c>
      <c r="G427" s="23">
        <v>5.0</v>
      </c>
      <c r="H427" s="22" t="s">
        <v>45</v>
      </c>
      <c r="I427" s="22" t="s">
        <v>46</v>
      </c>
      <c r="J427" s="22" t="s">
        <v>45</v>
      </c>
      <c r="K427" s="22" t="s">
        <v>47</v>
      </c>
      <c r="L427" s="22" t="s">
        <v>48</v>
      </c>
      <c r="M427" s="22" t="s">
        <v>49</v>
      </c>
      <c r="N427" s="22" t="s">
        <v>45</v>
      </c>
      <c r="O427" s="22" t="s">
        <v>1827</v>
      </c>
      <c r="P427" s="22" t="s">
        <v>45</v>
      </c>
      <c r="Q427" s="22" t="s">
        <v>1828</v>
      </c>
      <c r="R427" s="22" t="s">
        <v>1829</v>
      </c>
    </row>
    <row r="428" ht="45.0" customHeight="1">
      <c r="A428" s="20" t="s">
        <v>1830</v>
      </c>
      <c r="B428" s="21" t="str">
        <f>IMAGE("https://raw.githubusercontent.com/ltdimages/images/refs/heads/main/Food463.png")</f>
        <v/>
      </c>
      <c r="C428" s="22" t="s">
        <v>1831</v>
      </c>
      <c r="D428" s="22" t="s">
        <v>1310</v>
      </c>
      <c r="E428" s="22" t="s">
        <v>1311</v>
      </c>
      <c r="F428" s="23" t="s">
        <v>407</v>
      </c>
      <c r="G428" s="23">
        <v>7.0</v>
      </c>
      <c r="H428" s="22" t="s">
        <v>49</v>
      </c>
      <c r="I428" s="22" t="s">
        <v>46</v>
      </c>
      <c r="J428" s="22" t="s">
        <v>45</v>
      </c>
      <c r="K428" s="22" t="s">
        <v>56</v>
      </c>
      <c r="L428" s="22" t="s">
        <v>48</v>
      </c>
      <c r="M428" s="22" t="s">
        <v>45</v>
      </c>
      <c r="N428" s="22" t="s">
        <v>45</v>
      </c>
      <c r="O428" s="22" t="s">
        <v>1004</v>
      </c>
      <c r="P428" s="22" t="s">
        <v>45</v>
      </c>
      <c r="Q428" s="22" t="s">
        <v>1832</v>
      </c>
      <c r="R428" s="22" t="s">
        <v>1833</v>
      </c>
    </row>
    <row r="429" ht="45.0" customHeight="1">
      <c r="A429" s="20" t="s">
        <v>1834</v>
      </c>
      <c r="B429" s="21" t="str">
        <f>IMAGE("https://raw.githubusercontent.com/ltdimages/images/refs/heads/main/Food058.png")</f>
        <v/>
      </c>
      <c r="C429" s="22" t="s">
        <v>1835</v>
      </c>
      <c r="D429" s="22" t="s">
        <v>1310</v>
      </c>
      <c r="E429" s="22" t="s">
        <v>1350</v>
      </c>
      <c r="F429" s="23" t="s">
        <v>407</v>
      </c>
      <c r="G429" s="23">
        <v>3.0</v>
      </c>
      <c r="H429" s="22" t="s">
        <v>45</v>
      </c>
      <c r="I429" s="22" t="s">
        <v>46</v>
      </c>
      <c r="J429" s="22" t="s">
        <v>45</v>
      </c>
      <c r="K429" s="22" t="s">
        <v>47</v>
      </c>
      <c r="L429" s="22" t="s">
        <v>48</v>
      </c>
      <c r="M429" s="22" t="s">
        <v>45</v>
      </c>
      <c r="N429" s="22" t="s">
        <v>45</v>
      </c>
      <c r="O429" s="22" t="s">
        <v>45</v>
      </c>
      <c r="P429" s="22" t="s">
        <v>49</v>
      </c>
      <c r="Q429" s="22" t="s">
        <v>1836</v>
      </c>
      <c r="R429" s="22" t="s">
        <v>1837</v>
      </c>
    </row>
    <row r="430" ht="45.0" customHeight="1">
      <c r="A430" s="20" t="s">
        <v>1838</v>
      </c>
      <c r="B430" s="21" t="str">
        <f>IMAGE("https://raw.githubusercontent.com/ltdimages/images/refs/heads/main/Food317.png")</f>
        <v/>
      </c>
      <c r="C430" s="22" t="s">
        <v>1839</v>
      </c>
      <c r="D430" s="22" t="s">
        <v>1310</v>
      </c>
      <c r="E430" s="22" t="s">
        <v>1350</v>
      </c>
      <c r="F430" s="23" t="s">
        <v>407</v>
      </c>
      <c r="G430" s="23">
        <v>5.2</v>
      </c>
      <c r="H430" s="22" t="s">
        <v>45</v>
      </c>
      <c r="I430" s="22" t="s">
        <v>46</v>
      </c>
      <c r="J430" s="22" t="s">
        <v>45</v>
      </c>
      <c r="K430" s="22" t="s">
        <v>47</v>
      </c>
      <c r="L430" s="22" t="s">
        <v>48</v>
      </c>
      <c r="M430" s="22" t="s">
        <v>49</v>
      </c>
      <c r="N430" s="22" t="s">
        <v>45</v>
      </c>
      <c r="O430" s="22" t="s">
        <v>951</v>
      </c>
      <c r="P430" s="22" t="s">
        <v>45</v>
      </c>
      <c r="Q430" s="22" t="s">
        <v>1840</v>
      </c>
      <c r="R430" s="22" t="s">
        <v>1841</v>
      </c>
    </row>
    <row r="431" ht="45.0" customHeight="1">
      <c r="A431" s="20" t="s">
        <v>1842</v>
      </c>
      <c r="B431" s="21" t="str">
        <f>IMAGE("https://raw.githubusercontent.com/ltdimages/images/refs/heads/main/Food168.png")</f>
        <v/>
      </c>
      <c r="C431" s="22" t="s">
        <v>1843</v>
      </c>
      <c r="D431" s="22" t="s">
        <v>1310</v>
      </c>
      <c r="E431" s="22" t="s">
        <v>1350</v>
      </c>
      <c r="F431" s="23" t="s">
        <v>407</v>
      </c>
      <c r="G431" s="23">
        <v>2.0</v>
      </c>
      <c r="H431" s="22" t="s">
        <v>45</v>
      </c>
      <c r="I431" s="22" t="s">
        <v>46</v>
      </c>
      <c r="J431" s="22" t="s">
        <v>45</v>
      </c>
      <c r="K431" s="22" t="s">
        <v>47</v>
      </c>
      <c r="L431" s="22" t="s">
        <v>48</v>
      </c>
      <c r="M431" s="22" t="s">
        <v>49</v>
      </c>
      <c r="N431" s="22" t="s">
        <v>49</v>
      </c>
      <c r="O431" s="22" t="s">
        <v>49</v>
      </c>
      <c r="P431" s="22" t="s">
        <v>49</v>
      </c>
      <c r="Q431" s="22" t="s">
        <v>1844</v>
      </c>
      <c r="R431" s="22" t="s">
        <v>1845</v>
      </c>
    </row>
    <row r="432" ht="45.0" customHeight="1">
      <c r="A432" s="20" t="s">
        <v>1846</v>
      </c>
      <c r="B432" s="21" t="str">
        <f>IMAGE("https://raw.githubusercontent.com/ltdimages/images/refs/heads/main/Food361.png")</f>
        <v/>
      </c>
      <c r="C432" s="22" t="s">
        <v>1847</v>
      </c>
      <c r="D432" s="22" t="s">
        <v>1310</v>
      </c>
      <c r="E432" s="22" t="s">
        <v>1316</v>
      </c>
      <c r="F432" s="23"/>
      <c r="G432" s="23">
        <v>3.0</v>
      </c>
      <c r="H432" s="22" t="s">
        <v>49</v>
      </c>
      <c r="I432" s="22" t="s">
        <v>46</v>
      </c>
      <c r="J432" s="22" t="s">
        <v>45</v>
      </c>
      <c r="K432" s="22" t="s">
        <v>47</v>
      </c>
      <c r="L432" s="22" t="s">
        <v>48</v>
      </c>
      <c r="M432" s="22" t="s">
        <v>49</v>
      </c>
      <c r="N432" s="22" t="s">
        <v>49</v>
      </c>
      <c r="O432" s="22" t="s">
        <v>49</v>
      </c>
      <c r="P432" s="22" t="s">
        <v>49</v>
      </c>
      <c r="Q432" s="22" t="s">
        <v>1848</v>
      </c>
      <c r="R432" s="22" t="s">
        <v>1849</v>
      </c>
    </row>
    <row r="433" ht="45.0" customHeight="1">
      <c r="A433" s="20" t="s">
        <v>1850</v>
      </c>
      <c r="B433" s="21" t="str">
        <f>IMAGE("https://raw.githubusercontent.com/ltdimages/images/refs/heads/main/Food067.png")</f>
        <v/>
      </c>
      <c r="C433" s="22" t="s">
        <v>1851</v>
      </c>
      <c r="D433" s="22" t="s">
        <v>1310</v>
      </c>
      <c r="E433" s="22" t="s">
        <v>1316</v>
      </c>
      <c r="F433" s="23" t="s">
        <v>407</v>
      </c>
      <c r="G433" s="23">
        <v>2.0</v>
      </c>
      <c r="H433" s="22" t="s">
        <v>45</v>
      </c>
      <c r="I433" s="22" t="s">
        <v>46</v>
      </c>
      <c r="J433" s="22" t="s">
        <v>45</v>
      </c>
      <c r="K433" s="22" t="s">
        <v>47</v>
      </c>
      <c r="L433" s="22" t="s">
        <v>172</v>
      </c>
      <c r="M433" s="22" t="s">
        <v>49</v>
      </c>
      <c r="N433" s="22" t="s">
        <v>49</v>
      </c>
      <c r="O433" s="22" t="s">
        <v>49</v>
      </c>
      <c r="P433" s="22" t="s">
        <v>49</v>
      </c>
      <c r="Q433" s="22" t="s">
        <v>1852</v>
      </c>
      <c r="R433" s="22" t="s">
        <v>1853</v>
      </c>
    </row>
    <row r="434" ht="45.0" customHeight="1">
      <c r="A434" s="20" t="s">
        <v>1854</v>
      </c>
      <c r="B434" s="21" t="str">
        <f>IMAGE("https://raw.githubusercontent.com/ltdimages/images/refs/heads/main/Food169.png")</f>
        <v/>
      </c>
      <c r="C434" s="22" t="s">
        <v>1855</v>
      </c>
      <c r="D434" s="22" t="s">
        <v>1310</v>
      </c>
      <c r="E434" s="22" t="s">
        <v>1350</v>
      </c>
      <c r="F434" s="23" t="s">
        <v>1210</v>
      </c>
      <c r="G434" s="23">
        <v>1.9</v>
      </c>
      <c r="H434" s="22" t="s">
        <v>49</v>
      </c>
      <c r="I434" s="22" t="s">
        <v>46</v>
      </c>
      <c r="J434" s="22" t="s">
        <v>45</v>
      </c>
      <c r="K434" s="22" t="s">
        <v>47</v>
      </c>
      <c r="L434" s="22" t="s">
        <v>172</v>
      </c>
      <c r="M434" s="22" t="s">
        <v>49</v>
      </c>
      <c r="N434" s="22" t="s">
        <v>49</v>
      </c>
      <c r="O434" s="22" t="s">
        <v>49</v>
      </c>
      <c r="P434" s="22" t="s">
        <v>49</v>
      </c>
      <c r="Q434" s="22" t="s">
        <v>1856</v>
      </c>
      <c r="R434" s="22" t="s">
        <v>1857</v>
      </c>
    </row>
    <row r="435" ht="45.0" customHeight="1">
      <c r="A435" s="20" t="s">
        <v>1858</v>
      </c>
      <c r="B435" s="21" t="str">
        <f>IMAGE("https://raw.githubusercontent.com/ltdimages/images/refs/heads/main/Food121.png")</f>
        <v/>
      </c>
      <c r="C435" s="22" t="s">
        <v>1859</v>
      </c>
      <c r="D435" s="22" t="s">
        <v>1310</v>
      </c>
      <c r="E435" s="22" t="s">
        <v>1350</v>
      </c>
      <c r="F435" s="23" t="s">
        <v>407</v>
      </c>
      <c r="G435" s="23">
        <v>5.8</v>
      </c>
      <c r="H435" s="22" t="s">
        <v>49</v>
      </c>
      <c r="I435" s="22" t="s">
        <v>46</v>
      </c>
      <c r="J435" s="22" t="s">
        <v>45</v>
      </c>
      <c r="K435" s="22" t="s">
        <v>47</v>
      </c>
      <c r="L435" s="22" t="s">
        <v>172</v>
      </c>
      <c r="M435" s="22" t="s">
        <v>45</v>
      </c>
      <c r="N435" s="22" t="s">
        <v>49</v>
      </c>
      <c r="O435" s="22" t="s">
        <v>45</v>
      </c>
      <c r="P435" s="22" t="s">
        <v>49</v>
      </c>
      <c r="Q435" s="22" t="s">
        <v>1860</v>
      </c>
      <c r="R435" s="22" t="s">
        <v>1861</v>
      </c>
    </row>
    <row r="436" ht="45.0" customHeight="1">
      <c r="A436" s="20" t="s">
        <v>1862</v>
      </c>
      <c r="B436" s="21" t="str">
        <f>IMAGE("https://raw.githubusercontent.com/ltdimages/images/refs/heads/main/Food306.png")</f>
        <v/>
      </c>
      <c r="C436" s="22" t="s">
        <v>1863</v>
      </c>
      <c r="D436" s="22" t="s">
        <v>1310</v>
      </c>
      <c r="E436" s="22" t="s">
        <v>1350</v>
      </c>
      <c r="F436" s="23" t="s">
        <v>407</v>
      </c>
      <c r="G436" s="23">
        <v>9.0</v>
      </c>
      <c r="H436" s="22" t="s">
        <v>49</v>
      </c>
      <c r="I436" s="22" t="s">
        <v>46</v>
      </c>
      <c r="J436" s="22" t="s">
        <v>45</v>
      </c>
      <c r="K436" s="22" t="s">
        <v>56</v>
      </c>
      <c r="L436" s="22" t="s">
        <v>48</v>
      </c>
      <c r="M436" s="22" t="s">
        <v>1864</v>
      </c>
      <c r="N436" s="22" t="s">
        <v>49</v>
      </c>
      <c r="O436" s="22" t="s">
        <v>951</v>
      </c>
      <c r="P436" s="22" t="s">
        <v>1864</v>
      </c>
      <c r="Q436" s="22" t="s">
        <v>1865</v>
      </c>
      <c r="R436" s="22" t="s">
        <v>1866</v>
      </c>
    </row>
    <row r="437" ht="45.0" customHeight="1">
      <c r="A437" s="20" t="s">
        <v>1867</v>
      </c>
      <c r="B437" s="21" t="str">
        <f>IMAGE("https://raw.githubusercontent.com/ltdimages/images/refs/heads/main/Food073.png")</f>
        <v/>
      </c>
      <c r="C437" s="22" t="s">
        <v>1868</v>
      </c>
      <c r="D437" s="22" t="s">
        <v>1310</v>
      </c>
      <c r="E437" s="22" t="s">
        <v>1350</v>
      </c>
      <c r="F437" s="23" t="s">
        <v>407</v>
      </c>
      <c r="G437" s="23">
        <v>5.0</v>
      </c>
      <c r="H437" s="22" t="s">
        <v>49</v>
      </c>
      <c r="I437" s="22" t="s">
        <v>46</v>
      </c>
      <c r="J437" s="22" t="s">
        <v>45</v>
      </c>
      <c r="K437" s="22" t="s">
        <v>56</v>
      </c>
      <c r="L437" s="22" t="s">
        <v>57</v>
      </c>
      <c r="M437" s="22" t="s">
        <v>45</v>
      </c>
      <c r="N437" s="22" t="s">
        <v>45</v>
      </c>
      <c r="O437" s="22" t="s">
        <v>45</v>
      </c>
      <c r="P437" s="22" t="s">
        <v>49</v>
      </c>
      <c r="Q437" s="22" t="s">
        <v>1869</v>
      </c>
      <c r="R437" s="22" t="s">
        <v>1870</v>
      </c>
    </row>
    <row r="438" ht="45.0" customHeight="1">
      <c r="A438" s="20" t="s">
        <v>1871</v>
      </c>
      <c r="B438" s="21" t="str">
        <f>IMAGE("https://raw.githubusercontent.com/ltdimages/images/refs/heads/main/Food184.png")</f>
        <v/>
      </c>
      <c r="C438" s="24" t="s">
        <v>1872</v>
      </c>
      <c r="D438" s="24" t="s">
        <v>1873</v>
      </c>
      <c r="E438" s="24" t="s">
        <v>1874</v>
      </c>
      <c r="F438" s="25" t="s">
        <v>1210</v>
      </c>
      <c r="G438" s="25">
        <v>2.0</v>
      </c>
      <c r="H438" s="24" t="s">
        <v>49</v>
      </c>
      <c r="I438" s="24" t="s">
        <v>46</v>
      </c>
      <c r="J438" s="24" t="s">
        <v>45</v>
      </c>
      <c r="K438" s="24" t="s">
        <v>47</v>
      </c>
      <c r="L438" s="24" t="s">
        <v>172</v>
      </c>
      <c r="M438" s="24" t="s">
        <v>49</v>
      </c>
      <c r="N438" s="24" t="s">
        <v>49</v>
      </c>
      <c r="O438" s="24" t="s">
        <v>49</v>
      </c>
      <c r="P438" s="24" t="s">
        <v>49</v>
      </c>
      <c r="Q438" s="24" t="s">
        <v>1875</v>
      </c>
      <c r="R438" s="24" t="s">
        <v>1876</v>
      </c>
    </row>
    <row r="439" ht="45.0" customHeight="1">
      <c r="A439" s="20" t="s">
        <v>1877</v>
      </c>
      <c r="B439" s="21" t="str">
        <f>IMAGE("https://raw.githubusercontent.com/ltdimages/images/refs/heads/main/Food274.png")</f>
        <v/>
      </c>
      <c r="C439" s="22" t="s">
        <v>1878</v>
      </c>
      <c r="D439" s="22" t="s">
        <v>1873</v>
      </c>
      <c r="E439" s="22" t="s">
        <v>1879</v>
      </c>
      <c r="F439" s="23" t="s">
        <v>407</v>
      </c>
      <c r="G439" s="23">
        <v>5.5</v>
      </c>
      <c r="H439" s="22" t="s">
        <v>49</v>
      </c>
      <c r="I439" s="22" t="s">
        <v>46</v>
      </c>
      <c r="J439" s="22" t="s">
        <v>45</v>
      </c>
      <c r="K439" s="22" t="s">
        <v>56</v>
      </c>
      <c r="L439" s="22" t="s">
        <v>172</v>
      </c>
      <c r="M439" s="22" t="s">
        <v>49</v>
      </c>
      <c r="N439" s="22" t="s">
        <v>49</v>
      </c>
      <c r="O439" s="22" t="s">
        <v>49</v>
      </c>
      <c r="P439" s="22" t="s">
        <v>49</v>
      </c>
      <c r="Q439" s="22" t="s">
        <v>1880</v>
      </c>
      <c r="R439" s="22" t="s">
        <v>1881</v>
      </c>
    </row>
    <row r="440" ht="45.0" customHeight="1">
      <c r="A440" s="20" t="s">
        <v>1882</v>
      </c>
      <c r="B440" s="21" t="str">
        <f>IMAGE("https://raw.githubusercontent.com/ltdimages/images/refs/heads/main/Food139.png")</f>
        <v/>
      </c>
      <c r="C440" s="22" t="s">
        <v>1883</v>
      </c>
      <c r="D440" s="22" t="s">
        <v>1873</v>
      </c>
      <c r="E440" s="22" t="s">
        <v>1879</v>
      </c>
      <c r="F440" s="23"/>
      <c r="G440" s="23">
        <v>5.8</v>
      </c>
      <c r="H440" s="22" t="s">
        <v>49</v>
      </c>
      <c r="I440" s="22" t="s">
        <v>46</v>
      </c>
      <c r="J440" s="22" t="s">
        <v>45</v>
      </c>
      <c r="K440" s="22" t="s">
        <v>47</v>
      </c>
      <c r="L440" s="22" t="s">
        <v>57</v>
      </c>
      <c r="M440" s="22" t="s">
        <v>49</v>
      </c>
      <c r="N440" s="22" t="s">
        <v>49</v>
      </c>
      <c r="O440" s="22" t="s">
        <v>49</v>
      </c>
      <c r="P440" s="22" t="s">
        <v>49</v>
      </c>
      <c r="Q440" s="22" t="s">
        <v>1884</v>
      </c>
      <c r="R440" s="22" t="s">
        <v>1885</v>
      </c>
    </row>
    <row r="441" ht="45.0" customHeight="1">
      <c r="A441" s="20" t="s">
        <v>1886</v>
      </c>
      <c r="B441" s="21" t="str">
        <f>IMAGE("https://raw.githubusercontent.com/ltdimages/images/refs/heads/main/Food243.png")</f>
        <v/>
      </c>
      <c r="C441" s="22" t="s">
        <v>1887</v>
      </c>
      <c r="D441" s="22" t="s">
        <v>1873</v>
      </c>
      <c r="E441" s="22" t="s">
        <v>1879</v>
      </c>
      <c r="F441" s="23"/>
      <c r="G441" s="23">
        <v>2.7</v>
      </c>
      <c r="H441" s="22" t="s">
        <v>49</v>
      </c>
      <c r="I441" s="22" t="s">
        <v>46</v>
      </c>
      <c r="J441" s="22" t="s">
        <v>45</v>
      </c>
      <c r="K441" s="22" t="s">
        <v>47</v>
      </c>
      <c r="L441" s="22" t="s">
        <v>57</v>
      </c>
      <c r="M441" s="22" t="s">
        <v>49</v>
      </c>
      <c r="N441" s="22" t="s">
        <v>49</v>
      </c>
      <c r="O441" s="22" t="s">
        <v>49</v>
      </c>
      <c r="P441" s="22" t="s">
        <v>49</v>
      </c>
      <c r="Q441" s="22" t="s">
        <v>1888</v>
      </c>
      <c r="R441" s="22" t="s">
        <v>1889</v>
      </c>
    </row>
    <row r="442" ht="45.0" customHeight="1">
      <c r="A442" s="20" t="s">
        <v>1890</v>
      </c>
      <c r="B442" s="21" t="str">
        <f>IMAGE("https://raw.githubusercontent.com/ltdimages/images/refs/heads/main/Food049.png")</f>
        <v/>
      </c>
      <c r="C442" s="22" t="s">
        <v>1891</v>
      </c>
      <c r="D442" s="22" t="s">
        <v>1873</v>
      </c>
      <c r="E442" s="22" t="s">
        <v>1879</v>
      </c>
      <c r="F442" s="23"/>
      <c r="G442" s="23">
        <v>5.0</v>
      </c>
      <c r="H442" s="22" t="s">
        <v>49</v>
      </c>
      <c r="I442" s="22" t="s">
        <v>46</v>
      </c>
      <c r="J442" s="22" t="s">
        <v>45</v>
      </c>
      <c r="K442" s="22" t="s">
        <v>47</v>
      </c>
      <c r="L442" s="22" t="s">
        <v>57</v>
      </c>
      <c r="M442" s="22" t="s">
        <v>49</v>
      </c>
      <c r="N442" s="22" t="s">
        <v>49</v>
      </c>
      <c r="O442" s="22" t="s">
        <v>49</v>
      </c>
      <c r="P442" s="22" t="s">
        <v>49</v>
      </c>
      <c r="Q442" s="22" t="s">
        <v>1892</v>
      </c>
      <c r="R442" s="22" t="s">
        <v>1893</v>
      </c>
    </row>
    <row r="443" ht="45.0" customHeight="1">
      <c r="A443" s="20" t="s">
        <v>1894</v>
      </c>
      <c r="B443" s="21" t="str">
        <f>IMAGE("https://raw.githubusercontent.com/ltdimages/images/refs/heads/main/Food417.png")</f>
        <v/>
      </c>
      <c r="C443" s="22" t="s">
        <v>1895</v>
      </c>
      <c r="D443" s="22" t="s">
        <v>1873</v>
      </c>
      <c r="E443" s="22"/>
      <c r="F443" s="23" t="s">
        <v>407</v>
      </c>
      <c r="G443" s="23">
        <v>4.5</v>
      </c>
      <c r="H443" s="22" t="s">
        <v>49</v>
      </c>
      <c r="I443" s="22" t="s">
        <v>46</v>
      </c>
      <c r="J443" s="22" t="s">
        <v>45</v>
      </c>
      <c r="K443" s="22" t="s">
        <v>47</v>
      </c>
      <c r="L443" s="22" t="s">
        <v>57</v>
      </c>
      <c r="M443" s="22" t="s">
        <v>45</v>
      </c>
      <c r="N443" s="22" t="s">
        <v>49</v>
      </c>
      <c r="O443" s="22" t="s">
        <v>45</v>
      </c>
      <c r="P443" s="22" t="s">
        <v>45</v>
      </c>
      <c r="Q443" s="22" t="s">
        <v>1896</v>
      </c>
      <c r="R443" s="22" t="s">
        <v>1897</v>
      </c>
    </row>
    <row r="444" ht="45.0" customHeight="1">
      <c r="A444" s="20" t="s">
        <v>1898</v>
      </c>
      <c r="B444" s="21" t="str">
        <f>IMAGE("https://raw.githubusercontent.com/ltdimages/images/refs/heads/main/Food009.png")</f>
        <v/>
      </c>
      <c r="C444" s="22" t="s">
        <v>1899</v>
      </c>
      <c r="D444" s="22" t="s">
        <v>1873</v>
      </c>
      <c r="E444" s="22" t="s">
        <v>1879</v>
      </c>
      <c r="F444" s="23"/>
      <c r="G444" s="23">
        <v>3.0</v>
      </c>
      <c r="H444" s="22" t="s">
        <v>45</v>
      </c>
      <c r="I444" s="22" t="s">
        <v>46</v>
      </c>
      <c r="J444" s="22" t="s">
        <v>45</v>
      </c>
      <c r="K444" s="22" t="s">
        <v>47</v>
      </c>
      <c r="L444" s="22" t="s">
        <v>172</v>
      </c>
      <c r="M444" s="22" t="s">
        <v>49</v>
      </c>
      <c r="N444" s="22" t="s">
        <v>49</v>
      </c>
      <c r="O444" s="22" t="s">
        <v>45</v>
      </c>
      <c r="P444" s="22" t="s">
        <v>49</v>
      </c>
      <c r="Q444" s="22" t="s">
        <v>1900</v>
      </c>
      <c r="R444" s="22" t="s">
        <v>1901</v>
      </c>
    </row>
    <row r="445" ht="45.0" customHeight="1">
      <c r="A445" s="20" t="s">
        <v>1902</v>
      </c>
      <c r="B445" s="21" t="str">
        <f>IMAGE("https://raw.githubusercontent.com/ltdimages/images/refs/heads/main/Food230.png")</f>
        <v/>
      </c>
      <c r="C445" s="22" t="s">
        <v>1903</v>
      </c>
      <c r="D445" s="22" t="s">
        <v>1873</v>
      </c>
      <c r="E445" s="22" t="s">
        <v>1879</v>
      </c>
      <c r="F445" s="23"/>
      <c r="G445" s="23">
        <v>5.5</v>
      </c>
      <c r="H445" s="22" t="s">
        <v>49</v>
      </c>
      <c r="I445" s="22" t="s">
        <v>46</v>
      </c>
      <c r="J445" s="22" t="s">
        <v>45</v>
      </c>
      <c r="K445" s="22" t="s">
        <v>47</v>
      </c>
      <c r="L445" s="22" t="s">
        <v>57</v>
      </c>
      <c r="M445" s="22" t="s">
        <v>49</v>
      </c>
      <c r="N445" s="22" t="s">
        <v>49</v>
      </c>
      <c r="O445" s="22" t="s">
        <v>49</v>
      </c>
      <c r="P445" s="22" t="s">
        <v>49</v>
      </c>
      <c r="Q445" s="22" t="s">
        <v>1904</v>
      </c>
      <c r="R445" s="22" t="s">
        <v>1905</v>
      </c>
    </row>
    <row r="446" ht="45.0" customHeight="1">
      <c r="A446" s="20" t="s">
        <v>1906</v>
      </c>
      <c r="B446" s="21" t="str">
        <f>IMAGE("https://raw.githubusercontent.com/ltdimages/images/refs/heads/main/Food001.png")</f>
        <v/>
      </c>
      <c r="C446" s="24" t="s">
        <v>1907</v>
      </c>
      <c r="D446" s="24" t="s">
        <v>1873</v>
      </c>
      <c r="E446" s="24" t="s">
        <v>1908</v>
      </c>
      <c r="F446" s="25"/>
      <c r="G446" s="25">
        <v>2.0</v>
      </c>
      <c r="H446" s="24" t="s">
        <v>49</v>
      </c>
      <c r="I446" s="24" t="s">
        <v>112</v>
      </c>
      <c r="J446" s="24" t="s">
        <v>45</v>
      </c>
      <c r="K446" s="24" t="s">
        <v>47</v>
      </c>
      <c r="L446" s="24" t="s">
        <v>172</v>
      </c>
      <c r="M446" s="24" t="s">
        <v>45</v>
      </c>
      <c r="N446" s="24" t="s">
        <v>49</v>
      </c>
      <c r="O446" s="24" t="s">
        <v>49</v>
      </c>
      <c r="P446" s="24" t="s">
        <v>49</v>
      </c>
      <c r="Q446" s="24" t="s">
        <v>1909</v>
      </c>
      <c r="R446" s="24" t="s">
        <v>1910</v>
      </c>
    </row>
    <row r="447" ht="45.0" customHeight="1">
      <c r="A447" s="20" t="s">
        <v>1911</v>
      </c>
      <c r="B447" s="21" t="str">
        <f>IMAGE("https://raw.githubusercontent.com/ltdimages/images/refs/heads/main/Food016.png")</f>
        <v/>
      </c>
      <c r="C447" s="22" t="s">
        <v>1912</v>
      </c>
      <c r="D447" s="22" t="s">
        <v>1873</v>
      </c>
      <c r="E447" s="22" t="s">
        <v>1879</v>
      </c>
      <c r="F447" s="23"/>
      <c r="G447" s="23">
        <v>1.0</v>
      </c>
      <c r="H447" s="22" t="s">
        <v>49</v>
      </c>
      <c r="I447" s="22" t="s">
        <v>46</v>
      </c>
      <c r="J447" s="22" t="s">
        <v>45</v>
      </c>
      <c r="K447" s="22" t="s">
        <v>47</v>
      </c>
      <c r="L447" s="22" t="s">
        <v>57</v>
      </c>
      <c r="M447" s="22" t="s">
        <v>49</v>
      </c>
      <c r="N447" s="22" t="s">
        <v>49</v>
      </c>
      <c r="O447" s="22" t="s">
        <v>49</v>
      </c>
      <c r="P447" s="22" t="s">
        <v>49</v>
      </c>
      <c r="Q447" s="22" t="s">
        <v>1913</v>
      </c>
      <c r="R447" s="22" t="s">
        <v>1914</v>
      </c>
    </row>
    <row r="448" ht="45.0" customHeight="1">
      <c r="A448" s="20" t="s">
        <v>1915</v>
      </c>
      <c r="B448" s="21" t="str">
        <f>IMAGE("https://raw.githubusercontent.com/ltdimages/images/refs/heads/main/Food244.png")</f>
        <v/>
      </c>
      <c r="C448" s="22" t="s">
        <v>1916</v>
      </c>
      <c r="D448" s="22" t="s">
        <v>1873</v>
      </c>
      <c r="E448" s="22" t="s">
        <v>1879</v>
      </c>
      <c r="F448" s="23" t="s">
        <v>407</v>
      </c>
      <c r="G448" s="23">
        <v>4.0</v>
      </c>
      <c r="H448" s="22" t="s">
        <v>49</v>
      </c>
      <c r="I448" s="22" t="s">
        <v>46</v>
      </c>
      <c r="J448" s="22" t="s">
        <v>45</v>
      </c>
      <c r="K448" s="22" t="s">
        <v>47</v>
      </c>
      <c r="L448" s="22" t="s">
        <v>57</v>
      </c>
      <c r="M448" s="22" t="s">
        <v>49</v>
      </c>
      <c r="N448" s="22" t="s">
        <v>49</v>
      </c>
      <c r="O448" s="22" t="s">
        <v>49</v>
      </c>
      <c r="P448" s="22" t="s">
        <v>49</v>
      </c>
      <c r="Q448" s="22" t="s">
        <v>1917</v>
      </c>
      <c r="R448" s="22" t="s">
        <v>1918</v>
      </c>
    </row>
    <row r="449" ht="45.0" customHeight="1">
      <c r="A449" s="20" t="s">
        <v>1919</v>
      </c>
      <c r="B449" s="21" t="str">
        <f>IMAGE("https://raw.githubusercontent.com/ltdimages/images/refs/heads/main/Food418.png")</f>
        <v/>
      </c>
      <c r="C449" s="22" t="s">
        <v>1920</v>
      </c>
      <c r="D449" s="22" t="s">
        <v>1873</v>
      </c>
      <c r="E449" s="22" t="s">
        <v>1879</v>
      </c>
      <c r="F449" s="23" t="s">
        <v>407</v>
      </c>
      <c r="G449" s="23">
        <v>4.0</v>
      </c>
      <c r="H449" s="22" t="s">
        <v>49</v>
      </c>
      <c r="I449" s="22" t="s">
        <v>46</v>
      </c>
      <c r="J449" s="22" t="s">
        <v>45</v>
      </c>
      <c r="K449" s="22" t="s">
        <v>47</v>
      </c>
      <c r="L449" s="22" t="s">
        <v>172</v>
      </c>
      <c r="M449" s="22" t="s">
        <v>49</v>
      </c>
      <c r="N449" s="22" t="s">
        <v>49</v>
      </c>
      <c r="O449" s="22" t="s">
        <v>49</v>
      </c>
      <c r="P449" s="22" t="s">
        <v>49</v>
      </c>
      <c r="Q449" s="22" t="s">
        <v>1921</v>
      </c>
      <c r="R449" s="22" t="s">
        <v>1922</v>
      </c>
    </row>
    <row r="450" ht="45.0" customHeight="1">
      <c r="A450" s="20" t="s">
        <v>1923</v>
      </c>
      <c r="B450" s="21" t="str">
        <f>IMAGE("https://raw.githubusercontent.com/ltdimages/images/refs/heads/main/Food233.png")</f>
        <v/>
      </c>
      <c r="C450" s="22" t="s">
        <v>1924</v>
      </c>
      <c r="D450" s="22" t="s">
        <v>1873</v>
      </c>
      <c r="E450" s="22" t="s">
        <v>1879</v>
      </c>
      <c r="F450" s="23" t="s">
        <v>1210</v>
      </c>
      <c r="G450" s="23">
        <v>2.5</v>
      </c>
      <c r="H450" s="22" t="s">
        <v>49</v>
      </c>
      <c r="I450" s="22" t="s">
        <v>46</v>
      </c>
      <c r="J450" s="22" t="s">
        <v>45</v>
      </c>
      <c r="K450" s="22" t="s">
        <v>47</v>
      </c>
      <c r="L450" s="22" t="s">
        <v>172</v>
      </c>
      <c r="M450" s="22" t="s">
        <v>49</v>
      </c>
      <c r="N450" s="22" t="s">
        <v>49</v>
      </c>
      <c r="O450" s="22" t="s">
        <v>49</v>
      </c>
      <c r="P450" s="22" t="s">
        <v>49</v>
      </c>
      <c r="Q450" s="22" t="s">
        <v>1925</v>
      </c>
      <c r="R450" s="22" t="s">
        <v>1926</v>
      </c>
    </row>
    <row r="451" ht="45.0" customHeight="1">
      <c r="A451" s="20" t="s">
        <v>1927</v>
      </c>
      <c r="B451" s="21" t="str">
        <f>IMAGE("https://raw.githubusercontent.com/ltdimages/images/refs/heads/main/Food487.png")</f>
        <v/>
      </c>
      <c r="C451" s="22" t="s">
        <v>1928</v>
      </c>
      <c r="D451" s="22" t="s">
        <v>1873</v>
      </c>
      <c r="E451" s="22" t="s">
        <v>1879</v>
      </c>
      <c r="F451" s="23"/>
      <c r="G451" s="23">
        <v>0.0</v>
      </c>
      <c r="H451" s="22" t="s">
        <v>49</v>
      </c>
      <c r="I451" s="22" t="s">
        <v>46</v>
      </c>
      <c r="J451" s="22" t="s">
        <v>45</v>
      </c>
      <c r="K451" s="22" t="s">
        <v>47</v>
      </c>
      <c r="L451" s="22" t="s">
        <v>57</v>
      </c>
      <c r="M451" s="22" t="s">
        <v>45</v>
      </c>
      <c r="N451" s="22" t="s">
        <v>45</v>
      </c>
      <c r="O451" s="22" t="s">
        <v>45</v>
      </c>
      <c r="P451" s="22" t="s">
        <v>45</v>
      </c>
      <c r="Q451" s="22" t="s">
        <v>1929</v>
      </c>
      <c r="R451" s="22" t="s">
        <v>1930</v>
      </c>
    </row>
    <row r="452" ht="45.0" customHeight="1">
      <c r="A452" s="20" t="s">
        <v>1931</v>
      </c>
      <c r="B452" s="21" t="str">
        <f>IMAGE("https://raw.githubusercontent.com/ltdimages/images/refs/heads/main/Food039.png")</f>
        <v/>
      </c>
      <c r="C452" s="22" t="s">
        <v>1932</v>
      </c>
      <c r="D452" s="22" t="s">
        <v>1873</v>
      </c>
      <c r="E452" s="22" t="s">
        <v>1879</v>
      </c>
      <c r="F452" s="23" t="s">
        <v>407</v>
      </c>
      <c r="G452" s="23">
        <v>1.8</v>
      </c>
      <c r="H452" s="22" t="s">
        <v>45</v>
      </c>
      <c r="I452" s="22" t="s">
        <v>46</v>
      </c>
      <c r="J452" s="22" t="s">
        <v>45</v>
      </c>
      <c r="K452" s="22" t="s">
        <v>47</v>
      </c>
      <c r="L452" s="22" t="s">
        <v>172</v>
      </c>
      <c r="M452" s="22" t="s">
        <v>49</v>
      </c>
      <c r="N452" s="22" t="s">
        <v>49</v>
      </c>
      <c r="O452" s="22" t="s">
        <v>49</v>
      </c>
      <c r="P452" s="22" t="s">
        <v>49</v>
      </c>
      <c r="Q452" s="22" t="s">
        <v>1933</v>
      </c>
      <c r="R452" s="22" t="s">
        <v>1934</v>
      </c>
    </row>
    <row r="453" ht="45.0" customHeight="1">
      <c r="A453" s="20" t="s">
        <v>1935</v>
      </c>
      <c r="B453" s="21" t="str">
        <f>IMAGE("https://raw.githubusercontent.com/ltdimages/images/refs/heads/main/Food287.png")</f>
        <v/>
      </c>
      <c r="C453" s="22" t="s">
        <v>1936</v>
      </c>
      <c r="D453" s="22" t="s">
        <v>1873</v>
      </c>
      <c r="E453" s="22" t="s">
        <v>1937</v>
      </c>
      <c r="F453" s="23" t="s">
        <v>407</v>
      </c>
      <c r="G453" s="23">
        <v>2.0</v>
      </c>
      <c r="H453" s="22" t="s">
        <v>49</v>
      </c>
      <c r="I453" s="22" t="s">
        <v>46</v>
      </c>
      <c r="J453" s="22" t="s">
        <v>45</v>
      </c>
      <c r="K453" s="22" t="s">
        <v>56</v>
      </c>
      <c r="L453" s="22" t="s">
        <v>172</v>
      </c>
      <c r="M453" s="22" t="s">
        <v>49</v>
      </c>
      <c r="N453" s="22" t="s">
        <v>49</v>
      </c>
      <c r="O453" s="22" t="s">
        <v>49</v>
      </c>
      <c r="P453" s="22" t="s">
        <v>49</v>
      </c>
      <c r="Q453" s="22" t="s">
        <v>1938</v>
      </c>
      <c r="R453" s="22" t="s">
        <v>1939</v>
      </c>
    </row>
    <row r="454" ht="45.0" customHeight="1">
      <c r="A454" s="20" t="s">
        <v>1940</v>
      </c>
      <c r="B454" s="21" t="str">
        <f>IMAGE("https://raw.githubusercontent.com/ltdimages/images/refs/heads/main/Food416.png")</f>
        <v/>
      </c>
      <c r="C454" s="22" t="s">
        <v>1941</v>
      </c>
      <c r="D454" s="22" t="s">
        <v>1873</v>
      </c>
      <c r="E454" s="22" t="s">
        <v>1879</v>
      </c>
      <c r="F454" s="23" t="s">
        <v>1942</v>
      </c>
      <c r="G454" s="23">
        <v>4.5</v>
      </c>
      <c r="H454" s="22" t="s">
        <v>49</v>
      </c>
      <c r="I454" s="22" t="s">
        <v>46</v>
      </c>
      <c r="J454" s="22" t="s">
        <v>45</v>
      </c>
      <c r="K454" s="22" t="s">
        <v>47</v>
      </c>
      <c r="L454" s="22" t="s">
        <v>57</v>
      </c>
      <c r="M454" s="22" t="s">
        <v>45</v>
      </c>
      <c r="N454" s="22" t="s">
        <v>49</v>
      </c>
      <c r="O454" s="22" t="s">
        <v>45</v>
      </c>
      <c r="P454" s="22" t="s">
        <v>45</v>
      </c>
      <c r="Q454" s="22" t="s">
        <v>1943</v>
      </c>
      <c r="R454" s="22" t="s">
        <v>1944</v>
      </c>
    </row>
    <row r="455" ht="45.0" customHeight="1">
      <c r="A455" s="20" t="s">
        <v>1945</v>
      </c>
      <c r="B455" s="21" t="str">
        <f>IMAGE("https://raw.githubusercontent.com/ltdimages/images/refs/heads/main/Food023.png")</f>
        <v/>
      </c>
      <c r="C455" s="22" t="s">
        <v>1946</v>
      </c>
      <c r="D455" s="22" t="s">
        <v>1873</v>
      </c>
      <c r="E455" s="22" t="s">
        <v>1874</v>
      </c>
      <c r="F455" s="23" t="s">
        <v>1210</v>
      </c>
      <c r="G455" s="23">
        <v>2.0</v>
      </c>
      <c r="H455" s="22" t="s">
        <v>49</v>
      </c>
      <c r="I455" s="22" t="s">
        <v>46</v>
      </c>
      <c r="J455" s="22" t="s">
        <v>45</v>
      </c>
      <c r="K455" s="22" t="s">
        <v>47</v>
      </c>
      <c r="L455" s="22" t="s">
        <v>172</v>
      </c>
      <c r="M455" s="22" t="s">
        <v>49</v>
      </c>
      <c r="N455" s="22" t="s">
        <v>49</v>
      </c>
      <c r="O455" s="22" t="s">
        <v>49</v>
      </c>
      <c r="P455" s="22" t="s">
        <v>49</v>
      </c>
      <c r="Q455" s="22" t="s">
        <v>1947</v>
      </c>
      <c r="R455" s="22" t="s">
        <v>1948</v>
      </c>
    </row>
    <row r="456" ht="45.0" customHeight="1">
      <c r="A456" s="20" t="s">
        <v>1949</v>
      </c>
      <c r="B456" s="21" t="str">
        <f>IMAGE("https://raw.githubusercontent.com/ltdimages/images/refs/heads/main/Food182.png")</f>
        <v/>
      </c>
      <c r="C456" s="22" t="s">
        <v>1950</v>
      </c>
      <c r="D456" s="22" t="s">
        <v>1873</v>
      </c>
      <c r="E456" s="22" t="s">
        <v>1879</v>
      </c>
      <c r="F456" s="23"/>
      <c r="G456" s="23">
        <v>10.0</v>
      </c>
      <c r="H456" s="22" t="s">
        <v>45</v>
      </c>
      <c r="I456" s="22" t="s">
        <v>46</v>
      </c>
      <c r="J456" s="22" t="s">
        <v>45</v>
      </c>
      <c r="K456" s="22" t="s">
        <v>56</v>
      </c>
      <c r="L456" s="22" t="s">
        <v>48</v>
      </c>
      <c r="M456" s="22" t="s">
        <v>49</v>
      </c>
      <c r="N456" s="22" t="s">
        <v>49</v>
      </c>
      <c r="O456" s="22" t="s">
        <v>49</v>
      </c>
      <c r="P456" s="22" t="s">
        <v>49</v>
      </c>
      <c r="Q456" s="22" t="s">
        <v>1951</v>
      </c>
      <c r="R456" s="22" t="s">
        <v>1952</v>
      </c>
    </row>
    <row r="457" ht="45.0" customHeight="1">
      <c r="A457" s="20" t="s">
        <v>1953</v>
      </c>
      <c r="B457" s="21" t="str">
        <f>IMAGE("https://raw.githubusercontent.com/ltdimages/images/refs/heads/main/Food295.png")</f>
        <v/>
      </c>
      <c r="C457" s="22" t="s">
        <v>1954</v>
      </c>
      <c r="D457" s="22" t="s">
        <v>1873</v>
      </c>
      <c r="E457" s="22" t="s">
        <v>1937</v>
      </c>
      <c r="F457" s="23" t="s">
        <v>407</v>
      </c>
      <c r="G457" s="23">
        <v>2.5</v>
      </c>
      <c r="H457" s="22" t="s">
        <v>49</v>
      </c>
      <c r="I457" s="22" t="s">
        <v>46</v>
      </c>
      <c r="J457" s="22" t="s">
        <v>45</v>
      </c>
      <c r="K457" s="22" t="s">
        <v>56</v>
      </c>
      <c r="L457" s="22" t="s">
        <v>172</v>
      </c>
      <c r="M457" s="22" t="s">
        <v>49</v>
      </c>
      <c r="N457" s="22" t="s">
        <v>45</v>
      </c>
      <c r="O457" s="22" t="s">
        <v>45</v>
      </c>
      <c r="P457" s="22" t="s">
        <v>45</v>
      </c>
      <c r="Q457" s="22" t="s">
        <v>1955</v>
      </c>
      <c r="R457" s="22" t="s">
        <v>1956</v>
      </c>
    </row>
    <row r="458" ht="45.0" customHeight="1">
      <c r="A458" s="20" t="s">
        <v>1957</v>
      </c>
      <c r="B458" s="21" t="str">
        <f>IMAGE("https://raw.githubusercontent.com/ltdimages/images/refs/heads/main/Food229.png")</f>
        <v/>
      </c>
      <c r="C458" s="22" t="s">
        <v>1958</v>
      </c>
      <c r="D458" s="22" t="s">
        <v>1873</v>
      </c>
      <c r="E458" s="22" t="s">
        <v>1874</v>
      </c>
      <c r="F458" s="23" t="s">
        <v>1210</v>
      </c>
      <c r="G458" s="23">
        <v>2.5</v>
      </c>
      <c r="H458" s="22" t="s">
        <v>49</v>
      </c>
      <c r="I458" s="22" t="s">
        <v>46</v>
      </c>
      <c r="J458" s="22" t="s">
        <v>45</v>
      </c>
      <c r="K458" s="22" t="s">
        <v>47</v>
      </c>
      <c r="L458" s="22" t="s">
        <v>172</v>
      </c>
      <c r="M458" s="22" t="s">
        <v>49</v>
      </c>
      <c r="N458" s="22" t="s">
        <v>49</v>
      </c>
      <c r="O458" s="22" t="s">
        <v>49</v>
      </c>
      <c r="P458" s="22" t="s">
        <v>49</v>
      </c>
      <c r="Q458" s="22" t="s">
        <v>1959</v>
      </c>
      <c r="R458" s="22" t="s">
        <v>1960</v>
      </c>
    </row>
    <row r="459" ht="45.0" customHeight="1">
      <c r="A459" s="20" t="s">
        <v>1961</v>
      </c>
      <c r="B459" s="21" t="str">
        <f>IMAGE("https://raw.githubusercontent.com/ltdimages/images/refs/heads/main/Food171.png")</f>
        <v/>
      </c>
      <c r="C459" s="22" t="s">
        <v>1962</v>
      </c>
      <c r="D459" s="22" t="s">
        <v>1873</v>
      </c>
      <c r="E459" s="22" t="s">
        <v>1879</v>
      </c>
      <c r="F459" s="23" t="s">
        <v>407</v>
      </c>
      <c r="G459" s="23">
        <v>1.8</v>
      </c>
      <c r="H459" s="22" t="s">
        <v>49</v>
      </c>
      <c r="I459" s="22" t="s">
        <v>46</v>
      </c>
      <c r="J459" s="22" t="s">
        <v>45</v>
      </c>
      <c r="K459" s="22" t="s">
        <v>47</v>
      </c>
      <c r="L459" s="22" t="s">
        <v>172</v>
      </c>
      <c r="M459" s="22" t="s">
        <v>49</v>
      </c>
      <c r="N459" s="22" t="s">
        <v>49</v>
      </c>
      <c r="O459" s="22" t="s">
        <v>49</v>
      </c>
      <c r="P459" s="22" t="s">
        <v>49</v>
      </c>
      <c r="Q459" s="22" t="s">
        <v>1963</v>
      </c>
      <c r="R459" s="22" t="s">
        <v>1964</v>
      </c>
    </row>
    <row r="460" ht="45.0" customHeight="1">
      <c r="A460" s="20" t="s">
        <v>1965</v>
      </c>
      <c r="B460" s="21" t="str">
        <f>IMAGE("https://raw.githubusercontent.com/ltdimages/images/refs/heads/main/Food364.png")</f>
        <v/>
      </c>
      <c r="C460" s="22" t="s">
        <v>1966</v>
      </c>
      <c r="D460" s="22" t="s">
        <v>1873</v>
      </c>
      <c r="E460" s="22" t="s">
        <v>1879</v>
      </c>
      <c r="F460" s="23"/>
      <c r="G460" s="23">
        <v>1.2</v>
      </c>
      <c r="H460" s="22" t="s">
        <v>49</v>
      </c>
      <c r="I460" s="22" t="s">
        <v>46</v>
      </c>
      <c r="J460" s="22" t="s">
        <v>45</v>
      </c>
      <c r="K460" s="22" t="s">
        <v>47</v>
      </c>
      <c r="L460" s="22" t="s">
        <v>172</v>
      </c>
      <c r="M460" s="22" t="s">
        <v>49</v>
      </c>
      <c r="N460" s="22" t="s">
        <v>49</v>
      </c>
      <c r="O460" s="22" t="s">
        <v>49</v>
      </c>
      <c r="P460" s="22" t="s">
        <v>49</v>
      </c>
      <c r="Q460" s="22" t="s">
        <v>1967</v>
      </c>
      <c r="R460" s="22" t="s">
        <v>1968</v>
      </c>
    </row>
    <row r="461" ht="45.0" customHeight="1">
      <c r="A461" s="20" t="s">
        <v>1969</v>
      </c>
      <c r="B461" s="21" t="str">
        <f>IMAGE("https://raw.githubusercontent.com/ltdimages/images/refs/heads/main/Food178.png")</f>
        <v/>
      </c>
      <c r="C461" s="22" t="s">
        <v>1970</v>
      </c>
      <c r="D461" s="22" t="s">
        <v>1873</v>
      </c>
      <c r="E461" s="22" t="s">
        <v>1879</v>
      </c>
      <c r="F461" s="23"/>
      <c r="G461" s="23">
        <v>0.2</v>
      </c>
      <c r="H461" s="22" t="s">
        <v>45</v>
      </c>
      <c r="I461" s="22" t="s">
        <v>112</v>
      </c>
      <c r="J461" s="22" t="s">
        <v>49</v>
      </c>
      <c r="K461" s="22" t="s">
        <v>47</v>
      </c>
      <c r="L461" s="22" t="s">
        <v>48</v>
      </c>
      <c r="M461" s="22" t="s">
        <v>45</v>
      </c>
      <c r="N461" s="22" t="s">
        <v>45</v>
      </c>
      <c r="O461" s="22" t="s">
        <v>45</v>
      </c>
      <c r="P461" s="22" t="s">
        <v>45</v>
      </c>
      <c r="Q461" s="22" t="s">
        <v>1971</v>
      </c>
      <c r="R461" s="22" t="s">
        <v>1972</v>
      </c>
    </row>
    <row r="462" ht="45.0" customHeight="1">
      <c r="A462" s="20" t="s">
        <v>1973</v>
      </c>
      <c r="B462" s="21" t="str">
        <f>IMAGE("https://raw.githubusercontent.com/ltdimages/images/refs/heads/main/Food372.png")</f>
        <v/>
      </c>
      <c r="C462" s="22" t="s">
        <v>1974</v>
      </c>
      <c r="D462" s="22" t="s">
        <v>1873</v>
      </c>
      <c r="E462" s="22" t="s">
        <v>1879</v>
      </c>
      <c r="F462" s="23" t="s">
        <v>1210</v>
      </c>
      <c r="G462" s="23">
        <v>2.0</v>
      </c>
      <c r="H462" s="22" t="s">
        <v>45</v>
      </c>
      <c r="I462" s="22" t="s">
        <v>46</v>
      </c>
      <c r="J462" s="22" t="s">
        <v>45</v>
      </c>
      <c r="K462" s="22" t="s">
        <v>47</v>
      </c>
      <c r="L462" s="22" t="s">
        <v>172</v>
      </c>
      <c r="M462" s="22" t="s">
        <v>49</v>
      </c>
      <c r="N462" s="22" t="s">
        <v>49</v>
      </c>
      <c r="O462" s="22" t="s">
        <v>49</v>
      </c>
      <c r="P462" s="22" t="s">
        <v>49</v>
      </c>
      <c r="Q462" s="22" t="s">
        <v>1975</v>
      </c>
      <c r="R462" s="22" t="s">
        <v>1976</v>
      </c>
    </row>
    <row r="463" ht="45.0" customHeight="1">
      <c r="A463" s="20" t="s">
        <v>1977</v>
      </c>
      <c r="B463" s="21" t="str">
        <f>IMAGE("https://raw.githubusercontent.com/ltdimages/images/refs/heads/main/Food068.png")</f>
        <v/>
      </c>
      <c r="C463" s="22" t="s">
        <v>1978</v>
      </c>
      <c r="D463" s="22" t="s">
        <v>1873</v>
      </c>
      <c r="E463" s="22" t="s">
        <v>1879</v>
      </c>
      <c r="F463" s="23"/>
      <c r="G463" s="23">
        <v>0.9</v>
      </c>
      <c r="H463" s="22" t="s">
        <v>49</v>
      </c>
      <c r="I463" s="22" t="s">
        <v>46</v>
      </c>
      <c r="J463" s="22" t="s">
        <v>45</v>
      </c>
      <c r="K463" s="22" t="s">
        <v>47</v>
      </c>
      <c r="L463" s="22" t="s">
        <v>172</v>
      </c>
      <c r="M463" s="22" t="s">
        <v>49</v>
      </c>
      <c r="N463" s="22" t="s">
        <v>49</v>
      </c>
      <c r="O463" s="22" t="s">
        <v>49</v>
      </c>
      <c r="P463" s="22" t="s">
        <v>49</v>
      </c>
      <c r="Q463" s="22" t="s">
        <v>1979</v>
      </c>
      <c r="R463" s="22" t="s">
        <v>1980</v>
      </c>
    </row>
    <row r="464" ht="45.0" customHeight="1">
      <c r="A464" s="20" t="s">
        <v>1981</v>
      </c>
      <c r="B464" s="21" t="str">
        <f>IMAGE("https://raw.githubusercontent.com/ltdimages/images/refs/heads/main/Food048.png")</f>
        <v/>
      </c>
      <c r="C464" s="22" t="s">
        <v>1982</v>
      </c>
      <c r="D464" s="22" t="s">
        <v>1873</v>
      </c>
      <c r="E464" s="22" t="s">
        <v>1879</v>
      </c>
      <c r="F464" s="23"/>
      <c r="G464" s="23">
        <v>5.5</v>
      </c>
      <c r="H464" s="22" t="s">
        <v>49</v>
      </c>
      <c r="I464" s="22" t="s">
        <v>46</v>
      </c>
      <c r="J464" s="22" t="s">
        <v>45</v>
      </c>
      <c r="K464" s="22" t="s">
        <v>47</v>
      </c>
      <c r="L464" s="22" t="s">
        <v>57</v>
      </c>
      <c r="M464" s="22" t="s">
        <v>49</v>
      </c>
      <c r="N464" s="22" t="s">
        <v>49</v>
      </c>
      <c r="O464" s="22" t="s">
        <v>49</v>
      </c>
      <c r="P464" s="22" t="s">
        <v>49</v>
      </c>
      <c r="Q464" s="22" t="s">
        <v>1983</v>
      </c>
      <c r="R464" s="22" t="s">
        <v>1984</v>
      </c>
    </row>
    <row r="465" ht="45.0" customHeight="1">
      <c r="A465" s="20" t="s">
        <v>1985</v>
      </c>
      <c r="B465" s="21" t="str">
        <f>IMAGE("https://raw.githubusercontent.com/ltdimages/images/refs/heads/main/Food132.png")</f>
        <v/>
      </c>
      <c r="C465" s="22" t="s">
        <v>1986</v>
      </c>
      <c r="D465" s="22" t="s">
        <v>1873</v>
      </c>
      <c r="E465" s="22" t="s">
        <v>1908</v>
      </c>
      <c r="F465" s="23" t="s">
        <v>131</v>
      </c>
      <c r="G465" s="23">
        <v>1.5</v>
      </c>
      <c r="H465" s="22" t="s">
        <v>49</v>
      </c>
      <c r="I465" s="22" t="s">
        <v>46</v>
      </c>
      <c r="J465" s="22" t="s">
        <v>45</v>
      </c>
      <c r="K465" s="22" t="s">
        <v>47</v>
      </c>
      <c r="L465" s="22" t="s">
        <v>172</v>
      </c>
      <c r="M465" s="22" t="s">
        <v>49</v>
      </c>
      <c r="N465" s="22" t="s">
        <v>49</v>
      </c>
      <c r="O465" s="22" t="s">
        <v>49</v>
      </c>
      <c r="P465" s="22" t="s">
        <v>49</v>
      </c>
      <c r="Q465" s="22" t="s">
        <v>1987</v>
      </c>
      <c r="R465" s="22" t="s">
        <v>1988</v>
      </c>
    </row>
    <row r="466" ht="45.0" customHeight="1">
      <c r="A466" s="20" t="s">
        <v>1989</v>
      </c>
      <c r="B466" s="21" t="str">
        <f>IMAGE("https://raw.githubusercontent.com/ltdimages/images/refs/heads/main/Food294.png")</f>
        <v/>
      </c>
      <c r="C466" s="22" t="s">
        <v>1990</v>
      </c>
      <c r="D466" s="22" t="s">
        <v>1873</v>
      </c>
      <c r="E466" s="22" t="s">
        <v>1879</v>
      </c>
      <c r="F466" s="23" t="s">
        <v>407</v>
      </c>
      <c r="G466" s="23">
        <v>5.4</v>
      </c>
      <c r="H466" s="22" t="s">
        <v>49</v>
      </c>
      <c r="I466" s="22" t="s">
        <v>46</v>
      </c>
      <c r="J466" s="22" t="s">
        <v>45</v>
      </c>
      <c r="K466" s="22" t="s">
        <v>47</v>
      </c>
      <c r="L466" s="22" t="s">
        <v>57</v>
      </c>
      <c r="M466" s="22" t="s">
        <v>49</v>
      </c>
      <c r="N466" s="22" t="s">
        <v>45</v>
      </c>
      <c r="O466" s="22" t="s">
        <v>49</v>
      </c>
      <c r="P466" s="22" t="s">
        <v>45</v>
      </c>
      <c r="Q466" s="22" t="s">
        <v>1991</v>
      </c>
      <c r="R466" s="22" t="s">
        <v>1992</v>
      </c>
    </row>
  </sheetData>
  <autoFilter ref="$A$1:$R$466">
    <sortState ref="A1:R466">
      <sortCondition ref="A1:A466"/>
      <sortCondition descending="1" ref="G1:G466"/>
      <sortCondition descending="1" ref="O1:O466"/>
      <sortCondition descending="1" ref="P1:P466"/>
      <sortCondition descending="1" ref="N1:N466"/>
      <sortCondition descending="1" ref="M1:M466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7.5"/>
    <col customWidth="1" min="2" max="2" width="7.63"/>
    <col customWidth="1" min="3" max="3" width="14.0"/>
    <col customWidth="1" min="9" max="9" width="10.38"/>
    <col customWidth="1" min="10" max="13" width="12.0"/>
    <col customWidth="1" min="14" max="14" width="12.5"/>
    <col customWidth="1" min="15" max="15" width="16.88"/>
    <col customWidth="1" min="16" max="16" width="33.38"/>
    <col customWidth="1" min="17" max="17" width="16.25"/>
  </cols>
  <sheetData>
    <row r="1" ht="31.5" customHeight="1">
      <c r="A1" s="27" t="s">
        <v>23</v>
      </c>
      <c r="B1" s="28" t="s">
        <v>24</v>
      </c>
      <c r="C1" s="29" t="s">
        <v>25</v>
      </c>
      <c r="D1" s="28" t="s">
        <v>1993</v>
      </c>
      <c r="E1" s="28" t="s">
        <v>1994</v>
      </c>
      <c r="F1" s="28" t="s">
        <v>29</v>
      </c>
      <c r="G1" s="28" t="s">
        <v>1995</v>
      </c>
      <c r="H1" s="28" t="s">
        <v>1996</v>
      </c>
      <c r="I1" s="28" t="s">
        <v>1997</v>
      </c>
      <c r="J1" s="30" t="s">
        <v>35</v>
      </c>
      <c r="K1" s="30" t="s">
        <v>36</v>
      </c>
      <c r="L1" s="30" t="s">
        <v>37</v>
      </c>
      <c r="M1" s="30" t="s">
        <v>38</v>
      </c>
      <c r="N1" s="30" t="s">
        <v>1998</v>
      </c>
      <c r="O1" s="30" t="s">
        <v>1999</v>
      </c>
      <c r="P1" s="30" t="s">
        <v>39</v>
      </c>
      <c r="Q1" s="28" t="s">
        <v>40</v>
      </c>
    </row>
    <row r="2" ht="45.0" customHeight="1">
      <c r="A2" s="31" t="s">
        <v>41</v>
      </c>
      <c r="B2" s="32" t="str">
        <f>IMAGE("https://raw.githubusercontent.com/ltdimages/images/refs/heads/main/ItemDVD.png")</f>
        <v/>
      </c>
      <c r="C2" s="33" t="s">
        <v>2000</v>
      </c>
      <c r="D2" s="34" t="s">
        <v>2001</v>
      </c>
      <c r="E2" s="34" t="s">
        <v>2002</v>
      </c>
      <c r="F2" s="35">
        <v>5.0</v>
      </c>
      <c r="G2" s="35">
        <v>0.0</v>
      </c>
      <c r="H2" s="34" t="s">
        <v>45</v>
      </c>
      <c r="I2" s="34" t="s">
        <v>2002</v>
      </c>
      <c r="J2" s="34" t="s">
        <v>49</v>
      </c>
      <c r="K2" s="34" t="s">
        <v>49</v>
      </c>
      <c r="L2" s="34" t="s">
        <v>49</v>
      </c>
      <c r="M2" s="34" t="s">
        <v>49</v>
      </c>
      <c r="N2" s="34" t="s">
        <v>49</v>
      </c>
      <c r="O2" s="36">
        <v>11.0</v>
      </c>
      <c r="P2" s="34" t="s">
        <v>2003</v>
      </c>
      <c r="Q2" s="34" t="s">
        <v>2004</v>
      </c>
    </row>
    <row r="3" ht="45.0" customHeight="1">
      <c r="A3" s="37" t="s">
        <v>52</v>
      </c>
      <c r="B3" s="38" t="str">
        <f>IMAGE("https://raw.githubusercontent.com/ltdimages/images/refs/heads/main/ItemBaseballBall.png")</f>
        <v/>
      </c>
      <c r="C3" s="39" t="s">
        <v>2005</v>
      </c>
      <c r="D3" s="40" t="s">
        <v>2001</v>
      </c>
      <c r="E3" s="40" t="s">
        <v>2002</v>
      </c>
      <c r="F3" s="41">
        <v>20.0</v>
      </c>
      <c r="G3" s="41">
        <v>0.0</v>
      </c>
      <c r="H3" s="40" t="s">
        <v>49</v>
      </c>
      <c r="I3" s="40" t="s">
        <v>2002</v>
      </c>
      <c r="J3" s="40" t="s">
        <v>49</v>
      </c>
      <c r="K3" s="40" t="s">
        <v>49</v>
      </c>
      <c r="L3" s="40" t="s">
        <v>49</v>
      </c>
      <c r="M3" s="40" t="s">
        <v>49</v>
      </c>
      <c r="N3" s="40" t="s">
        <v>49</v>
      </c>
      <c r="O3" s="42">
        <v>1.0</v>
      </c>
      <c r="P3" s="42" t="s">
        <v>2006</v>
      </c>
      <c r="Q3" s="40" t="s">
        <v>2007</v>
      </c>
    </row>
    <row r="4" ht="45.0" customHeight="1">
      <c r="A4" s="31" t="s">
        <v>60</v>
      </c>
      <c r="B4" s="32" t="str">
        <f>IMAGE("https://raw.githubusercontent.com/ltdimages/images/refs/heads/main/ItemSetBubble.png")</f>
        <v/>
      </c>
      <c r="C4" s="43" t="s">
        <v>2008</v>
      </c>
      <c r="D4" s="34" t="s">
        <v>2001</v>
      </c>
      <c r="E4" s="34" t="s">
        <v>2002</v>
      </c>
      <c r="F4" s="35">
        <v>3.5</v>
      </c>
      <c r="G4" s="35">
        <v>0.0</v>
      </c>
      <c r="H4" s="34" t="s">
        <v>49</v>
      </c>
      <c r="I4" s="34" t="s">
        <v>2002</v>
      </c>
      <c r="J4" s="34" t="s">
        <v>49</v>
      </c>
      <c r="K4" s="34" t="s">
        <v>49</v>
      </c>
      <c r="L4" s="34" t="s">
        <v>49</v>
      </c>
      <c r="M4" s="34" t="s">
        <v>49</v>
      </c>
      <c r="N4" s="34" t="s">
        <v>49</v>
      </c>
      <c r="O4" s="36">
        <v>0.0</v>
      </c>
      <c r="P4" s="36" t="s">
        <v>2009</v>
      </c>
      <c r="Q4" s="34" t="s">
        <v>2010</v>
      </c>
    </row>
    <row r="5" ht="45.0" customHeight="1">
      <c r="A5" s="31" t="s">
        <v>65</v>
      </c>
      <c r="B5" s="32" t="str">
        <f>IMAGE("https://raw.githubusercontent.com/ltdimages/images/refs/heads/main/ItemDSLRCamera.png")</f>
        <v/>
      </c>
      <c r="C5" s="43" t="s">
        <v>2011</v>
      </c>
      <c r="D5" s="34" t="s">
        <v>2001</v>
      </c>
      <c r="E5" s="34" t="s">
        <v>2002</v>
      </c>
      <c r="F5" s="35">
        <v>0.0</v>
      </c>
      <c r="G5" s="35">
        <v>0.0</v>
      </c>
      <c r="H5" s="34" t="s">
        <v>49</v>
      </c>
      <c r="I5" s="34" t="s">
        <v>2002</v>
      </c>
      <c r="J5" s="34" t="s">
        <v>49</v>
      </c>
      <c r="K5" s="34" t="s">
        <v>49</v>
      </c>
      <c r="L5" s="34" t="s">
        <v>49</v>
      </c>
      <c r="M5" s="34" t="s">
        <v>49</v>
      </c>
      <c r="N5" s="34" t="s">
        <v>49</v>
      </c>
      <c r="O5" s="36">
        <v>1.0</v>
      </c>
      <c r="P5" s="34" t="s">
        <v>2012</v>
      </c>
      <c r="Q5" s="34" t="s">
        <v>2013</v>
      </c>
    </row>
    <row r="6" ht="45.0" customHeight="1">
      <c r="A6" s="31" t="s">
        <v>70</v>
      </c>
      <c r="B6" s="32" t="str">
        <f>IMAGE("https://raw.githubusercontent.com/ltdimages/images/refs/heads/main/ItemGuitar.png")</f>
        <v/>
      </c>
      <c r="C6" s="43" t="s">
        <v>2014</v>
      </c>
      <c r="D6" s="34" t="s">
        <v>2001</v>
      </c>
      <c r="E6" s="34" t="s">
        <v>2002</v>
      </c>
      <c r="F6" s="35">
        <v>5.0</v>
      </c>
      <c r="G6" s="35">
        <v>0.0</v>
      </c>
      <c r="H6" s="34" t="s">
        <v>45</v>
      </c>
      <c r="I6" s="34" t="s">
        <v>2002</v>
      </c>
      <c r="J6" s="34" t="s">
        <v>49</v>
      </c>
      <c r="K6" s="34" t="s">
        <v>49</v>
      </c>
      <c r="L6" s="34" t="s">
        <v>49</v>
      </c>
      <c r="M6" s="34" t="s">
        <v>49</v>
      </c>
      <c r="N6" s="34" t="s">
        <v>49</v>
      </c>
      <c r="O6" s="36">
        <v>1.0</v>
      </c>
      <c r="P6" s="34" t="s">
        <v>2015</v>
      </c>
      <c r="Q6" s="34" t="s">
        <v>2016</v>
      </c>
    </row>
    <row r="7" ht="45.0" customHeight="1">
      <c r="A7" s="37" t="s">
        <v>74</v>
      </c>
      <c r="B7" s="38" t="str">
        <f>IMAGE("https://raw.githubusercontent.com/ltdimages/images/refs/heads/main/ItemDVD_01.png")</f>
        <v/>
      </c>
      <c r="C7" s="44" t="s">
        <v>2017</v>
      </c>
      <c r="D7" s="40" t="s">
        <v>2001</v>
      </c>
      <c r="E7" s="40" t="s">
        <v>2002</v>
      </c>
      <c r="F7" s="41">
        <v>5.0</v>
      </c>
      <c r="G7" s="41">
        <v>0.0</v>
      </c>
      <c r="H7" s="40" t="s">
        <v>49</v>
      </c>
      <c r="I7" s="40" t="s">
        <v>2002</v>
      </c>
      <c r="J7" s="40" t="s">
        <v>49</v>
      </c>
      <c r="K7" s="40" t="s">
        <v>49</v>
      </c>
      <c r="L7" s="40" t="s">
        <v>49</v>
      </c>
      <c r="M7" s="40" t="s">
        <v>49</v>
      </c>
      <c r="N7" s="40" t="s">
        <v>49</v>
      </c>
      <c r="O7" s="42">
        <v>0.0</v>
      </c>
      <c r="P7" s="40" t="s">
        <v>2018</v>
      </c>
      <c r="Q7" s="40" t="s">
        <v>2019</v>
      </c>
    </row>
    <row r="8" ht="45.0" customHeight="1">
      <c r="A8" s="31" t="s">
        <v>78</v>
      </c>
      <c r="B8" s="32" t="str">
        <f>IMAGE("https://raw.githubusercontent.com/ltdimages/images/refs/heads/main/ItemDVD_04.png")</f>
        <v/>
      </c>
      <c r="C8" s="43" t="s">
        <v>2020</v>
      </c>
      <c r="D8" s="34" t="s">
        <v>2001</v>
      </c>
      <c r="E8" s="34" t="s">
        <v>2002</v>
      </c>
      <c r="F8" s="35">
        <v>5.0</v>
      </c>
      <c r="G8" s="35">
        <v>0.0</v>
      </c>
      <c r="H8" s="34" t="s">
        <v>45</v>
      </c>
      <c r="I8" s="34" t="s">
        <v>2002</v>
      </c>
      <c r="J8" s="34" t="s">
        <v>49</v>
      </c>
      <c r="K8" s="34" t="s">
        <v>49</v>
      </c>
      <c r="L8" s="34" t="s">
        <v>49</v>
      </c>
      <c r="M8" s="34" t="s">
        <v>49</v>
      </c>
      <c r="N8" s="34" t="s">
        <v>49</v>
      </c>
      <c r="O8" s="36">
        <v>16.0</v>
      </c>
      <c r="P8" s="34" t="s">
        <v>2021</v>
      </c>
      <c r="Q8" s="34" t="s">
        <v>2022</v>
      </c>
    </row>
    <row r="9" ht="45.0" customHeight="1">
      <c r="A9" s="31" t="s">
        <v>83</v>
      </c>
      <c r="B9" s="32" t="str">
        <f>IMAGE("https://raw.githubusercontent.com/ltdimages/images/refs/heads/main/ItemSetKnitting.png")</f>
        <v/>
      </c>
      <c r="C9" s="43" t="s">
        <v>2023</v>
      </c>
      <c r="D9" s="34" t="s">
        <v>2001</v>
      </c>
      <c r="E9" s="34" t="s">
        <v>2002</v>
      </c>
      <c r="F9" s="35">
        <v>5.0</v>
      </c>
      <c r="G9" s="35">
        <v>0.0</v>
      </c>
      <c r="H9" s="34" t="s">
        <v>45</v>
      </c>
      <c r="I9" s="34" t="s">
        <v>2002</v>
      </c>
      <c r="J9" s="34" t="s">
        <v>49</v>
      </c>
      <c r="K9" s="34" t="s">
        <v>49</v>
      </c>
      <c r="L9" s="34" t="s">
        <v>49</v>
      </c>
      <c r="M9" s="34" t="s">
        <v>49</v>
      </c>
      <c r="N9" s="34" t="s">
        <v>49</v>
      </c>
      <c r="O9" s="36">
        <v>0.0</v>
      </c>
      <c r="P9" s="34" t="s">
        <v>2024</v>
      </c>
      <c r="Q9" s="34" t="s">
        <v>2025</v>
      </c>
    </row>
    <row r="10" ht="45.0" customHeight="1">
      <c r="A10" s="31" t="s">
        <v>89</v>
      </c>
      <c r="B10" s="32" t="str">
        <f>IMAGE("https://raw.githubusercontent.com/ltdimages/images/refs/heads/main/ItemLaptop.png")</f>
        <v/>
      </c>
      <c r="C10" s="43" t="s">
        <v>2026</v>
      </c>
      <c r="D10" s="34" t="s">
        <v>2001</v>
      </c>
      <c r="E10" s="34" t="s">
        <v>2002</v>
      </c>
      <c r="F10" s="35">
        <v>0.0</v>
      </c>
      <c r="G10" s="35">
        <v>0.0</v>
      </c>
      <c r="H10" s="34" t="s">
        <v>49</v>
      </c>
      <c r="I10" s="34" t="s">
        <v>2002</v>
      </c>
      <c r="J10" s="34" t="s">
        <v>49</v>
      </c>
      <c r="K10" s="34" t="s">
        <v>49</v>
      </c>
      <c r="L10" s="34" t="s">
        <v>49</v>
      </c>
      <c r="M10" s="34" t="s">
        <v>49</v>
      </c>
      <c r="N10" s="34" t="s">
        <v>49</v>
      </c>
      <c r="O10" s="36">
        <v>0.0</v>
      </c>
      <c r="P10" s="34" t="s">
        <v>2027</v>
      </c>
      <c r="Q10" s="34" t="s">
        <v>2028</v>
      </c>
    </row>
    <row r="11" ht="45.0" customHeight="1">
      <c r="A11" s="37" t="s">
        <v>94</v>
      </c>
      <c r="B11" s="38" t="str">
        <f>IMAGE("https://raw.githubusercontent.com/ltdimages/images/refs/heads/main/ItemSetMaracas.png")</f>
        <v/>
      </c>
      <c r="C11" s="39" t="s">
        <v>2029</v>
      </c>
      <c r="D11" s="40" t="s">
        <v>2001</v>
      </c>
      <c r="E11" s="40" t="s">
        <v>2002</v>
      </c>
      <c r="F11" s="41">
        <v>20.0</v>
      </c>
      <c r="G11" s="41">
        <v>0.0</v>
      </c>
      <c r="H11" s="40" t="s">
        <v>45</v>
      </c>
      <c r="I11" s="40" t="s">
        <v>2002</v>
      </c>
      <c r="J11" s="40" t="s">
        <v>49</v>
      </c>
      <c r="K11" s="40" t="s">
        <v>49</v>
      </c>
      <c r="L11" s="40" t="s">
        <v>49</v>
      </c>
      <c r="M11" s="40" t="s">
        <v>49</v>
      </c>
      <c r="N11" s="40" t="s">
        <v>49</v>
      </c>
      <c r="O11" s="42">
        <v>0.0</v>
      </c>
      <c r="P11" s="40" t="s">
        <v>2030</v>
      </c>
      <c r="Q11" s="40" t="s">
        <v>2031</v>
      </c>
    </row>
    <row r="12" ht="45.0" customHeight="1">
      <c r="A12" s="31" t="s">
        <v>98</v>
      </c>
      <c r="B12" s="32" t="str">
        <f>IMAGE("https://raw.githubusercontent.com/ltdimages/images/refs/heads/main/ItemDVD_02.png")</f>
        <v/>
      </c>
      <c r="C12" s="43" t="s">
        <v>2032</v>
      </c>
      <c r="D12" s="34" t="s">
        <v>2001</v>
      </c>
      <c r="E12" s="34" t="s">
        <v>2002</v>
      </c>
      <c r="F12" s="35">
        <v>5.0</v>
      </c>
      <c r="G12" s="35">
        <v>0.0</v>
      </c>
      <c r="H12" s="34" t="s">
        <v>49</v>
      </c>
      <c r="I12" s="34" t="s">
        <v>2002</v>
      </c>
      <c r="J12" s="34" t="s">
        <v>49</v>
      </c>
      <c r="K12" s="34" t="s">
        <v>49</v>
      </c>
      <c r="L12" s="34" t="s">
        <v>49</v>
      </c>
      <c r="M12" s="34" t="s">
        <v>49</v>
      </c>
      <c r="N12" s="34" t="s">
        <v>49</v>
      </c>
      <c r="O12" s="36">
        <v>6.0</v>
      </c>
      <c r="P12" s="34" t="s">
        <v>2033</v>
      </c>
      <c r="Q12" s="34" t="s">
        <v>2034</v>
      </c>
    </row>
    <row r="13" ht="45.0" customHeight="1">
      <c r="A13" s="37" t="s">
        <v>104</v>
      </c>
      <c r="B13" s="38" t="str">
        <f>IMAGE("https://raw.githubusercontent.com/ltdimages/images/refs/heads/main/ItemSetPainting.png")</f>
        <v/>
      </c>
      <c r="C13" s="39" t="s">
        <v>2035</v>
      </c>
      <c r="D13" s="40" t="s">
        <v>2001</v>
      </c>
      <c r="E13" s="40" t="s">
        <v>2002</v>
      </c>
      <c r="F13" s="41">
        <v>5.0</v>
      </c>
      <c r="G13" s="41">
        <v>0.0</v>
      </c>
      <c r="H13" s="40" t="s">
        <v>45</v>
      </c>
      <c r="I13" s="40" t="s">
        <v>2002</v>
      </c>
      <c r="J13" s="40" t="s">
        <v>49</v>
      </c>
      <c r="K13" s="40" t="s">
        <v>49</v>
      </c>
      <c r="L13" s="40" t="s">
        <v>49</v>
      </c>
      <c r="M13" s="40" t="s">
        <v>49</v>
      </c>
      <c r="N13" s="40" t="s">
        <v>49</v>
      </c>
      <c r="O13" s="42">
        <v>26.0</v>
      </c>
      <c r="P13" s="40" t="s">
        <v>2036</v>
      </c>
      <c r="Q13" s="40" t="s">
        <v>2037</v>
      </c>
    </row>
    <row r="14" ht="45.0" customHeight="1">
      <c r="A14" s="31" t="s">
        <v>109</v>
      </c>
      <c r="B14" s="32" t="str">
        <f>IMAGE("https://raw.githubusercontent.com/ltdimages/images/refs/heads/main/ItemSoccerBall.png")</f>
        <v/>
      </c>
      <c r="C14" s="43" t="s">
        <v>2038</v>
      </c>
      <c r="D14" s="34" t="s">
        <v>2001</v>
      </c>
      <c r="E14" s="34" t="s">
        <v>2002</v>
      </c>
      <c r="F14" s="35">
        <v>20.0</v>
      </c>
      <c r="G14" s="35">
        <v>0.0</v>
      </c>
      <c r="H14" s="34" t="s">
        <v>45</v>
      </c>
      <c r="I14" s="34" t="s">
        <v>2002</v>
      </c>
      <c r="J14" s="34" t="s">
        <v>49</v>
      </c>
      <c r="K14" s="34" t="s">
        <v>49</v>
      </c>
      <c r="L14" s="34" t="s">
        <v>49</v>
      </c>
      <c r="M14" s="34" t="s">
        <v>49</v>
      </c>
      <c r="N14" s="34" t="s">
        <v>49</v>
      </c>
      <c r="O14" s="36">
        <v>1.0</v>
      </c>
      <c r="P14" s="34" t="s">
        <v>2039</v>
      </c>
      <c r="Q14" s="34" t="s">
        <v>2040</v>
      </c>
    </row>
    <row r="15" ht="45.0" customHeight="1">
      <c r="A15" s="37" t="s">
        <v>115</v>
      </c>
      <c r="B15" s="38" t="str">
        <f>IMAGE("https://raw.githubusercontent.com/ltdimages/images/refs/heads/main/ItemDVD_03.png")</f>
        <v/>
      </c>
      <c r="C15" s="39" t="s">
        <v>2041</v>
      </c>
      <c r="D15" s="40" t="s">
        <v>2001</v>
      </c>
      <c r="E15" s="40" t="s">
        <v>2002</v>
      </c>
      <c r="F15" s="41">
        <v>3.5</v>
      </c>
      <c r="G15" s="41">
        <v>0.0</v>
      </c>
      <c r="H15" s="40" t="s">
        <v>49</v>
      </c>
      <c r="I15" s="40" t="s">
        <v>2002</v>
      </c>
      <c r="J15" s="40" t="s">
        <v>49</v>
      </c>
      <c r="K15" s="40" t="s">
        <v>49</v>
      </c>
      <c r="L15" s="40" t="s">
        <v>49</v>
      </c>
      <c r="M15" s="40" t="s">
        <v>49</v>
      </c>
      <c r="N15" s="40" t="s">
        <v>49</v>
      </c>
      <c r="O15" s="42">
        <v>1.0</v>
      </c>
      <c r="P15" s="40" t="s">
        <v>2042</v>
      </c>
      <c r="Q15" s="40" t="s">
        <v>2043</v>
      </c>
    </row>
    <row r="16" ht="45.0" customHeight="1">
      <c r="A16" s="37" t="s">
        <v>119</v>
      </c>
      <c r="B16" s="38" t="str">
        <f>IMAGE("https://raw.githubusercontent.com/ltdimages/images/refs/heads/main/ItemToySword.png")</f>
        <v/>
      </c>
      <c r="C16" s="39" t="s">
        <v>2044</v>
      </c>
      <c r="D16" s="40" t="s">
        <v>2001</v>
      </c>
      <c r="E16" s="40" t="s">
        <v>2002</v>
      </c>
      <c r="F16" s="41">
        <v>5.0</v>
      </c>
      <c r="G16" s="41">
        <v>0.0</v>
      </c>
      <c r="H16" s="40" t="s">
        <v>45</v>
      </c>
      <c r="I16" s="40" t="s">
        <v>2002</v>
      </c>
      <c r="J16" s="40" t="s">
        <v>49</v>
      </c>
      <c r="K16" s="40" t="s">
        <v>49</v>
      </c>
      <c r="L16" s="40" t="s">
        <v>49</v>
      </c>
      <c r="M16" s="40" t="s">
        <v>49</v>
      </c>
      <c r="N16" s="40" t="s">
        <v>49</v>
      </c>
      <c r="O16" s="42">
        <v>21.0</v>
      </c>
      <c r="P16" s="40" t="s">
        <v>2045</v>
      </c>
      <c r="Q16" s="40" t="s">
        <v>2046</v>
      </c>
    </row>
    <row r="17" ht="45.0" customHeight="1">
      <c r="A17" s="37" t="s">
        <v>124</v>
      </c>
      <c r="B17" s="38" t="str">
        <f>IMAGE("https://raw.githubusercontent.com/ltdimages/images/refs/heads/main/ItemDVD_05.png")</f>
        <v/>
      </c>
      <c r="C17" s="39" t="s">
        <v>2047</v>
      </c>
      <c r="D17" s="40" t="s">
        <v>2001</v>
      </c>
      <c r="E17" s="40" t="s">
        <v>2002</v>
      </c>
      <c r="F17" s="41">
        <v>5.0</v>
      </c>
      <c r="G17" s="41">
        <v>0.0</v>
      </c>
      <c r="H17" s="40" t="s">
        <v>49</v>
      </c>
      <c r="I17" s="40" t="s">
        <v>2002</v>
      </c>
      <c r="J17" s="40" t="s">
        <v>49</v>
      </c>
      <c r="K17" s="40" t="s">
        <v>49</v>
      </c>
      <c r="L17" s="40" t="s">
        <v>49</v>
      </c>
      <c r="M17" s="40" t="s">
        <v>49</v>
      </c>
      <c r="N17" s="40" t="s">
        <v>49</v>
      </c>
      <c r="O17" s="42">
        <v>1.0</v>
      </c>
      <c r="P17" s="40" t="s">
        <v>2048</v>
      </c>
      <c r="Q17" s="40" t="s">
        <v>2049</v>
      </c>
    </row>
  </sheetData>
  <autoFilter ref="$A$1:$Q$17">
    <sortState ref="A1:Q17">
      <sortCondition ref="A1:A17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0"/>
    <col customWidth="1" min="2" max="2" width="7.63"/>
    <col customWidth="1" min="3" max="3" width="18.25"/>
    <col customWidth="1" min="4" max="4" width="34.75"/>
    <col customWidth="1" min="5" max="5" width="16.63"/>
    <col customWidth="1" min="6" max="6" width="18.88"/>
    <col customWidth="1" min="7" max="7" width="34.75"/>
    <col customWidth="1" min="8" max="8" width="20.0"/>
    <col customWidth="1" min="9" max="9" width="14.5"/>
  </cols>
  <sheetData>
    <row r="1" ht="31.5" customHeight="1">
      <c r="A1" s="18" t="s">
        <v>23</v>
      </c>
      <c r="B1" s="19" t="s">
        <v>24</v>
      </c>
      <c r="C1" s="19" t="s">
        <v>2050</v>
      </c>
      <c r="D1" s="19" t="s">
        <v>2051</v>
      </c>
      <c r="E1" s="19" t="s">
        <v>2052</v>
      </c>
      <c r="F1" s="30" t="s">
        <v>1999</v>
      </c>
      <c r="G1" s="19" t="s">
        <v>2053</v>
      </c>
      <c r="H1" s="19" t="s">
        <v>2054</v>
      </c>
      <c r="I1" s="19" t="s">
        <v>2055</v>
      </c>
    </row>
    <row r="2" ht="45.0" customHeight="1">
      <c r="A2" s="20" t="s">
        <v>41</v>
      </c>
      <c r="B2" s="21" t="str">
        <f t="shared" ref="B2:B15" si="1">IMAGE("https://raw.githubusercontent.com/ltdimages/images/refs/heads/main/PetitPersonality_GreetingType.png")</f>
        <v/>
      </c>
      <c r="C2" s="22" t="s">
        <v>2056</v>
      </c>
      <c r="D2" s="22" t="s">
        <v>2057</v>
      </c>
      <c r="E2" s="22"/>
      <c r="F2" s="22">
        <v>0.0</v>
      </c>
      <c r="G2" s="23"/>
      <c r="H2" s="22" t="s">
        <v>2058</v>
      </c>
      <c r="I2" s="22" t="s">
        <v>2059</v>
      </c>
    </row>
    <row r="3" ht="45.0" customHeight="1">
      <c r="A3" s="20" t="s">
        <v>52</v>
      </c>
      <c r="B3" s="21" t="str">
        <f t="shared" si="1"/>
        <v/>
      </c>
      <c r="C3" s="22" t="s">
        <v>2060</v>
      </c>
      <c r="D3" s="22" t="s">
        <v>2061</v>
      </c>
      <c r="E3" s="22"/>
      <c r="F3" s="22">
        <v>0.0</v>
      </c>
      <c r="G3" s="23"/>
      <c r="H3" s="22" t="s">
        <v>2062</v>
      </c>
      <c r="I3" s="22" t="s">
        <v>2059</v>
      </c>
    </row>
    <row r="4" ht="45.0" customHeight="1">
      <c r="A4" s="20" t="s">
        <v>60</v>
      </c>
      <c r="B4" s="21" t="str">
        <f t="shared" si="1"/>
        <v/>
      </c>
      <c r="C4" s="22" t="s">
        <v>2063</v>
      </c>
      <c r="D4" s="22" t="s">
        <v>2064</v>
      </c>
      <c r="E4" s="22"/>
      <c r="F4" s="22">
        <v>0.0</v>
      </c>
      <c r="G4" s="23"/>
      <c r="H4" s="22" t="s">
        <v>2065</v>
      </c>
      <c r="I4" s="22" t="s">
        <v>2059</v>
      </c>
    </row>
    <row r="5" ht="45.0" customHeight="1">
      <c r="A5" s="20" t="s">
        <v>65</v>
      </c>
      <c r="B5" s="21" t="str">
        <f t="shared" si="1"/>
        <v/>
      </c>
      <c r="C5" s="22" t="s">
        <v>2066</v>
      </c>
      <c r="D5" s="22" t="s">
        <v>2067</v>
      </c>
      <c r="E5" s="22"/>
      <c r="F5" s="22">
        <v>0.0</v>
      </c>
      <c r="G5" s="23"/>
      <c r="H5" s="22" t="s">
        <v>2068</v>
      </c>
      <c r="I5" s="22" t="s">
        <v>2059</v>
      </c>
    </row>
    <row r="6" ht="45.0" customHeight="1">
      <c r="A6" s="20" t="s">
        <v>70</v>
      </c>
      <c r="B6" s="21" t="str">
        <f t="shared" si="1"/>
        <v/>
      </c>
      <c r="C6" s="22" t="s">
        <v>2069</v>
      </c>
      <c r="D6" s="22" t="s">
        <v>2070</v>
      </c>
      <c r="E6" s="22"/>
      <c r="F6" s="22">
        <v>0.0</v>
      </c>
      <c r="G6" s="23"/>
      <c r="H6" s="22" t="s">
        <v>2071</v>
      </c>
      <c r="I6" s="22" t="s">
        <v>2059</v>
      </c>
    </row>
    <row r="7" ht="45.0" customHeight="1">
      <c r="A7" s="20" t="s">
        <v>74</v>
      </c>
      <c r="B7" s="21" t="str">
        <f t="shared" si="1"/>
        <v/>
      </c>
      <c r="C7" s="22" t="s">
        <v>2072</v>
      </c>
      <c r="D7" s="22" t="s">
        <v>2073</v>
      </c>
      <c r="E7" s="22"/>
      <c r="F7" s="22">
        <v>0.0</v>
      </c>
      <c r="G7" s="23"/>
      <c r="H7" s="22" t="s">
        <v>2074</v>
      </c>
      <c r="I7" s="22" t="s">
        <v>2059</v>
      </c>
    </row>
    <row r="8" ht="45.0" customHeight="1">
      <c r="A8" s="20" t="s">
        <v>78</v>
      </c>
      <c r="B8" s="21" t="str">
        <f t="shared" si="1"/>
        <v/>
      </c>
      <c r="C8" s="22" t="s">
        <v>2075</v>
      </c>
      <c r="D8" s="22" t="s">
        <v>2076</v>
      </c>
      <c r="E8" s="22"/>
      <c r="F8" s="22">
        <v>0.0</v>
      </c>
      <c r="G8" s="23"/>
      <c r="H8" s="22" t="s">
        <v>2077</v>
      </c>
      <c r="I8" s="22" t="s">
        <v>2078</v>
      </c>
    </row>
    <row r="9" ht="45.0" customHeight="1">
      <c r="A9" s="20" t="s">
        <v>83</v>
      </c>
      <c r="B9" s="21" t="str">
        <f t="shared" si="1"/>
        <v/>
      </c>
      <c r="C9" s="22" t="s">
        <v>2079</v>
      </c>
      <c r="D9" s="22" t="s">
        <v>2080</v>
      </c>
      <c r="E9" s="22"/>
      <c r="F9" s="22">
        <v>0.0</v>
      </c>
      <c r="G9" s="23"/>
      <c r="H9" s="22" t="s">
        <v>2081</v>
      </c>
      <c r="I9" s="22" t="s">
        <v>2078</v>
      </c>
    </row>
    <row r="10" ht="45.0" customHeight="1">
      <c r="A10" s="20" t="s">
        <v>89</v>
      </c>
      <c r="B10" s="21" t="str">
        <f t="shared" si="1"/>
        <v/>
      </c>
      <c r="C10" s="22" t="s">
        <v>2082</v>
      </c>
      <c r="D10" s="22" t="s">
        <v>2083</v>
      </c>
      <c r="E10" s="22"/>
      <c r="F10" s="22">
        <v>0.0</v>
      </c>
      <c r="G10" s="23"/>
      <c r="H10" s="22" t="s">
        <v>2084</v>
      </c>
      <c r="I10" s="22" t="s">
        <v>2078</v>
      </c>
    </row>
    <row r="11" ht="45.0" customHeight="1">
      <c r="A11" s="20" t="s">
        <v>94</v>
      </c>
      <c r="B11" s="21" t="str">
        <f t="shared" si="1"/>
        <v/>
      </c>
      <c r="C11" s="22" t="s">
        <v>2085</v>
      </c>
      <c r="D11" s="22" t="s">
        <v>2086</v>
      </c>
      <c r="E11" s="22"/>
      <c r="F11" s="22">
        <v>0.0</v>
      </c>
      <c r="G11" s="23"/>
      <c r="H11" s="22" t="s">
        <v>2087</v>
      </c>
      <c r="I11" s="22" t="s">
        <v>2059</v>
      </c>
    </row>
    <row r="12" ht="45.0" customHeight="1">
      <c r="A12" s="20" t="s">
        <v>98</v>
      </c>
      <c r="B12" s="21" t="str">
        <f t="shared" si="1"/>
        <v/>
      </c>
      <c r="C12" s="22" t="s">
        <v>2088</v>
      </c>
      <c r="D12" s="22" t="s">
        <v>2089</v>
      </c>
      <c r="E12" s="22"/>
      <c r="F12" s="22">
        <v>0.0</v>
      </c>
      <c r="G12" s="23"/>
      <c r="H12" s="22" t="s">
        <v>2090</v>
      </c>
      <c r="I12" s="22" t="s">
        <v>2078</v>
      </c>
    </row>
    <row r="13" ht="45.0" customHeight="1">
      <c r="A13" s="20" t="s">
        <v>104</v>
      </c>
      <c r="B13" s="21" t="str">
        <f t="shared" si="1"/>
        <v/>
      </c>
      <c r="C13" s="22" t="s">
        <v>2091</v>
      </c>
      <c r="D13" s="22" t="s">
        <v>2092</v>
      </c>
      <c r="E13" s="22"/>
      <c r="F13" s="22">
        <v>0.0</v>
      </c>
      <c r="G13" s="23"/>
      <c r="H13" s="22" t="s">
        <v>2093</v>
      </c>
      <c r="I13" s="22" t="s">
        <v>2078</v>
      </c>
    </row>
    <row r="14" ht="45.0" customHeight="1">
      <c r="A14" s="20" t="s">
        <v>109</v>
      </c>
      <c r="B14" s="21" t="str">
        <f t="shared" si="1"/>
        <v/>
      </c>
      <c r="C14" s="22" t="s">
        <v>2094</v>
      </c>
      <c r="D14" s="22" t="s">
        <v>2095</v>
      </c>
      <c r="E14" s="22"/>
      <c r="F14" s="22">
        <v>0.0</v>
      </c>
      <c r="G14" s="23"/>
      <c r="H14" s="22" t="s">
        <v>2096</v>
      </c>
      <c r="I14" s="22" t="s">
        <v>2078</v>
      </c>
    </row>
    <row r="15" ht="45.0" customHeight="1">
      <c r="A15" s="20" t="s">
        <v>115</v>
      </c>
      <c r="B15" s="21" t="str">
        <f t="shared" si="1"/>
        <v/>
      </c>
      <c r="C15" s="22" t="s">
        <v>2097</v>
      </c>
      <c r="D15" s="22" t="s">
        <v>2098</v>
      </c>
      <c r="E15" s="22"/>
      <c r="F15" s="22">
        <v>0.0</v>
      </c>
      <c r="G15" s="23"/>
      <c r="H15" s="22" t="s">
        <v>2099</v>
      </c>
      <c r="I15" s="22" t="s">
        <v>2078</v>
      </c>
    </row>
    <row r="16" ht="45.0" customHeight="1">
      <c r="A16" s="20" t="s">
        <v>119</v>
      </c>
      <c r="B16" s="21" t="str">
        <f t="shared" ref="B16:B29" si="2">IMAGE("https://raw.githubusercontent.com/ltdimages/images/refs/heads/main/PetitPersonality_StandType.png")</f>
        <v/>
      </c>
      <c r="C16" s="22" t="s">
        <v>2100</v>
      </c>
      <c r="D16" s="22" t="s">
        <v>2101</v>
      </c>
      <c r="E16" s="22"/>
      <c r="F16" s="22">
        <v>0.0</v>
      </c>
      <c r="G16" s="23"/>
      <c r="H16" s="22" t="s">
        <v>2102</v>
      </c>
      <c r="I16" s="22" t="s">
        <v>2103</v>
      </c>
    </row>
    <row r="17" ht="45.0" customHeight="1">
      <c r="A17" s="20" t="s">
        <v>124</v>
      </c>
      <c r="B17" s="21" t="str">
        <f t="shared" si="2"/>
        <v/>
      </c>
      <c r="C17" s="22" t="s">
        <v>2104</v>
      </c>
      <c r="D17" s="22" t="s">
        <v>2105</v>
      </c>
      <c r="E17" s="22"/>
      <c r="F17" s="22">
        <v>0.0</v>
      </c>
      <c r="G17" s="23"/>
      <c r="H17" s="22" t="s">
        <v>2106</v>
      </c>
      <c r="I17" s="22" t="s">
        <v>2107</v>
      </c>
    </row>
    <row r="18" ht="45.0" customHeight="1">
      <c r="A18" s="20" t="s">
        <v>129</v>
      </c>
      <c r="B18" s="21" t="str">
        <f t="shared" si="2"/>
        <v/>
      </c>
      <c r="C18" s="24" t="s">
        <v>2108</v>
      </c>
      <c r="D18" s="24" t="s">
        <v>2109</v>
      </c>
      <c r="E18" s="24"/>
      <c r="F18" s="22">
        <v>0.0</v>
      </c>
      <c r="G18" s="25"/>
      <c r="H18" s="24" t="s">
        <v>2110</v>
      </c>
      <c r="I18" s="24" t="s">
        <v>2103</v>
      </c>
    </row>
    <row r="19" ht="45.0" customHeight="1">
      <c r="A19" s="20" t="s">
        <v>134</v>
      </c>
      <c r="B19" s="21" t="str">
        <f t="shared" si="2"/>
        <v/>
      </c>
      <c r="C19" s="22" t="s">
        <v>2111</v>
      </c>
      <c r="D19" s="22" t="s">
        <v>2112</v>
      </c>
      <c r="E19" s="22"/>
      <c r="F19" s="22">
        <v>0.0</v>
      </c>
      <c r="G19" s="23"/>
      <c r="H19" s="22" t="s">
        <v>2113</v>
      </c>
      <c r="I19" s="22" t="s">
        <v>2107</v>
      </c>
    </row>
    <row r="20" ht="45.0" customHeight="1">
      <c r="A20" s="20" t="s">
        <v>138</v>
      </c>
      <c r="B20" s="21" t="str">
        <f t="shared" si="2"/>
        <v/>
      </c>
      <c r="C20" s="22" t="s">
        <v>2114</v>
      </c>
      <c r="D20" s="22" t="s">
        <v>2115</v>
      </c>
      <c r="E20" s="22"/>
      <c r="F20" s="22">
        <v>0.0</v>
      </c>
      <c r="G20" s="23"/>
      <c r="H20" s="22" t="s">
        <v>2116</v>
      </c>
      <c r="I20" s="22" t="s">
        <v>2107</v>
      </c>
    </row>
    <row r="21" ht="45.0" customHeight="1">
      <c r="A21" s="20" t="s">
        <v>142</v>
      </c>
      <c r="B21" s="21" t="str">
        <f t="shared" si="2"/>
        <v/>
      </c>
      <c r="C21" s="22" t="s">
        <v>2117</v>
      </c>
      <c r="D21" s="22" t="s">
        <v>2118</v>
      </c>
      <c r="E21" s="22"/>
      <c r="F21" s="22">
        <v>0.0</v>
      </c>
      <c r="G21" s="23"/>
      <c r="H21" s="22" t="s">
        <v>2119</v>
      </c>
      <c r="I21" s="22" t="s">
        <v>2107</v>
      </c>
    </row>
    <row r="22" ht="45.0" customHeight="1">
      <c r="A22" s="20" t="s">
        <v>147</v>
      </c>
      <c r="B22" s="21" t="str">
        <f t="shared" si="2"/>
        <v/>
      </c>
      <c r="C22" s="24" t="s">
        <v>2120</v>
      </c>
      <c r="D22" s="24" t="s">
        <v>2121</v>
      </c>
      <c r="E22" s="24"/>
      <c r="F22" s="22">
        <v>0.0</v>
      </c>
      <c r="G22" s="25"/>
      <c r="H22" s="24" t="s">
        <v>2122</v>
      </c>
      <c r="I22" s="24" t="s">
        <v>2103</v>
      </c>
    </row>
    <row r="23" ht="45.0" customHeight="1">
      <c r="A23" s="20" t="s">
        <v>152</v>
      </c>
      <c r="B23" s="21" t="str">
        <f t="shared" si="2"/>
        <v/>
      </c>
      <c r="C23" s="22" t="s">
        <v>2123</v>
      </c>
      <c r="D23" s="22" t="s">
        <v>2124</v>
      </c>
      <c r="E23" s="22"/>
      <c r="F23" s="22">
        <v>0.0</v>
      </c>
      <c r="G23" s="23"/>
      <c r="H23" s="22" t="s">
        <v>2125</v>
      </c>
      <c r="I23" s="22" t="s">
        <v>2103</v>
      </c>
    </row>
    <row r="24" ht="45.0" customHeight="1">
      <c r="A24" s="20" t="s">
        <v>156</v>
      </c>
      <c r="B24" s="21" t="str">
        <f t="shared" si="2"/>
        <v/>
      </c>
      <c r="C24" s="22" t="s">
        <v>2126</v>
      </c>
      <c r="D24" s="22" t="s">
        <v>2127</v>
      </c>
      <c r="E24" s="22"/>
      <c r="F24" s="22">
        <v>0.0</v>
      </c>
      <c r="G24" s="23"/>
      <c r="H24" s="22" t="s">
        <v>2128</v>
      </c>
      <c r="I24" s="22" t="s">
        <v>2107</v>
      </c>
    </row>
    <row r="25" ht="45.0" customHeight="1">
      <c r="A25" s="20" t="s">
        <v>161</v>
      </c>
      <c r="B25" s="21" t="str">
        <f t="shared" si="2"/>
        <v/>
      </c>
      <c r="C25" s="24" t="s">
        <v>2129</v>
      </c>
      <c r="D25" s="24" t="s">
        <v>2130</v>
      </c>
      <c r="E25" s="24"/>
      <c r="F25" s="22">
        <v>0.0</v>
      </c>
      <c r="G25" s="25"/>
      <c r="H25" s="24" t="s">
        <v>2131</v>
      </c>
      <c r="I25" s="24" t="s">
        <v>2103</v>
      </c>
    </row>
    <row r="26" ht="45.0" customHeight="1">
      <c r="A26" s="20" t="s">
        <v>165</v>
      </c>
      <c r="B26" s="21" t="str">
        <f t="shared" si="2"/>
        <v/>
      </c>
      <c r="C26" s="22" t="s">
        <v>2132</v>
      </c>
      <c r="D26" s="22" t="s">
        <v>2133</v>
      </c>
      <c r="E26" s="22"/>
      <c r="F26" s="22">
        <v>0.0</v>
      </c>
      <c r="G26" s="23"/>
      <c r="H26" s="22" t="s">
        <v>2134</v>
      </c>
      <c r="I26" s="22" t="s">
        <v>2107</v>
      </c>
    </row>
    <row r="27" ht="45.0" customHeight="1">
      <c r="A27" s="20" t="s">
        <v>170</v>
      </c>
      <c r="B27" s="21" t="str">
        <f t="shared" si="2"/>
        <v/>
      </c>
      <c r="C27" s="22" t="s">
        <v>2135</v>
      </c>
      <c r="D27" s="22" t="s">
        <v>2136</v>
      </c>
      <c r="E27" s="22"/>
      <c r="F27" s="22">
        <v>0.0</v>
      </c>
      <c r="G27" s="23"/>
      <c r="H27" s="22" t="s">
        <v>2137</v>
      </c>
      <c r="I27" s="22" t="s">
        <v>2107</v>
      </c>
    </row>
    <row r="28" ht="45.0" customHeight="1">
      <c r="A28" s="20" t="s">
        <v>175</v>
      </c>
      <c r="B28" s="21" t="str">
        <f t="shared" si="2"/>
        <v/>
      </c>
      <c r="C28" s="22" t="s">
        <v>2138</v>
      </c>
      <c r="D28" s="22" t="s">
        <v>2139</v>
      </c>
      <c r="E28" s="22"/>
      <c r="F28" s="22">
        <v>0.0</v>
      </c>
      <c r="G28" s="23"/>
      <c r="H28" s="22" t="s">
        <v>2140</v>
      </c>
      <c r="I28" s="22" t="s">
        <v>2103</v>
      </c>
    </row>
    <row r="29" ht="45.0" customHeight="1">
      <c r="A29" s="20" t="s">
        <v>180</v>
      </c>
      <c r="B29" s="21" t="str">
        <f t="shared" si="2"/>
        <v/>
      </c>
      <c r="C29" s="22" t="s">
        <v>2141</v>
      </c>
      <c r="D29" s="22" t="s">
        <v>2142</v>
      </c>
      <c r="E29" s="22"/>
      <c r="F29" s="22">
        <v>0.0</v>
      </c>
      <c r="G29" s="23"/>
      <c r="H29" s="22" t="s">
        <v>2143</v>
      </c>
      <c r="I29" s="22" t="s">
        <v>2103</v>
      </c>
    </row>
    <row r="30" ht="45.0" customHeight="1">
      <c r="A30" s="20" t="s">
        <v>185</v>
      </c>
      <c r="B30" s="21" t="str">
        <f t="shared" ref="B30:B41" si="3">IMAGE("https://raw.githubusercontent.com/ltdimages/images/refs/heads/main/PetitPersonality_WalkType.png")</f>
        <v/>
      </c>
      <c r="C30" s="22" t="s">
        <v>2144</v>
      </c>
      <c r="D30" s="22" t="s">
        <v>2145</v>
      </c>
      <c r="E30" s="22" t="s">
        <v>2146</v>
      </c>
      <c r="F30" s="22">
        <v>1.0</v>
      </c>
      <c r="G30" s="23" t="s">
        <v>2147</v>
      </c>
      <c r="H30" s="22" t="s">
        <v>2148</v>
      </c>
      <c r="I30" s="22" t="s">
        <v>2149</v>
      </c>
    </row>
    <row r="31" ht="45.0" customHeight="1">
      <c r="A31" s="20" t="s">
        <v>189</v>
      </c>
      <c r="B31" s="21" t="str">
        <f t="shared" si="3"/>
        <v/>
      </c>
      <c r="C31" s="22" t="s">
        <v>2150</v>
      </c>
      <c r="D31" s="22" t="s">
        <v>2151</v>
      </c>
      <c r="E31" s="22" t="s">
        <v>2152</v>
      </c>
      <c r="F31" s="22">
        <v>1.0</v>
      </c>
      <c r="G31" s="23" t="s">
        <v>2153</v>
      </c>
      <c r="H31" s="22" t="s">
        <v>2154</v>
      </c>
      <c r="I31" s="22" t="s">
        <v>2155</v>
      </c>
    </row>
    <row r="32" ht="45.0" customHeight="1">
      <c r="A32" s="20" t="s">
        <v>194</v>
      </c>
      <c r="B32" s="21" t="str">
        <f t="shared" si="3"/>
        <v/>
      </c>
      <c r="C32" s="22" t="s">
        <v>2156</v>
      </c>
      <c r="D32" s="22" t="s">
        <v>2157</v>
      </c>
      <c r="E32" s="22" t="s">
        <v>2146</v>
      </c>
      <c r="F32" s="22">
        <v>1.0</v>
      </c>
      <c r="G32" s="23" t="s">
        <v>2147</v>
      </c>
      <c r="H32" s="22" t="s">
        <v>2158</v>
      </c>
      <c r="I32" s="22" t="s">
        <v>2149</v>
      </c>
    </row>
    <row r="33" ht="45.0" customHeight="1">
      <c r="A33" s="20" t="s">
        <v>198</v>
      </c>
      <c r="B33" s="21" t="str">
        <f t="shared" si="3"/>
        <v/>
      </c>
      <c r="C33" s="22" t="s">
        <v>2159</v>
      </c>
      <c r="D33" s="22" t="s">
        <v>2160</v>
      </c>
      <c r="E33" s="22" t="s">
        <v>2146</v>
      </c>
      <c r="F33" s="22">
        <v>1.0</v>
      </c>
      <c r="G33" s="23" t="s">
        <v>2147</v>
      </c>
      <c r="H33" s="22" t="s">
        <v>2161</v>
      </c>
      <c r="I33" s="22" t="s">
        <v>2149</v>
      </c>
    </row>
    <row r="34" ht="45.0" customHeight="1">
      <c r="A34" s="20" t="s">
        <v>202</v>
      </c>
      <c r="B34" s="21" t="str">
        <f t="shared" si="3"/>
        <v/>
      </c>
      <c r="C34" s="22" t="s">
        <v>2162</v>
      </c>
      <c r="D34" s="22" t="s">
        <v>2163</v>
      </c>
      <c r="E34" s="22" t="s">
        <v>2152</v>
      </c>
      <c r="F34" s="22">
        <v>1.0</v>
      </c>
      <c r="G34" s="23" t="s">
        <v>2153</v>
      </c>
      <c r="H34" s="22" t="s">
        <v>2164</v>
      </c>
      <c r="I34" s="22" t="s">
        <v>2155</v>
      </c>
    </row>
    <row r="35" ht="45.0" customHeight="1">
      <c r="A35" s="20" t="s">
        <v>207</v>
      </c>
      <c r="B35" s="21" t="str">
        <f t="shared" si="3"/>
        <v/>
      </c>
      <c r="C35" s="22" t="s">
        <v>2165</v>
      </c>
      <c r="D35" s="22" t="s">
        <v>2166</v>
      </c>
      <c r="E35" s="22" t="s">
        <v>2152</v>
      </c>
      <c r="F35" s="22">
        <v>1.0</v>
      </c>
      <c r="G35" s="23" t="s">
        <v>2153</v>
      </c>
      <c r="H35" s="22" t="s">
        <v>2167</v>
      </c>
      <c r="I35" s="22" t="s">
        <v>2155</v>
      </c>
    </row>
    <row r="36" ht="45.0" customHeight="1">
      <c r="A36" s="20" t="s">
        <v>211</v>
      </c>
      <c r="B36" s="21" t="str">
        <f t="shared" si="3"/>
        <v/>
      </c>
      <c r="C36" s="22" t="s">
        <v>2168</v>
      </c>
      <c r="D36" s="22" t="s">
        <v>2169</v>
      </c>
      <c r="E36" s="22" t="s">
        <v>2152</v>
      </c>
      <c r="F36" s="22">
        <v>1.0</v>
      </c>
      <c r="G36" s="23" t="s">
        <v>2153</v>
      </c>
      <c r="H36" s="22" t="s">
        <v>2170</v>
      </c>
      <c r="I36" s="22" t="s">
        <v>2155</v>
      </c>
    </row>
    <row r="37" ht="45.0" customHeight="1">
      <c r="A37" s="20" t="s">
        <v>215</v>
      </c>
      <c r="B37" s="21" t="str">
        <f t="shared" si="3"/>
        <v/>
      </c>
      <c r="C37" s="22" t="s">
        <v>2171</v>
      </c>
      <c r="D37" s="22" t="s">
        <v>2172</v>
      </c>
      <c r="E37" s="22" t="s">
        <v>2146</v>
      </c>
      <c r="F37" s="22">
        <v>1.0</v>
      </c>
      <c r="G37" s="23" t="s">
        <v>2147</v>
      </c>
      <c r="H37" s="22" t="s">
        <v>2173</v>
      </c>
      <c r="I37" s="22" t="s">
        <v>2149</v>
      </c>
    </row>
    <row r="38" ht="45.0" customHeight="1">
      <c r="A38" s="20" t="s">
        <v>220</v>
      </c>
      <c r="B38" s="21" t="str">
        <f t="shared" si="3"/>
        <v/>
      </c>
      <c r="C38" s="22" t="s">
        <v>2174</v>
      </c>
      <c r="D38" s="22" t="s">
        <v>2175</v>
      </c>
      <c r="E38" s="22" t="s">
        <v>2152</v>
      </c>
      <c r="F38" s="22">
        <v>1.0</v>
      </c>
      <c r="G38" s="23" t="s">
        <v>2153</v>
      </c>
      <c r="H38" s="22" t="s">
        <v>2176</v>
      </c>
      <c r="I38" s="22" t="s">
        <v>2155</v>
      </c>
    </row>
    <row r="39" ht="45.0" customHeight="1">
      <c r="A39" s="20" t="s">
        <v>224</v>
      </c>
      <c r="B39" s="21" t="str">
        <f t="shared" si="3"/>
        <v/>
      </c>
      <c r="C39" s="22" t="s">
        <v>2177</v>
      </c>
      <c r="D39" s="22" t="s">
        <v>2178</v>
      </c>
      <c r="E39" s="22" t="s">
        <v>2152</v>
      </c>
      <c r="F39" s="22">
        <v>1.0</v>
      </c>
      <c r="G39" s="23" t="s">
        <v>2153</v>
      </c>
      <c r="H39" s="22" t="s">
        <v>2179</v>
      </c>
      <c r="I39" s="22" t="s">
        <v>2155</v>
      </c>
    </row>
    <row r="40" ht="45.0" customHeight="1">
      <c r="A40" s="20" t="s">
        <v>229</v>
      </c>
      <c r="B40" s="21" t="str">
        <f t="shared" si="3"/>
        <v/>
      </c>
      <c r="C40" s="22" t="s">
        <v>2180</v>
      </c>
      <c r="D40" s="22" t="s">
        <v>2181</v>
      </c>
      <c r="E40" s="22" t="s">
        <v>2146</v>
      </c>
      <c r="F40" s="22">
        <v>1.0</v>
      </c>
      <c r="G40" s="23" t="s">
        <v>2147</v>
      </c>
      <c r="H40" s="22" t="s">
        <v>2182</v>
      </c>
      <c r="I40" s="22" t="s">
        <v>2149</v>
      </c>
    </row>
    <row r="41" ht="45.0" customHeight="1">
      <c r="A41" s="20" t="s">
        <v>233</v>
      </c>
      <c r="B41" s="21" t="str">
        <f t="shared" si="3"/>
        <v/>
      </c>
      <c r="C41" s="22" t="s">
        <v>2183</v>
      </c>
      <c r="D41" s="22" t="s">
        <v>2184</v>
      </c>
      <c r="E41" s="22" t="s">
        <v>2146</v>
      </c>
      <c r="F41" s="22">
        <v>1.0</v>
      </c>
      <c r="G41" s="23" t="s">
        <v>2147</v>
      </c>
      <c r="H41" s="22" t="s">
        <v>2185</v>
      </c>
      <c r="I41" s="22" t="s">
        <v>2149</v>
      </c>
    </row>
    <row r="42" ht="45.0" customHeight="1">
      <c r="A42" s="20" t="s">
        <v>237</v>
      </c>
      <c r="B42" s="21" t="str">
        <f t="shared" ref="B42:B49" si="4">IMAGE("https://raw.githubusercontent.com/ltdimages/images/refs/heads/main/PetitPersonality_EatType.png")</f>
        <v/>
      </c>
      <c r="C42" s="22" t="s">
        <v>2186</v>
      </c>
      <c r="D42" s="22" t="s">
        <v>2187</v>
      </c>
      <c r="E42" s="22" t="s">
        <v>2188</v>
      </c>
      <c r="F42" s="22">
        <v>10.0</v>
      </c>
      <c r="G42" s="23" t="s">
        <v>2189</v>
      </c>
      <c r="H42" s="22" t="s">
        <v>2190</v>
      </c>
      <c r="I42" s="22" t="s">
        <v>2191</v>
      </c>
    </row>
    <row r="43" ht="45.0" customHeight="1">
      <c r="A43" s="20" t="s">
        <v>241</v>
      </c>
      <c r="B43" s="21" t="str">
        <f t="shared" si="4"/>
        <v/>
      </c>
      <c r="C43" s="22" t="s">
        <v>2192</v>
      </c>
      <c r="D43" s="22" t="s">
        <v>2193</v>
      </c>
      <c r="E43" s="22" t="s">
        <v>2194</v>
      </c>
      <c r="F43" s="22">
        <v>10.0</v>
      </c>
      <c r="G43" s="23" t="s">
        <v>2195</v>
      </c>
      <c r="H43" s="22" t="s">
        <v>2196</v>
      </c>
      <c r="I43" s="22" t="s">
        <v>2197</v>
      </c>
    </row>
    <row r="44" ht="45.0" customHeight="1">
      <c r="A44" s="20" t="s">
        <v>245</v>
      </c>
      <c r="B44" s="21" t="str">
        <f t="shared" si="4"/>
        <v/>
      </c>
      <c r="C44" s="22" t="s">
        <v>2198</v>
      </c>
      <c r="D44" s="22" t="s">
        <v>2199</v>
      </c>
      <c r="E44" s="22" t="s">
        <v>2188</v>
      </c>
      <c r="F44" s="22">
        <v>10.0</v>
      </c>
      <c r="G44" s="23" t="s">
        <v>2189</v>
      </c>
      <c r="H44" s="22" t="s">
        <v>2200</v>
      </c>
      <c r="I44" s="22" t="s">
        <v>2191</v>
      </c>
    </row>
    <row r="45" ht="45.0" customHeight="1">
      <c r="A45" s="20" t="s">
        <v>249</v>
      </c>
      <c r="B45" s="21" t="str">
        <f t="shared" si="4"/>
        <v/>
      </c>
      <c r="C45" s="22" t="s">
        <v>2201</v>
      </c>
      <c r="D45" s="22" t="s">
        <v>2202</v>
      </c>
      <c r="E45" s="22" t="s">
        <v>2188</v>
      </c>
      <c r="F45" s="22">
        <v>10.0</v>
      </c>
      <c r="G45" s="23" t="s">
        <v>2189</v>
      </c>
      <c r="H45" s="22" t="s">
        <v>2203</v>
      </c>
      <c r="I45" s="22" t="s">
        <v>2191</v>
      </c>
    </row>
    <row r="46" ht="45.0" customHeight="1">
      <c r="A46" s="20" t="s">
        <v>253</v>
      </c>
      <c r="B46" s="21" t="str">
        <f t="shared" si="4"/>
        <v/>
      </c>
      <c r="C46" s="22" t="s">
        <v>2204</v>
      </c>
      <c r="D46" s="22" t="s">
        <v>2205</v>
      </c>
      <c r="E46" s="22" t="s">
        <v>2188</v>
      </c>
      <c r="F46" s="22">
        <v>10.0</v>
      </c>
      <c r="G46" s="23" t="s">
        <v>2189</v>
      </c>
      <c r="H46" s="22" t="s">
        <v>2206</v>
      </c>
      <c r="I46" s="22" t="s">
        <v>2191</v>
      </c>
    </row>
    <row r="47" ht="45.0" customHeight="1">
      <c r="A47" s="20" t="s">
        <v>257</v>
      </c>
      <c r="B47" s="21" t="str">
        <f t="shared" si="4"/>
        <v/>
      </c>
      <c r="C47" s="22" t="s">
        <v>2207</v>
      </c>
      <c r="D47" s="22" t="s">
        <v>2208</v>
      </c>
      <c r="E47" s="22" t="s">
        <v>2194</v>
      </c>
      <c r="F47" s="22">
        <v>10.0</v>
      </c>
      <c r="G47" s="23" t="s">
        <v>2195</v>
      </c>
      <c r="H47" s="22" t="s">
        <v>2209</v>
      </c>
      <c r="I47" s="22" t="s">
        <v>2197</v>
      </c>
    </row>
    <row r="48" ht="45.0" customHeight="1">
      <c r="A48" s="20" t="s">
        <v>261</v>
      </c>
      <c r="B48" s="21" t="str">
        <f t="shared" si="4"/>
        <v/>
      </c>
      <c r="C48" s="22" t="s">
        <v>2210</v>
      </c>
      <c r="D48" s="22" t="s">
        <v>2211</v>
      </c>
      <c r="E48" s="22" t="s">
        <v>2194</v>
      </c>
      <c r="F48" s="22">
        <v>10.0</v>
      </c>
      <c r="G48" s="23" t="s">
        <v>2195</v>
      </c>
      <c r="H48" s="22" t="s">
        <v>2212</v>
      </c>
      <c r="I48" s="22" t="s">
        <v>2197</v>
      </c>
    </row>
    <row r="49" ht="45.0" customHeight="1">
      <c r="A49" s="20" t="s">
        <v>265</v>
      </c>
      <c r="B49" s="21" t="str">
        <f t="shared" si="4"/>
        <v/>
      </c>
      <c r="C49" s="22" t="s">
        <v>2213</v>
      </c>
      <c r="D49" s="22" t="s">
        <v>2214</v>
      </c>
      <c r="E49" s="22" t="s">
        <v>2194</v>
      </c>
      <c r="F49" s="22">
        <v>10.0</v>
      </c>
      <c r="G49" s="23" t="s">
        <v>2195</v>
      </c>
      <c r="H49" s="22" t="s">
        <v>2215</v>
      </c>
      <c r="I49" s="22" t="s">
        <v>2197</v>
      </c>
    </row>
    <row r="50" ht="45.0" customHeight="1">
      <c r="A50" s="20" t="s">
        <v>269</v>
      </c>
      <c r="B50" s="21" t="str">
        <f t="shared" ref="B50:B51" si="5">IMAGE("https://raw.githubusercontent.com/ltdimages/images/refs/heads/main/PetitPersonality_StomachType.png")</f>
        <v/>
      </c>
      <c r="C50" s="24" t="s">
        <v>2216</v>
      </c>
      <c r="D50" s="24" t="s">
        <v>2217</v>
      </c>
      <c r="E50" s="24" t="s">
        <v>2218</v>
      </c>
      <c r="F50" s="22">
        <v>15.0</v>
      </c>
      <c r="G50" s="25" t="s">
        <v>2219</v>
      </c>
      <c r="H50" s="24" t="s">
        <v>2220</v>
      </c>
      <c r="I50" s="24" t="s">
        <v>2221</v>
      </c>
    </row>
    <row r="51" ht="45.0" customHeight="1">
      <c r="A51" s="20" t="s">
        <v>273</v>
      </c>
      <c r="B51" s="21" t="str">
        <f t="shared" si="5"/>
        <v/>
      </c>
      <c r="C51" s="22" t="s">
        <v>2222</v>
      </c>
      <c r="D51" s="22" t="s">
        <v>2223</v>
      </c>
      <c r="E51" s="22" t="s">
        <v>2218</v>
      </c>
      <c r="F51" s="22">
        <v>15.0</v>
      </c>
      <c r="G51" s="23" t="s">
        <v>2219</v>
      </c>
      <c r="H51" s="22" t="s">
        <v>2224</v>
      </c>
      <c r="I51" s="22" t="s">
        <v>2221</v>
      </c>
    </row>
    <row r="52" ht="45.0" customHeight="1">
      <c r="A52" s="20" t="s">
        <v>277</v>
      </c>
      <c r="B52" s="21" t="str">
        <f t="shared" ref="B52:B54" si="6">IMAGE("https://raw.githubusercontent.com/ltdimages/images/refs/heads/main/PetitPersonality_GetAngryType.png")</f>
        <v/>
      </c>
      <c r="C52" s="22" t="s">
        <v>2225</v>
      </c>
      <c r="D52" s="22" t="s">
        <v>2226</v>
      </c>
      <c r="E52" s="22" t="s">
        <v>2227</v>
      </c>
      <c r="F52" s="22">
        <v>20.0</v>
      </c>
      <c r="G52" s="23" t="s">
        <v>2228</v>
      </c>
      <c r="H52" s="22" t="s">
        <v>2229</v>
      </c>
      <c r="I52" s="22" t="s">
        <v>2230</v>
      </c>
    </row>
    <row r="53" ht="45.0" customHeight="1">
      <c r="A53" s="20" t="s">
        <v>281</v>
      </c>
      <c r="B53" s="21" t="str">
        <f t="shared" si="6"/>
        <v/>
      </c>
      <c r="C53" s="22" t="s">
        <v>2231</v>
      </c>
      <c r="D53" s="22" t="s">
        <v>2232</v>
      </c>
      <c r="E53" s="22" t="s">
        <v>2227</v>
      </c>
      <c r="F53" s="22">
        <v>20.0</v>
      </c>
      <c r="G53" s="23" t="s">
        <v>2228</v>
      </c>
      <c r="H53" s="22" t="s">
        <v>2233</v>
      </c>
      <c r="I53" s="22" t="s">
        <v>2230</v>
      </c>
    </row>
    <row r="54" ht="45.0" customHeight="1">
      <c r="A54" s="20" t="s">
        <v>285</v>
      </c>
      <c r="B54" s="21" t="str">
        <f t="shared" si="6"/>
        <v/>
      </c>
      <c r="C54" s="22" t="s">
        <v>2234</v>
      </c>
      <c r="D54" s="22" t="s">
        <v>2235</v>
      </c>
      <c r="E54" s="22" t="s">
        <v>2227</v>
      </c>
      <c r="F54" s="22">
        <v>20.0</v>
      </c>
      <c r="G54" s="23" t="s">
        <v>2228</v>
      </c>
      <c r="H54" s="22" t="s">
        <v>2236</v>
      </c>
      <c r="I54" s="22" t="s">
        <v>2230</v>
      </c>
    </row>
    <row r="55" ht="45.0" customHeight="1">
      <c r="A55" s="20" t="s">
        <v>289</v>
      </c>
      <c r="B55" s="21" t="str">
        <f t="shared" ref="B55:B63" si="7">IMAGE("https://raw.githubusercontent.com/ltdimages/images/refs/heads/main/PetitPersonality_ExpressionType.png")</f>
        <v/>
      </c>
      <c r="C55" s="22" t="s">
        <v>2237</v>
      </c>
      <c r="D55" s="22" t="s">
        <v>2238</v>
      </c>
      <c r="E55" s="22" t="s">
        <v>2239</v>
      </c>
      <c r="F55" s="22">
        <v>25.0</v>
      </c>
      <c r="G55" s="23" t="s">
        <v>2240</v>
      </c>
      <c r="H55" s="22" t="s">
        <v>2241</v>
      </c>
      <c r="I55" s="22" t="s">
        <v>2242</v>
      </c>
    </row>
    <row r="56" ht="45.0" customHeight="1">
      <c r="A56" s="20" t="s">
        <v>293</v>
      </c>
      <c r="B56" s="21" t="str">
        <f t="shared" si="7"/>
        <v/>
      </c>
      <c r="C56" s="22" t="s">
        <v>2243</v>
      </c>
      <c r="D56" s="22" t="s">
        <v>2244</v>
      </c>
      <c r="E56" s="22" t="s">
        <v>2245</v>
      </c>
      <c r="F56" s="22">
        <v>25.0</v>
      </c>
      <c r="G56" s="23" t="s">
        <v>2246</v>
      </c>
      <c r="H56" s="22" t="s">
        <v>2247</v>
      </c>
      <c r="I56" s="22" t="s">
        <v>2248</v>
      </c>
    </row>
    <row r="57" ht="45.0" customHeight="1">
      <c r="A57" s="20" t="s">
        <v>297</v>
      </c>
      <c r="B57" s="21" t="str">
        <f t="shared" si="7"/>
        <v/>
      </c>
      <c r="C57" s="22" t="s">
        <v>2249</v>
      </c>
      <c r="D57" s="22" t="s">
        <v>2250</v>
      </c>
      <c r="E57" s="22" t="s">
        <v>2245</v>
      </c>
      <c r="F57" s="22">
        <v>25.0</v>
      </c>
      <c r="G57" s="23" t="s">
        <v>2246</v>
      </c>
      <c r="H57" s="22" t="s">
        <v>2251</v>
      </c>
      <c r="I57" s="22" t="s">
        <v>2248</v>
      </c>
    </row>
    <row r="58" ht="45.0" customHeight="1">
      <c r="A58" s="20" t="s">
        <v>301</v>
      </c>
      <c r="B58" s="21" t="str">
        <f t="shared" si="7"/>
        <v/>
      </c>
      <c r="C58" s="22" t="s">
        <v>2252</v>
      </c>
      <c r="D58" s="22" t="s">
        <v>2253</v>
      </c>
      <c r="E58" s="22" t="s">
        <v>2245</v>
      </c>
      <c r="F58" s="22">
        <v>25.0</v>
      </c>
      <c r="G58" s="23" t="s">
        <v>2246</v>
      </c>
      <c r="H58" s="22" t="s">
        <v>2254</v>
      </c>
      <c r="I58" s="22" t="s">
        <v>2248</v>
      </c>
    </row>
    <row r="59" ht="45.0" customHeight="1">
      <c r="A59" s="20" t="s">
        <v>305</v>
      </c>
      <c r="B59" s="21" t="str">
        <f t="shared" si="7"/>
        <v/>
      </c>
      <c r="C59" s="22" t="s">
        <v>2255</v>
      </c>
      <c r="D59" s="22" t="s">
        <v>2256</v>
      </c>
      <c r="E59" s="22" t="s">
        <v>2239</v>
      </c>
      <c r="F59" s="22">
        <v>25.0</v>
      </c>
      <c r="G59" s="23" t="s">
        <v>2240</v>
      </c>
      <c r="H59" s="22" t="s">
        <v>2257</v>
      </c>
      <c r="I59" s="22" t="s">
        <v>2242</v>
      </c>
    </row>
    <row r="60" ht="45.0" customHeight="1">
      <c r="A60" s="20" t="s">
        <v>309</v>
      </c>
      <c r="B60" s="21" t="str">
        <f t="shared" si="7"/>
        <v/>
      </c>
      <c r="C60" s="22" t="s">
        <v>2258</v>
      </c>
      <c r="D60" s="22" t="s">
        <v>2259</v>
      </c>
      <c r="E60" s="22" t="s">
        <v>2239</v>
      </c>
      <c r="F60" s="22">
        <v>25.0</v>
      </c>
      <c r="G60" s="23" t="s">
        <v>2240</v>
      </c>
      <c r="H60" s="22" t="s">
        <v>2260</v>
      </c>
      <c r="I60" s="22" t="s">
        <v>2242</v>
      </c>
    </row>
    <row r="61" ht="45.0" customHeight="1">
      <c r="A61" s="20" t="s">
        <v>313</v>
      </c>
      <c r="B61" s="21" t="str">
        <f t="shared" si="7"/>
        <v/>
      </c>
      <c r="C61" s="22" t="s">
        <v>2261</v>
      </c>
      <c r="D61" s="22" t="s">
        <v>2262</v>
      </c>
      <c r="E61" s="22" t="s">
        <v>2245</v>
      </c>
      <c r="F61" s="22">
        <v>25.0</v>
      </c>
      <c r="G61" s="23" t="s">
        <v>2246</v>
      </c>
      <c r="H61" s="22" t="s">
        <v>2263</v>
      </c>
      <c r="I61" s="22" t="s">
        <v>2248</v>
      </c>
    </row>
    <row r="62" ht="45.0" customHeight="1">
      <c r="A62" s="20" t="s">
        <v>317</v>
      </c>
      <c r="B62" s="21" t="str">
        <f t="shared" si="7"/>
        <v/>
      </c>
      <c r="C62" s="22" t="s">
        <v>2264</v>
      </c>
      <c r="D62" s="22" t="s">
        <v>2265</v>
      </c>
      <c r="E62" s="22" t="s">
        <v>2239</v>
      </c>
      <c r="F62" s="22">
        <v>25.0</v>
      </c>
      <c r="G62" s="23" t="s">
        <v>2240</v>
      </c>
      <c r="H62" s="22" t="s">
        <v>2266</v>
      </c>
      <c r="I62" s="22" t="s">
        <v>2242</v>
      </c>
    </row>
    <row r="63" ht="45.0" customHeight="1">
      <c r="A63" s="20" t="s">
        <v>321</v>
      </c>
      <c r="B63" s="21" t="str">
        <f t="shared" si="7"/>
        <v/>
      </c>
      <c r="C63" s="22" t="s">
        <v>2267</v>
      </c>
      <c r="D63" s="22" t="s">
        <v>2268</v>
      </c>
      <c r="E63" s="22" t="s">
        <v>2239</v>
      </c>
      <c r="F63" s="22">
        <v>25.0</v>
      </c>
      <c r="G63" s="23" t="s">
        <v>2240</v>
      </c>
      <c r="H63" s="22" t="s">
        <v>2269</v>
      </c>
      <c r="I63" s="22" t="s">
        <v>2242</v>
      </c>
    </row>
    <row r="64" ht="45.0" customHeight="1">
      <c r="A64" s="20" t="s">
        <v>325</v>
      </c>
      <c r="B64" s="21" t="str">
        <f t="shared" ref="B64:B67" si="8">IMAGE("https://raw.githubusercontent.com/ltdimages/images/refs/heads/main/PetitPersonality_VoiceType.png")</f>
        <v/>
      </c>
      <c r="C64" s="22" t="s">
        <v>2270</v>
      </c>
      <c r="D64" s="22" t="s">
        <v>2271</v>
      </c>
      <c r="E64" s="22" t="s">
        <v>2272</v>
      </c>
      <c r="F64" s="22">
        <v>30.0</v>
      </c>
      <c r="G64" s="23" t="s">
        <v>2273</v>
      </c>
      <c r="H64" s="22" t="s">
        <v>2274</v>
      </c>
      <c r="I64" s="22" t="s">
        <v>2275</v>
      </c>
    </row>
    <row r="65" ht="45.0" customHeight="1">
      <c r="A65" s="20" t="s">
        <v>329</v>
      </c>
      <c r="B65" s="21" t="str">
        <f t="shared" si="8"/>
        <v/>
      </c>
      <c r="C65" s="22" t="s">
        <v>2276</v>
      </c>
      <c r="D65" s="22" t="s">
        <v>2277</v>
      </c>
      <c r="E65" s="22" t="s">
        <v>2272</v>
      </c>
      <c r="F65" s="22">
        <v>30.0</v>
      </c>
      <c r="G65" s="23" t="s">
        <v>2273</v>
      </c>
      <c r="H65" s="22" t="s">
        <v>2278</v>
      </c>
      <c r="I65" s="22" t="s">
        <v>2275</v>
      </c>
    </row>
    <row r="66" ht="45.0" customHeight="1">
      <c r="A66" s="20" t="s">
        <v>333</v>
      </c>
      <c r="B66" s="21" t="str">
        <f t="shared" si="8"/>
        <v/>
      </c>
      <c r="C66" s="22" t="s">
        <v>2279</v>
      </c>
      <c r="D66" s="22" t="s">
        <v>2280</v>
      </c>
      <c r="E66" s="22" t="s">
        <v>2272</v>
      </c>
      <c r="F66" s="22">
        <v>30.0</v>
      </c>
      <c r="G66" s="23" t="s">
        <v>2273</v>
      </c>
      <c r="H66" s="22" t="s">
        <v>2281</v>
      </c>
      <c r="I66" s="22" t="s">
        <v>2275</v>
      </c>
    </row>
    <row r="67" ht="45.0" customHeight="1">
      <c r="A67" s="20" t="s">
        <v>337</v>
      </c>
      <c r="B67" s="21" t="str">
        <f t="shared" si="8"/>
        <v/>
      </c>
      <c r="C67" s="22" t="s">
        <v>2282</v>
      </c>
      <c r="D67" s="22" t="s">
        <v>2283</v>
      </c>
      <c r="E67" s="22" t="s">
        <v>2272</v>
      </c>
      <c r="F67" s="22">
        <v>30.0</v>
      </c>
      <c r="G67" s="23" t="s">
        <v>2273</v>
      </c>
      <c r="H67" s="22" t="s">
        <v>2284</v>
      </c>
      <c r="I67" s="22" t="s">
        <v>2275</v>
      </c>
    </row>
    <row r="68" ht="45.0" customHeight="1">
      <c r="A68" s="20" t="s">
        <v>341</v>
      </c>
      <c r="B68" s="21" t="str">
        <f t="shared" ref="B68:B75" si="9">IMAGE("https://raw.githubusercontent.com/ltdimages/images/refs/heads/main/PetitPersonality_OtherType.png")</f>
        <v/>
      </c>
      <c r="C68" s="22" t="s">
        <v>2285</v>
      </c>
      <c r="D68" s="22" t="s">
        <v>2286</v>
      </c>
      <c r="E68" s="22" t="s">
        <v>2287</v>
      </c>
      <c r="F68" s="22">
        <v>35.0</v>
      </c>
      <c r="G68" s="23" t="s">
        <v>2288</v>
      </c>
      <c r="H68" s="22" t="s">
        <v>2289</v>
      </c>
      <c r="I68" s="22" t="s">
        <v>2290</v>
      </c>
    </row>
    <row r="69" ht="45.0" customHeight="1">
      <c r="A69" s="20" t="s">
        <v>345</v>
      </c>
      <c r="B69" s="21" t="str">
        <f t="shared" si="9"/>
        <v/>
      </c>
      <c r="C69" s="22" t="s">
        <v>2291</v>
      </c>
      <c r="D69" s="22" t="s">
        <v>2292</v>
      </c>
      <c r="E69" s="22" t="s">
        <v>2287</v>
      </c>
      <c r="F69" s="22">
        <v>35.0</v>
      </c>
      <c r="G69" s="23" t="s">
        <v>2288</v>
      </c>
      <c r="H69" s="22" t="s">
        <v>2293</v>
      </c>
      <c r="I69" s="22" t="s">
        <v>2290</v>
      </c>
    </row>
    <row r="70" ht="45.0" customHeight="1">
      <c r="A70" s="20" t="s">
        <v>349</v>
      </c>
      <c r="B70" s="21" t="str">
        <f t="shared" si="9"/>
        <v/>
      </c>
      <c r="C70" s="22" t="s">
        <v>2294</v>
      </c>
      <c r="D70" s="22" t="s">
        <v>2295</v>
      </c>
      <c r="E70" s="22" t="s">
        <v>2287</v>
      </c>
      <c r="F70" s="22">
        <v>35.0</v>
      </c>
      <c r="G70" s="23" t="s">
        <v>2288</v>
      </c>
      <c r="H70" s="22" t="s">
        <v>2296</v>
      </c>
      <c r="I70" s="22" t="s">
        <v>2290</v>
      </c>
    </row>
    <row r="71" ht="45.0" customHeight="1">
      <c r="A71" s="20" t="s">
        <v>354</v>
      </c>
      <c r="B71" s="21" t="str">
        <f t="shared" si="9"/>
        <v/>
      </c>
      <c r="C71" s="22" t="s">
        <v>2297</v>
      </c>
      <c r="D71" s="22" t="s">
        <v>2298</v>
      </c>
      <c r="E71" s="22" t="s">
        <v>2299</v>
      </c>
      <c r="F71" s="22">
        <v>35.0</v>
      </c>
      <c r="G71" s="23" t="s">
        <v>2300</v>
      </c>
      <c r="H71" s="22" t="s">
        <v>2301</v>
      </c>
      <c r="I71" s="22" t="s">
        <v>2302</v>
      </c>
    </row>
    <row r="72" ht="45.0" customHeight="1">
      <c r="A72" s="20" t="s">
        <v>358</v>
      </c>
      <c r="B72" s="21" t="str">
        <f t="shared" si="9"/>
        <v/>
      </c>
      <c r="C72" s="22" t="s">
        <v>2303</v>
      </c>
      <c r="D72" s="22" t="s">
        <v>2304</v>
      </c>
      <c r="E72" s="22" t="s">
        <v>2287</v>
      </c>
      <c r="F72" s="22">
        <v>35.0</v>
      </c>
      <c r="G72" s="23" t="s">
        <v>2288</v>
      </c>
      <c r="H72" s="22" t="s">
        <v>2305</v>
      </c>
      <c r="I72" s="22" t="s">
        <v>2290</v>
      </c>
    </row>
    <row r="73" ht="45.0" customHeight="1">
      <c r="A73" s="20" t="s">
        <v>362</v>
      </c>
      <c r="B73" s="21" t="str">
        <f t="shared" si="9"/>
        <v/>
      </c>
      <c r="C73" s="22" t="s">
        <v>2306</v>
      </c>
      <c r="D73" s="22" t="s">
        <v>2307</v>
      </c>
      <c r="E73" s="22" t="s">
        <v>2299</v>
      </c>
      <c r="F73" s="22">
        <v>35.0</v>
      </c>
      <c r="G73" s="23" t="s">
        <v>2300</v>
      </c>
      <c r="H73" s="22" t="s">
        <v>2308</v>
      </c>
      <c r="I73" s="22" t="s">
        <v>2302</v>
      </c>
    </row>
    <row r="74" ht="45.0" customHeight="1">
      <c r="A74" s="20" t="s">
        <v>367</v>
      </c>
      <c r="B74" s="21" t="str">
        <f t="shared" si="9"/>
        <v/>
      </c>
      <c r="C74" s="22" t="s">
        <v>2309</v>
      </c>
      <c r="D74" s="22" t="s">
        <v>2310</v>
      </c>
      <c r="E74" s="22" t="s">
        <v>2299</v>
      </c>
      <c r="F74" s="22">
        <v>35.0</v>
      </c>
      <c r="G74" s="23" t="s">
        <v>2300</v>
      </c>
      <c r="H74" s="22" t="s">
        <v>2311</v>
      </c>
      <c r="I74" s="22" t="s">
        <v>2302</v>
      </c>
    </row>
    <row r="75" ht="45.0" customHeight="1">
      <c r="A75" s="20" t="s">
        <v>371</v>
      </c>
      <c r="B75" s="21" t="str">
        <f t="shared" si="9"/>
        <v/>
      </c>
      <c r="C75" s="22" t="s">
        <v>2312</v>
      </c>
      <c r="D75" s="22" t="s">
        <v>2313</v>
      </c>
      <c r="E75" s="22" t="s">
        <v>2299</v>
      </c>
      <c r="F75" s="22">
        <v>35.0</v>
      </c>
      <c r="G75" s="23" t="s">
        <v>2300</v>
      </c>
      <c r="H75" s="22" t="s">
        <v>2314</v>
      </c>
      <c r="I75" s="22" t="s">
        <v>2302</v>
      </c>
    </row>
  </sheetData>
  <autoFilter ref="$A$1:$I$75">
    <sortState ref="A1:I75">
      <sortCondition ref="A1:A75"/>
      <sortCondition ref="I1:I75"/>
      <sortCondition ref="C1:C75"/>
      <sortCondition ref="B1:B75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7.5"/>
    <col customWidth="1" min="2" max="2" width="7.63"/>
    <col customWidth="1" min="3" max="3" width="16.63"/>
    <col customWidth="1" min="9" max="9" width="10.38"/>
    <col customWidth="1" min="10" max="13" width="12.0"/>
    <col customWidth="1" min="14" max="14" width="12.5"/>
    <col customWidth="1" min="15" max="15" width="33.38"/>
    <col customWidth="1" min="16" max="16" width="19.5"/>
  </cols>
  <sheetData>
    <row r="1" ht="31.5" customHeight="1">
      <c r="A1" s="45" t="s">
        <v>23</v>
      </c>
      <c r="B1" s="29" t="s">
        <v>24</v>
      </c>
      <c r="C1" s="29" t="s">
        <v>25</v>
      </c>
      <c r="D1" s="29" t="s">
        <v>1993</v>
      </c>
      <c r="E1" s="29" t="s">
        <v>1994</v>
      </c>
      <c r="F1" s="29" t="s">
        <v>29</v>
      </c>
      <c r="G1" s="29" t="s">
        <v>1995</v>
      </c>
      <c r="H1" s="29" t="s">
        <v>1996</v>
      </c>
      <c r="I1" s="29" t="s">
        <v>1997</v>
      </c>
      <c r="J1" s="46" t="s">
        <v>35</v>
      </c>
      <c r="K1" s="46" t="s">
        <v>36</v>
      </c>
      <c r="L1" s="46" t="s">
        <v>37</v>
      </c>
      <c r="M1" s="46" t="s">
        <v>38</v>
      </c>
      <c r="N1" s="46" t="s">
        <v>1998</v>
      </c>
      <c r="O1" s="46" t="s">
        <v>39</v>
      </c>
      <c r="P1" s="29" t="s">
        <v>40</v>
      </c>
    </row>
    <row r="2" ht="45.0" customHeight="1">
      <c r="A2" s="37" t="s">
        <v>41</v>
      </c>
      <c r="B2" s="47" t="str">
        <f>IMAGE("https://raw.githubusercontent.com/ltdimages/images/refs/heads/main/Treasure_BookSomeonesNote.png")</f>
        <v/>
      </c>
      <c r="C2" s="39" t="s">
        <v>2315</v>
      </c>
      <c r="D2" s="39" t="s">
        <v>2316</v>
      </c>
      <c r="E2" s="39" t="s">
        <v>2317</v>
      </c>
      <c r="F2" s="48">
        <v>0.0</v>
      </c>
      <c r="G2" s="48">
        <v>5.0</v>
      </c>
      <c r="H2" s="39" t="s">
        <v>45</v>
      </c>
      <c r="I2" s="39" t="s">
        <v>48</v>
      </c>
      <c r="J2" s="39" t="s">
        <v>49</v>
      </c>
      <c r="K2" s="39" t="s">
        <v>49</v>
      </c>
      <c r="L2" s="39" t="s">
        <v>49</v>
      </c>
      <c r="M2" s="39" t="s">
        <v>49</v>
      </c>
      <c r="N2" s="39" t="s">
        <v>49</v>
      </c>
      <c r="O2" s="44" t="s">
        <v>2318</v>
      </c>
      <c r="P2" s="39" t="s">
        <v>2319</v>
      </c>
    </row>
    <row r="3" ht="45.0" customHeight="1">
      <c r="A3" s="31" t="s">
        <v>52</v>
      </c>
      <c r="B3" s="49" t="str">
        <f>IMAGE("https://raw.githubusercontent.com/ltdimages/images/refs/heads/main/Treasure_BookRiddle.png")</f>
        <v/>
      </c>
      <c r="C3" s="43" t="s">
        <v>2320</v>
      </c>
      <c r="D3" s="43" t="s">
        <v>2316</v>
      </c>
      <c r="E3" s="43" t="s">
        <v>2317</v>
      </c>
      <c r="F3" s="50">
        <v>0.0</v>
      </c>
      <c r="G3" s="50">
        <v>7.0</v>
      </c>
      <c r="H3" s="43" t="s">
        <v>45</v>
      </c>
      <c r="I3" s="43" t="s">
        <v>48</v>
      </c>
      <c r="J3" s="43" t="s">
        <v>49</v>
      </c>
      <c r="K3" s="43" t="s">
        <v>49</v>
      </c>
      <c r="L3" s="43" t="s">
        <v>49</v>
      </c>
      <c r="M3" s="43" t="s">
        <v>49</v>
      </c>
      <c r="N3" s="43" t="s">
        <v>49</v>
      </c>
      <c r="O3" s="43" t="s">
        <v>2321</v>
      </c>
      <c r="P3" s="43" t="s">
        <v>2322</v>
      </c>
    </row>
    <row r="4" ht="45.0" customHeight="1">
      <c r="A4" s="37" t="s">
        <v>60</v>
      </c>
      <c r="B4" s="47" t="str">
        <f>IMAGE("https://raw.githubusercontent.com/ltdimages/images/refs/heads/main/Treasure_BookPlant.png")</f>
        <v/>
      </c>
      <c r="C4" s="39" t="s">
        <v>2323</v>
      </c>
      <c r="D4" s="39" t="s">
        <v>2316</v>
      </c>
      <c r="E4" s="39" t="s">
        <v>2317</v>
      </c>
      <c r="F4" s="48">
        <v>0.0</v>
      </c>
      <c r="G4" s="48">
        <v>25.0</v>
      </c>
      <c r="H4" s="39" t="s">
        <v>45</v>
      </c>
      <c r="I4" s="39" t="s">
        <v>48</v>
      </c>
      <c r="J4" s="39" t="s">
        <v>49</v>
      </c>
      <c r="K4" s="39" t="s">
        <v>49</v>
      </c>
      <c r="L4" s="39" t="s">
        <v>49</v>
      </c>
      <c r="M4" s="39" t="s">
        <v>49</v>
      </c>
      <c r="N4" s="39" t="s">
        <v>49</v>
      </c>
      <c r="O4" s="44" t="s">
        <v>2324</v>
      </c>
      <c r="P4" s="39" t="s">
        <v>2325</v>
      </c>
    </row>
    <row r="5" ht="45.0" customHeight="1">
      <c r="A5" s="37" t="s">
        <v>65</v>
      </c>
      <c r="B5" s="47" t="str">
        <f>IMAGE("https://raw.githubusercontent.com/ltdimages/images/refs/heads/main/Treasure_BookCover.png")</f>
        <v/>
      </c>
      <c r="C5" s="39" t="s">
        <v>2326</v>
      </c>
      <c r="D5" s="39" t="s">
        <v>2316</v>
      </c>
      <c r="E5" s="39" t="s">
        <v>2317</v>
      </c>
      <c r="F5" s="48">
        <v>0.0</v>
      </c>
      <c r="G5" s="48">
        <v>5.0</v>
      </c>
      <c r="H5" s="39" t="s">
        <v>45</v>
      </c>
      <c r="I5" s="39" t="s">
        <v>2327</v>
      </c>
      <c r="J5" s="39" t="s">
        <v>49</v>
      </c>
      <c r="K5" s="39" t="s">
        <v>49</v>
      </c>
      <c r="L5" s="39" t="s">
        <v>49</v>
      </c>
      <c r="M5" s="39" t="s">
        <v>49</v>
      </c>
      <c r="N5" s="39" t="s">
        <v>49</v>
      </c>
      <c r="O5" s="44" t="s">
        <v>2328</v>
      </c>
      <c r="P5" s="39" t="s">
        <v>2329</v>
      </c>
    </row>
    <row r="6" ht="45.0" customHeight="1">
      <c r="A6" s="37" t="s">
        <v>70</v>
      </c>
      <c r="B6" s="47" t="str">
        <f>IMAGE("https://raw.githubusercontent.com/ltdimages/images/refs/heads/main/Treasure_BookManga.png")</f>
        <v/>
      </c>
      <c r="C6" s="39" t="s">
        <v>2330</v>
      </c>
      <c r="D6" s="39" t="s">
        <v>2316</v>
      </c>
      <c r="E6" s="39" t="s">
        <v>2317</v>
      </c>
      <c r="F6" s="48">
        <v>0.0</v>
      </c>
      <c r="G6" s="48">
        <v>7.0</v>
      </c>
      <c r="H6" s="39" t="s">
        <v>45</v>
      </c>
      <c r="I6" s="39" t="s">
        <v>2327</v>
      </c>
      <c r="J6" s="39" t="s">
        <v>49</v>
      </c>
      <c r="K6" s="39" t="s">
        <v>49</v>
      </c>
      <c r="L6" s="39" t="s">
        <v>49</v>
      </c>
      <c r="M6" s="39" t="s">
        <v>49</v>
      </c>
      <c r="N6" s="39" t="s">
        <v>49</v>
      </c>
      <c r="O6" s="44" t="s">
        <v>2331</v>
      </c>
      <c r="P6" s="39" t="s">
        <v>2332</v>
      </c>
    </row>
    <row r="7" ht="45.0" customHeight="1">
      <c r="A7" s="37" t="s">
        <v>74</v>
      </c>
      <c r="B7" s="47" t="str">
        <f>IMAGE("https://raw.githubusercontent.com/ltdimages/images/refs/heads/main/Treasure_BookHistorical.png")</f>
        <v/>
      </c>
      <c r="C7" s="39" t="s">
        <v>2333</v>
      </c>
      <c r="D7" s="39" t="s">
        <v>2316</v>
      </c>
      <c r="E7" s="39" t="s">
        <v>2317</v>
      </c>
      <c r="F7" s="48">
        <v>0.0</v>
      </c>
      <c r="G7" s="48">
        <v>150.0</v>
      </c>
      <c r="H7" s="39" t="s">
        <v>45</v>
      </c>
      <c r="I7" s="39" t="s">
        <v>2327</v>
      </c>
      <c r="J7" s="39" t="s">
        <v>49</v>
      </c>
      <c r="K7" s="39" t="s">
        <v>49</v>
      </c>
      <c r="L7" s="39" t="s">
        <v>49</v>
      </c>
      <c r="M7" s="39" t="s">
        <v>49</v>
      </c>
      <c r="N7" s="39" t="s">
        <v>49</v>
      </c>
      <c r="O7" s="44" t="s">
        <v>2334</v>
      </c>
      <c r="P7" s="39" t="s">
        <v>2335</v>
      </c>
    </row>
    <row r="8" ht="45.0" customHeight="1">
      <c r="A8" s="37" t="s">
        <v>78</v>
      </c>
      <c r="B8" s="47" t="str">
        <f>IMAGE("https://raw.githubusercontent.com/ltdimages/images/refs/heads/main/Treasure_BookHorror.png")</f>
        <v/>
      </c>
      <c r="C8" s="39" t="s">
        <v>2336</v>
      </c>
      <c r="D8" s="39" t="s">
        <v>2316</v>
      </c>
      <c r="E8" s="39" t="s">
        <v>2317</v>
      </c>
      <c r="F8" s="48">
        <v>0.0</v>
      </c>
      <c r="G8" s="48">
        <v>9.0</v>
      </c>
      <c r="H8" s="39" t="s">
        <v>45</v>
      </c>
      <c r="I8" s="39" t="s">
        <v>2327</v>
      </c>
      <c r="J8" s="39" t="s">
        <v>49</v>
      </c>
      <c r="K8" s="39" t="s">
        <v>49</v>
      </c>
      <c r="L8" s="39" t="s">
        <v>49</v>
      </c>
      <c r="M8" s="39" t="s">
        <v>49</v>
      </c>
      <c r="N8" s="39" t="s">
        <v>49</v>
      </c>
      <c r="O8" s="44" t="s">
        <v>2337</v>
      </c>
      <c r="P8" s="39" t="s">
        <v>2338</v>
      </c>
    </row>
    <row r="9" ht="45.0" customHeight="1">
      <c r="A9" s="37" t="s">
        <v>83</v>
      </c>
      <c r="B9" s="47" t="str">
        <f>IMAGE("https://raw.githubusercontent.com/ltdimages/images/refs/heads/main/Treasure_BookLove.png")</f>
        <v/>
      </c>
      <c r="C9" s="39" t="s">
        <v>2339</v>
      </c>
      <c r="D9" s="39" t="s">
        <v>2316</v>
      </c>
      <c r="E9" s="39" t="s">
        <v>2317</v>
      </c>
      <c r="F9" s="48">
        <v>0.0</v>
      </c>
      <c r="G9" s="48">
        <v>8.0</v>
      </c>
      <c r="H9" s="39" t="s">
        <v>45</v>
      </c>
      <c r="I9" s="39" t="s">
        <v>2327</v>
      </c>
      <c r="J9" s="39" t="s">
        <v>49</v>
      </c>
      <c r="K9" s="39" t="s">
        <v>49</v>
      </c>
      <c r="L9" s="39" t="s">
        <v>49</v>
      </c>
      <c r="M9" s="39" t="s">
        <v>49</v>
      </c>
      <c r="N9" s="39" t="s">
        <v>49</v>
      </c>
      <c r="O9" s="44" t="s">
        <v>2340</v>
      </c>
      <c r="P9" s="39" t="s">
        <v>2341</v>
      </c>
    </row>
    <row r="10" ht="45.0" customHeight="1">
      <c r="A10" s="37" t="s">
        <v>89</v>
      </c>
      <c r="B10" s="47" t="str">
        <f>IMAGE("https://raw.githubusercontent.com/ltdimages/images/refs/heads/main/Treasure_BookPicture.png")</f>
        <v/>
      </c>
      <c r="C10" s="39" t="s">
        <v>2342</v>
      </c>
      <c r="D10" s="39" t="s">
        <v>2316</v>
      </c>
      <c r="E10" s="39" t="s">
        <v>2317</v>
      </c>
      <c r="F10" s="48">
        <v>0.0</v>
      </c>
      <c r="G10" s="48">
        <v>11.5</v>
      </c>
      <c r="H10" s="39" t="s">
        <v>45</v>
      </c>
      <c r="I10" s="39" t="s">
        <v>48</v>
      </c>
      <c r="J10" s="39" t="s">
        <v>49</v>
      </c>
      <c r="K10" s="39" t="s">
        <v>49</v>
      </c>
      <c r="L10" s="39" t="s">
        <v>49</v>
      </c>
      <c r="M10" s="39" t="s">
        <v>49</v>
      </c>
      <c r="N10" s="39" t="s">
        <v>49</v>
      </c>
      <c r="O10" s="44" t="s">
        <v>2343</v>
      </c>
      <c r="P10" s="39" t="s">
        <v>2344</v>
      </c>
    </row>
    <row r="11" ht="45.0" customHeight="1">
      <c r="A11" s="37" t="s">
        <v>94</v>
      </c>
      <c r="B11" s="47" t="str">
        <f>IMAGE("https://raw.githubusercontent.com/ltdimages/images/refs/heads/main/Treasure_BookDevelopment.png")</f>
        <v/>
      </c>
      <c r="C11" s="39" t="s">
        <v>2345</v>
      </c>
      <c r="D11" s="39" t="s">
        <v>2316</v>
      </c>
      <c r="E11" s="39" t="s">
        <v>2317</v>
      </c>
      <c r="F11" s="48">
        <v>0.0</v>
      </c>
      <c r="G11" s="48">
        <v>15.0</v>
      </c>
      <c r="H11" s="39" t="s">
        <v>45</v>
      </c>
      <c r="I11" s="39" t="s">
        <v>48</v>
      </c>
      <c r="J11" s="39" t="s">
        <v>49</v>
      </c>
      <c r="K11" s="39" t="s">
        <v>49</v>
      </c>
      <c r="L11" s="39" t="s">
        <v>49</v>
      </c>
      <c r="M11" s="39" t="s">
        <v>49</v>
      </c>
      <c r="N11" s="39" t="s">
        <v>49</v>
      </c>
      <c r="O11" s="39" t="s">
        <v>2346</v>
      </c>
      <c r="P11" s="39" t="s">
        <v>2347</v>
      </c>
    </row>
    <row r="12" ht="45.0" customHeight="1">
      <c r="A12" s="37" t="s">
        <v>98</v>
      </c>
      <c r="B12" s="47" t="str">
        <f>IMAGE("https://raw.githubusercontent.com/ltdimages/images/refs/heads/main/Treasure_CDAnimeSong.png")</f>
        <v/>
      </c>
      <c r="C12" s="39" t="s">
        <v>2348</v>
      </c>
      <c r="D12" s="39" t="s">
        <v>2316</v>
      </c>
      <c r="E12" s="39" t="s">
        <v>2349</v>
      </c>
      <c r="F12" s="48">
        <v>0.0</v>
      </c>
      <c r="G12" s="48">
        <v>20.0</v>
      </c>
      <c r="H12" s="39" t="s">
        <v>45</v>
      </c>
      <c r="I12" s="39" t="s">
        <v>2350</v>
      </c>
      <c r="J12" s="39" t="s">
        <v>49</v>
      </c>
      <c r="K12" s="39" t="s">
        <v>49</v>
      </c>
      <c r="L12" s="39" t="s">
        <v>49</v>
      </c>
      <c r="M12" s="39" t="s">
        <v>49</v>
      </c>
      <c r="N12" s="39" t="s">
        <v>49</v>
      </c>
      <c r="O12" s="44" t="s">
        <v>2351</v>
      </c>
      <c r="P12" s="39" t="s">
        <v>2352</v>
      </c>
    </row>
    <row r="13" ht="45.0" customHeight="1">
      <c r="A13" s="37" t="s">
        <v>104</v>
      </c>
      <c r="B13" s="47" t="str">
        <f>IMAGE("https://raw.githubusercontent.com/ltdimages/images/refs/heads/main/Treasure_CDNurseryRhyme.png")</f>
        <v/>
      </c>
      <c r="C13" s="39" t="s">
        <v>2353</v>
      </c>
      <c r="D13" s="39" t="s">
        <v>2316</v>
      </c>
      <c r="E13" s="39" t="s">
        <v>2349</v>
      </c>
      <c r="F13" s="48">
        <v>0.0</v>
      </c>
      <c r="G13" s="48">
        <v>22.0</v>
      </c>
      <c r="H13" s="39" t="s">
        <v>45</v>
      </c>
      <c r="I13" s="39" t="s">
        <v>2350</v>
      </c>
      <c r="J13" s="39" t="s">
        <v>49</v>
      </c>
      <c r="K13" s="39" t="s">
        <v>49</v>
      </c>
      <c r="L13" s="39" t="s">
        <v>49</v>
      </c>
      <c r="M13" s="39" t="s">
        <v>49</v>
      </c>
      <c r="N13" s="39" t="s">
        <v>49</v>
      </c>
      <c r="O13" s="44" t="s">
        <v>2354</v>
      </c>
      <c r="P13" s="39" t="s">
        <v>2355</v>
      </c>
    </row>
    <row r="14" ht="45.0" customHeight="1">
      <c r="A14" s="37" t="s">
        <v>109</v>
      </c>
      <c r="B14" s="47" t="str">
        <f>IMAGE("https://raw.githubusercontent.com/ltdimages/images/refs/heads/main/Treasure_CDClassic.png")</f>
        <v/>
      </c>
      <c r="C14" s="39" t="s">
        <v>2356</v>
      </c>
      <c r="D14" s="39" t="s">
        <v>2316</v>
      </c>
      <c r="E14" s="39" t="s">
        <v>2349</v>
      </c>
      <c r="F14" s="48">
        <v>0.0</v>
      </c>
      <c r="G14" s="48">
        <v>80.0</v>
      </c>
      <c r="H14" s="39" t="s">
        <v>45</v>
      </c>
      <c r="I14" s="39" t="s">
        <v>2350</v>
      </c>
      <c r="J14" s="39" t="s">
        <v>49</v>
      </c>
      <c r="K14" s="39" t="s">
        <v>49</v>
      </c>
      <c r="L14" s="39" t="s">
        <v>49</v>
      </c>
      <c r="M14" s="39" t="s">
        <v>49</v>
      </c>
      <c r="N14" s="39" t="s">
        <v>49</v>
      </c>
      <c r="O14" s="44" t="s">
        <v>2357</v>
      </c>
      <c r="P14" s="39" t="s">
        <v>2358</v>
      </c>
    </row>
    <row r="15" ht="45.0" customHeight="1">
      <c r="A15" s="37" t="s">
        <v>115</v>
      </c>
      <c r="B15" s="47" t="str">
        <f>IMAGE("https://raw.githubusercontent.com/ltdimages/images/refs/heads/main/Treasure_CDJazz.png")</f>
        <v/>
      </c>
      <c r="C15" s="39" t="s">
        <v>2359</v>
      </c>
      <c r="D15" s="39" t="s">
        <v>2316</v>
      </c>
      <c r="E15" s="39" t="s">
        <v>2349</v>
      </c>
      <c r="F15" s="48">
        <v>0.0</v>
      </c>
      <c r="G15" s="48">
        <v>40.0</v>
      </c>
      <c r="H15" s="39" t="s">
        <v>45</v>
      </c>
      <c r="I15" s="39" t="s">
        <v>2350</v>
      </c>
      <c r="J15" s="39" t="s">
        <v>49</v>
      </c>
      <c r="K15" s="39" t="s">
        <v>49</v>
      </c>
      <c r="L15" s="39" t="s">
        <v>49</v>
      </c>
      <c r="M15" s="39" t="s">
        <v>49</v>
      </c>
      <c r="N15" s="39" t="s">
        <v>49</v>
      </c>
      <c r="O15" s="44" t="s">
        <v>2360</v>
      </c>
      <c r="P15" s="39" t="s">
        <v>2361</v>
      </c>
    </row>
    <row r="16" ht="45.0" customHeight="1">
      <c r="A16" s="37" t="s">
        <v>119</v>
      </c>
      <c r="B16" s="47" t="str">
        <f>IMAGE("https://raw.githubusercontent.com/ltdimages/images/refs/heads/main/Treasure_CDIdol.png")</f>
        <v/>
      </c>
      <c r="C16" s="39" t="s">
        <v>2362</v>
      </c>
      <c r="D16" s="39" t="s">
        <v>2316</v>
      </c>
      <c r="E16" s="39" t="s">
        <v>2349</v>
      </c>
      <c r="F16" s="48">
        <v>0.0</v>
      </c>
      <c r="G16" s="48">
        <v>30.0</v>
      </c>
      <c r="H16" s="39" t="s">
        <v>45</v>
      </c>
      <c r="I16" s="39" t="s">
        <v>2350</v>
      </c>
      <c r="J16" s="39" t="s">
        <v>49</v>
      </c>
      <c r="K16" s="39" t="s">
        <v>49</v>
      </c>
      <c r="L16" s="39" t="s">
        <v>49</v>
      </c>
      <c r="M16" s="39" t="s">
        <v>49</v>
      </c>
      <c r="N16" s="39" t="s">
        <v>49</v>
      </c>
      <c r="O16" s="44" t="s">
        <v>2363</v>
      </c>
      <c r="P16" s="39" t="s">
        <v>2364</v>
      </c>
    </row>
    <row r="17" ht="45.0" customHeight="1">
      <c r="A17" s="37" t="s">
        <v>124</v>
      </c>
      <c r="B17" s="47" t="str">
        <f>IMAGE("https://raw.githubusercontent.com/ltdimages/images/refs/heads/main/Treasure_CDPopMusic.png")</f>
        <v/>
      </c>
      <c r="C17" s="39" t="s">
        <v>2365</v>
      </c>
      <c r="D17" s="39" t="s">
        <v>2316</v>
      </c>
      <c r="E17" s="39" t="s">
        <v>2349</v>
      </c>
      <c r="F17" s="48">
        <v>0.0</v>
      </c>
      <c r="G17" s="48">
        <v>25.0</v>
      </c>
      <c r="H17" s="39" t="s">
        <v>45</v>
      </c>
      <c r="I17" s="39" t="s">
        <v>2350</v>
      </c>
      <c r="J17" s="39" t="s">
        <v>49</v>
      </c>
      <c r="K17" s="39" t="s">
        <v>49</v>
      </c>
      <c r="L17" s="39" t="s">
        <v>49</v>
      </c>
      <c r="M17" s="39" t="s">
        <v>49</v>
      </c>
      <c r="N17" s="39" t="s">
        <v>49</v>
      </c>
      <c r="O17" s="44" t="s">
        <v>2366</v>
      </c>
      <c r="P17" s="39" t="s">
        <v>2367</v>
      </c>
    </row>
    <row r="18" ht="45.0" customHeight="1">
      <c r="A18" s="37" t="s">
        <v>129</v>
      </c>
      <c r="B18" s="47" t="str">
        <f>IMAGE("https://raw.githubusercontent.com/ltdimages/images/refs/heads/main/Treasure_CDReggae.png")</f>
        <v/>
      </c>
      <c r="C18" s="39" t="s">
        <v>2368</v>
      </c>
      <c r="D18" s="39" t="s">
        <v>2316</v>
      </c>
      <c r="E18" s="39" t="s">
        <v>2349</v>
      </c>
      <c r="F18" s="48">
        <v>0.0</v>
      </c>
      <c r="G18" s="48">
        <v>25.0</v>
      </c>
      <c r="H18" s="39" t="s">
        <v>45</v>
      </c>
      <c r="I18" s="39" t="s">
        <v>2350</v>
      </c>
      <c r="J18" s="39" t="s">
        <v>49</v>
      </c>
      <c r="K18" s="39" t="s">
        <v>49</v>
      </c>
      <c r="L18" s="39" t="s">
        <v>49</v>
      </c>
      <c r="M18" s="39" t="s">
        <v>49</v>
      </c>
      <c r="N18" s="39" t="s">
        <v>49</v>
      </c>
      <c r="O18" s="44" t="s">
        <v>2369</v>
      </c>
      <c r="P18" s="39" t="s">
        <v>2370</v>
      </c>
    </row>
    <row r="19" ht="45.0" customHeight="1">
      <c r="A19" s="37" t="s">
        <v>134</v>
      </c>
      <c r="B19" s="47" t="str">
        <f>IMAGE("https://raw.githubusercontent.com/ltdimages/images/refs/heads/main/Treasure_CDRock.png")</f>
        <v/>
      </c>
      <c r="C19" s="39" t="s">
        <v>2371</v>
      </c>
      <c r="D19" s="39" t="s">
        <v>2316</v>
      </c>
      <c r="E19" s="39" t="s">
        <v>2349</v>
      </c>
      <c r="F19" s="48">
        <v>0.0</v>
      </c>
      <c r="G19" s="48">
        <v>25.0</v>
      </c>
      <c r="H19" s="39" t="s">
        <v>45</v>
      </c>
      <c r="I19" s="39" t="s">
        <v>2350</v>
      </c>
      <c r="J19" s="39" t="s">
        <v>49</v>
      </c>
      <c r="K19" s="39" t="s">
        <v>49</v>
      </c>
      <c r="L19" s="39" t="s">
        <v>49</v>
      </c>
      <c r="M19" s="39" t="s">
        <v>49</v>
      </c>
      <c r="N19" s="39" t="s">
        <v>49</v>
      </c>
      <c r="O19" s="44" t="s">
        <v>2372</v>
      </c>
      <c r="P19" s="39" t="s">
        <v>2373</v>
      </c>
    </row>
    <row r="20" ht="45.0" customHeight="1">
      <c r="A20" s="37" t="s">
        <v>138</v>
      </c>
      <c r="B20" s="47" t="str">
        <f>IMAGE("https://raw.githubusercontent.com/ltdimages/images/refs/heads/main/Treasure_CDDance.png")</f>
        <v/>
      </c>
      <c r="C20" s="39" t="s">
        <v>2374</v>
      </c>
      <c r="D20" s="39" t="s">
        <v>2316</v>
      </c>
      <c r="E20" s="39" t="s">
        <v>2349</v>
      </c>
      <c r="F20" s="48">
        <v>0.0</v>
      </c>
      <c r="G20" s="48">
        <v>30.0</v>
      </c>
      <c r="H20" s="39" t="s">
        <v>45</v>
      </c>
      <c r="I20" s="39" t="s">
        <v>2350</v>
      </c>
      <c r="J20" s="39" t="s">
        <v>49</v>
      </c>
      <c r="K20" s="39" t="s">
        <v>49</v>
      </c>
      <c r="L20" s="39" t="s">
        <v>49</v>
      </c>
      <c r="M20" s="39" t="s">
        <v>49</v>
      </c>
      <c r="N20" s="39" t="s">
        <v>49</v>
      </c>
      <c r="O20" s="44" t="s">
        <v>2375</v>
      </c>
      <c r="P20" s="39" t="s">
        <v>2376</v>
      </c>
    </row>
    <row r="21" ht="45.0" customHeight="1">
      <c r="A21" s="37" t="s">
        <v>142</v>
      </c>
      <c r="B21" s="47" t="str">
        <f>IMAGE("https://raw.githubusercontent.com/ltdimages/images/refs/heads/main/Treasure_CDGameMusic.png")</f>
        <v/>
      </c>
      <c r="C21" s="39" t="s">
        <v>2377</v>
      </c>
      <c r="D21" s="39" t="s">
        <v>2316</v>
      </c>
      <c r="E21" s="39" t="s">
        <v>2349</v>
      </c>
      <c r="F21" s="48">
        <v>0.0</v>
      </c>
      <c r="G21" s="48">
        <v>25.0</v>
      </c>
      <c r="H21" s="39" t="s">
        <v>45</v>
      </c>
      <c r="I21" s="39" t="s">
        <v>2350</v>
      </c>
      <c r="J21" s="39" t="s">
        <v>49</v>
      </c>
      <c r="K21" s="39" t="s">
        <v>49</v>
      </c>
      <c r="L21" s="39" t="s">
        <v>49</v>
      </c>
      <c r="M21" s="39" t="s">
        <v>49</v>
      </c>
      <c r="N21" s="39" t="s">
        <v>49</v>
      </c>
      <c r="O21" s="44" t="s">
        <v>2378</v>
      </c>
      <c r="P21" s="39" t="s">
        <v>2379</v>
      </c>
    </row>
    <row r="22" ht="45.0" customHeight="1">
      <c r="A22" s="37" t="s">
        <v>147</v>
      </c>
      <c r="B22" s="47" t="str">
        <f>IMAGE("https://raw.githubusercontent.com/ltdimages/images/refs/heads/main/Treasure_DVDAction.png")</f>
        <v/>
      </c>
      <c r="C22" s="39" t="s">
        <v>2380</v>
      </c>
      <c r="D22" s="39" t="s">
        <v>2316</v>
      </c>
      <c r="E22" s="39" t="s">
        <v>2381</v>
      </c>
      <c r="F22" s="48">
        <v>0.0</v>
      </c>
      <c r="G22" s="48">
        <v>17.0</v>
      </c>
      <c r="H22" s="39" t="s">
        <v>45</v>
      </c>
      <c r="I22" s="39" t="s">
        <v>2350</v>
      </c>
      <c r="J22" s="39" t="s">
        <v>49</v>
      </c>
      <c r="K22" s="39" t="s">
        <v>49</v>
      </c>
      <c r="L22" s="39" t="s">
        <v>49</v>
      </c>
      <c r="M22" s="39" t="s">
        <v>49</v>
      </c>
      <c r="N22" s="39" t="s">
        <v>49</v>
      </c>
      <c r="O22" s="44" t="s">
        <v>2382</v>
      </c>
      <c r="P22" s="39" t="s">
        <v>2383</v>
      </c>
    </row>
    <row r="23" ht="45.0" customHeight="1">
      <c r="A23" s="37" t="s">
        <v>152</v>
      </c>
      <c r="B23" s="47" t="str">
        <f>IMAGE("https://raw.githubusercontent.com/ltdimages/images/refs/heads/main/Treasure_DVDAnimation.png")</f>
        <v/>
      </c>
      <c r="C23" s="39" t="s">
        <v>2384</v>
      </c>
      <c r="D23" s="39" t="s">
        <v>2316</v>
      </c>
      <c r="E23" s="39" t="s">
        <v>2381</v>
      </c>
      <c r="F23" s="48">
        <v>0.0</v>
      </c>
      <c r="G23" s="48">
        <v>15.0</v>
      </c>
      <c r="H23" s="39" t="s">
        <v>45</v>
      </c>
      <c r="I23" s="39" t="s">
        <v>2350</v>
      </c>
      <c r="J23" s="39" t="s">
        <v>49</v>
      </c>
      <c r="K23" s="39" t="s">
        <v>49</v>
      </c>
      <c r="L23" s="39" t="s">
        <v>49</v>
      </c>
      <c r="M23" s="39" t="s">
        <v>49</v>
      </c>
      <c r="N23" s="39" t="s">
        <v>49</v>
      </c>
      <c r="O23" s="44" t="s">
        <v>2385</v>
      </c>
      <c r="P23" s="39" t="s">
        <v>2386</v>
      </c>
    </row>
    <row r="24" ht="45.0" customHeight="1">
      <c r="A24" s="37" t="s">
        <v>156</v>
      </c>
      <c r="B24" s="47" t="str">
        <f>IMAGE("https://raw.githubusercontent.com/ltdimages/images/refs/heads/main/Treasure_DVDCooking.png")</f>
        <v/>
      </c>
      <c r="C24" s="39" t="s">
        <v>2387</v>
      </c>
      <c r="D24" s="39" t="s">
        <v>2316</v>
      </c>
      <c r="E24" s="39" t="s">
        <v>2381</v>
      </c>
      <c r="F24" s="48">
        <v>0.0</v>
      </c>
      <c r="G24" s="48">
        <v>15.0</v>
      </c>
      <c r="H24" s="39" t="s">
        <v>45</v>
      </c>
      <c r="I24" s="39" t="s">
        <v>2350</v>
      </c>
      <c r="J24" s="39" t="s">
        <v>49</v>
      </c>
      <c r="K24" s="39" t="s">
        <v>49</v>
      </c>
      <c r="L24" s="39" t="s">
        <v>49</v>
      </c>
      <c r="M24" s="39" t="s">
        <v>49</v>
      </c>
      <c r="N24" s="39" t="s">
        <v>49</v>
      </c>
      <c r="O24" s="44" t="s">
        <v>2388</v>
      </c>
      <c r="P24" s="39" t="s">
        <v>2389</v>
      </c>
    </row>
    <row r="25" ht="45.0" customHeight="1">
      <c r="A25" s="37" t="s">
        <v>161</v>
      </c>
      <c r="B25" s="47" t="str">
        <f>IMAGE("https://raw.githubusercontent.com/ltdimages/images/refs/heads/main/Treasure_DVDHorror.png")</f>
        <v/>
      </c>
      <c r="C25" s="39" t="s">
        <v>2390</v>
      </c>
      <c r="D25" s="39" t="s">
        <v>2316</v>
      </c>
      <c r="E25" s="39" t="s">
        <v>2381</v>
      </c>
      <c r="F25" s="48">
        <v>0.0</v>
      </c>
      <c r="G25" s="48">
        <v>15.0</v>
      </c>
      <c r="H25" s="39" t="s">
        <v>45</v>
      </c>
      <c r="I25" s="39" t="s">
        <v>2350</v>
      </c>
      <c r="J25" s="39" t="s">
        <v>49</v>
      </c>
      <c r="K25" s="39" t="s">
        <v>49</v>
      </c>
      <c r="L25" s="39" t="s">
        <v>49</v>
      </c>
      <c r="M25" s="39" t="s">
        <v>49</v>
      </c>
      <c r="N25" s="39" t="s">
        <v>49</v>
      </c>
      <c r="O25" s="44" t="s">
        <v>2391</v>
      </c>
      <c r="P25" s="39" t="s">
        <v>2392</v>
      </c>
    </row>
    <row r="26" ht="45.0" customHeight="1">
      <c r="A26" s="37" t="s">
        <v>165</v>
      </c>
      <c r="B26" s="47" t="str">
        <f>IMAGE("https://raw.githubusercontent.com/ltdimages/images/refs/heads/main/Treasure_DVDLive.png")</f>
        <v/>
      </c>
      <c r="C26" s="39" t="s">
        <v>2393</v>
      </c>
      <c r="D26" s="39" t="s">
        <v>2316</v>
      </c>
      <c r="E26" s="39" t="s">
        <v>2381</v>
      </c>
      <c r="F26" s="48">
        <v>0.0</v>
      </c>
      <c r="G26" s="48">
        <v>30.0</v>
      </c>
      <c r="H26" s="39" t="s">
        <v>45</v>
      </c>
      <c r="I26" s="39" t="s">
        <v>2350</v>
      </c>
      <c r="J26" s="39" t="s">
        <v>49</v>
      </c>
      <c r="K26" s="39" t="s">
        <v>49</v>
      </c>
      <c r="L26" s="39" t="s">
        <v>49</v>
      </c>
      <c r="M26" s="39" t="s">
        <v>49</v>
      </c>
      <c r="N26" s="39" t="s">
        <v>49</v>
      </c>
      <c r="O26" s="44" t="s">
        <v>2394</v>
      </c>
      <c r="P26" s="39" t="s">
        <v>2395</v>
      </c>
    </row>
    <row r="27" ht="45.0" customHeight="1">
      <c r="A27" s="37" t="s">
        <v>170</v>
      </c>
      <c r="B27" s="47" t="str">
        <f>IMAGE("https://raw.githubusercontent.com/ltdimages/images/refs/heads/main/Treasure_DVDNature.png")</f>
        <v/>
      </c>
      <c r="C27" s="39" t="s">
        <v>2396</v>
      </c>
      <c r="D27" s="39" t="s">
        <v>2316</v>
      </c>
      <c r="E27" s="39" t="s">
        <v>2381</v>
      </c>
      <c r="F27" s="48">
        <v>0.0</v>
      </c>
      <c r="G27" s="48">
        <v>20.0</v>
      </c>
      <c r="H27" s="39" t="s">
        <v>45</v>
      </c>
      <c r="I27" s="39" t="s">
        <v>2002</v>
      </c>
      <c r="J27" s="39" t="s">
        <v>49</v>
      </c>
      <c r="K27" s="39" t="s">
        <v>49</v>
      </c>
      <c r="L27" s="39" t="s">
        <v>49</v>
      </c>
      <c r="M27" s="39" t="s">
        <v>49</v>
      </c>
      <c r="N27" s="39" t="s">
        <v>49</v>
      </c>
      <c r="O27" s="44" t="s">
        <v>2397</v>
      </c>
      <c r="P27" s="39" t="s">
        <v>2398</v>
      </c>
    </row>
    <row r="28" ht="45.0" customHeight="1">
      <c r="A28" s="37" t="s">
        <v>175</v>
      </c>
      <c r="B28" s="47" t="str">
        <f>IMAGE("https://raw.githubusercontent.com/ltdimages/images/refs/heads/main/Treasure_DVDLove.png")</f>
        <v/>
      </c>
      <c r="C28" s="39" t="s">
        <v>2399</v>
      </c>
      <c r="D28" s="39" t="s">
        <v>2316</v>
      </c>
      <c r="E28" s="39" t="s">
        <v>2381</v>
      </c>
      <c r="F28" s="48">
        <v>0.0</v>
      </c>
      <c r="G28" s="48">
        <v>15.0</v>
      </c>
      <c r="H28" s="39" t="s">
        <v>45</v>
      </c>
      <c r="I28" s="39" t="s">
        <v>2350</v>
      </c>
      <c r="J28" s="39" t="s">
        <v>49</v>
      </c>
      <c r="K28" s="39" t="s">
        <v>49</v>
      </c>
      <c r="L28" s="39" t="s">
        <v>49</v>
      </c>
      <c r="M28" s="39" t="s">
        <v>49</v>
      </c>
      <c r="N28" s="39" t="s">
        <v>49</v>
      </c>
      <c r="O28" s="44" t="s">
        <v>2400</v>
      </c>
      <c r="P28" s="39" t="s">
        <v>2401</v>
      </c>
    </row>
    <row r="29" ht="45.0" customHeight="1">
      <c r="A29" s="37" t="s">
        <v>180</v>
      </c>
      <c r="B29" s="47" t="str">
        <f>IMAGE("https://raw.githubusercontent.com/ltdimages/images/refs/heads/main/Treasure_DVDSF.png")</f>
        <v/>
      </c>
      <c r="C29" s="39" t="s">
        <v>2402</v>
      </c>
      <c r="D29" s="39" t="s">
        <v>2316</v>
      </c>
      <c r="E29" s="39" t="s">
        <v>2381</v>
      </c>
      <c r="F29" s="48">
        <v>0.0</v>
      </c>
      <c r="G29" s="48">
        <v>20.0</v>
      </c>
      <c r="H29" s="39" t="s">
        <v>45</v>
      </c>
      <c r="I29" s="39" t="s">
        <v>2350</v>
      </c>
      <c r="J29" s="39" t="s">
        <v>49</v>
      </c>
      <c r="K29" s="39" t="s">
        <v>49</v>
      </c>
      <c r="L29" s="39" t="s">
        <v>49</v>
      </c>
      <c r="M29" s="39" t="s">
        <v>49</v>
      </c>
      <c r="N29" s="39" t="s">
        <v>49</v>
      </c>
      <c r="O29" s="44" t="s">
        <v>2403</v>
      </c>
      <c r="P29" s="39" t="s">
        <v>2404</v>
      </c>
    </row>
    <row r="30" ht="45.0" customHeight="1">
      <c r="A30" s="37" t="s">
        <v>185</v>
      </c>
      <c r="B30" s="47" t="str">
        <f>IMAGE("https://raw.githubusercontent.com/ltdimages/images/refs/heads/main/Treasure_DVDShopping.png")</f>
        <v/>
      </c>
      <c r="C30" s="39" t="s">
        <v>2405</v>
      </c>
      <c r="D30" s="39" t="s">
        <v>2316</v>
      </c>
      <c r="E30" s="39" t="s">
        <v>2381</v>
      </c>
      <c r="F30" s="48">
        <v>0.0</v>
      </c>
      <c r="G30" s="48">
        <v>11.0</v>
      </c>
      <c r="H30" s="39" t="s">
        <v>45</v>
      </c>
      <c r="I30" s="39" t="s">
        <v>2350</v>
      </c>
      <c r="J30" s="39" t="s">
        <v>49</v>
      </c>
      <c r="K30" s="39" t="s">
        <v>49</v>
      </c>
      <c r="L30" s="39" t="s">
        <v>49</v>
      </c>
      <c r="M30" s="39" t="s">
        <v>49</v>
      </c>
      <c r="N30" s="39" t="s">
        <v>49</v>
      </c>
      <c r="O30" s="44" t="s">
        <v>2406</v>
      </c>
      <c r="P30" s="39" t="s">
        <v>2407</v>
      </c>
    </row>
    <row r="31" ht="45.0" customHeight="1">
      <c r="A31" s="37" t="s">
        <v>189</v>
      </c>
      <c r="B31" s="47" t="str">
        <f>IMAGE("https://raw.githubusercontent.com/ltdimages/images/refs/heads/main/Treasure_DVDSports.png")</f>
        <v/>
      </c>
      <c r="C31" s="39" t="s">
        <v>2408</v>
      </c>
      <c r="D31" s="39" t="s">
        <v>2316</v>
      </c>
      <c r="E31" s="39" t="s">
        <v>2381</v>
      </c>
      <c r="F31" s="48">
        <v>0.0</v>
      </c>
      <c r="G31" s="48">
        <v>15.0</v>
      </c>
      <c r="H31" s="39" t="s">
        <v>45</v>
      </c>
      <c r="I31" s="39" t="s">
        <v>2350</v>
      </c>
      <c r="J31" s="39" t="s">
        <v>49</v>
      </c>
      <c r="K31" s="39" t="s">
        <v>49</v>
      </c>
      <c r="L31" s="39" t="s">
        <v>49</v>
      </c>
      <c r="M31" s="39" t="s">
        <v>49</v>
      </c>
      <c r="N31" s="39" t="s">
        <v>49</v>
      </c>
      <c r="O31" s="44" t="s">
        <v>2409</v>
      </c>
      <c r="P31" s="44" t="s">
        <v>2410</v>
      </c>
    </row>
    <row r="32" ht="45.0" customHeight="1">
      <c r="A32" s="37" t="s">
        <v>194</v>
      </c>
      <c r="B32" s="47" t="str">
        <f>IMAGE("https://raw.githubusercontent.com/ltdimages/images/refs/heads/main/Treasure_DVDWideShow.png")</f>
        <v/>
      </c>
      <c r="C32" s="39" t="s">
        <v>2411</v>
      </c>
      <c r="D32" s="39" t="s">
        <v>2316</v>
      </c>
      <c r="E32" s="39" t="s">
        <v>2381</v>
      </c>
      <c r="F32" s="48">
        <v>0.0</v>
      </c>
      <c r="G32" s="48">
        <v>15.0</v>
      </c>
      <c r="H32" s="39" t="s">
        <v>45</v>
      </c>
      <c r="I32" s="39" t="s">
        <v>2350</v>
      </c>
      <c r="J32" s="39" t="s">
        <v>49</v>
      </c>
      <c r="K32" s="39" t="s">
        <v>49</v>
      </c>
      <c r="L32" s="39" t="s">
        <v>49</v>
      </c>
      <c r="M32" s="39" t="s">
        <v>49</v>
      </c>
      <c r="N32" s="39" t="s">
        <v>49</v>
      </c>
      <c r="O32" s="44" t="s">
        <v>2412</v>
      </c>
      <c r="P32" s="39" t="s">
        <v>2413</v>
      </c>
    </row>
    <row r="33" ht="45.0" customHeight="1">
      <c r="A33" s="37" t="s">
        <v>198</v>
      </c>
      <c r="B33" s="47" t="str">
        <f>IMAGE("https://raw.githubusercontent.com/ltdimages/images/refs/heads/main/Treasure_GameAdventure.png")</f>
        <v/>
      </c>
      <c r="C33" s="39" t="s">
        <v>2414</v>
      </c>
      <c r="D33" s="39" t="s">
        <v>2316</v>
      </c>
      <c r="E33" s="39" t="s">
        <v>2415</v>
      </c>
      <c r="F33" s="48">
        <v>0.0</v>
      </c>
      <c r="G33" s="48">
        <v>55.0</v>
      </c>
      <c r="H33" s="39" t="s">
        <v>45</v>
      </c>
      <c r="I33" s="39" t="s">
        <v>48</v>
      </c>
      <c r="J33" s="39" t="s">
        <v>49</v>
      </c>
      <c r="K33" s="39" t="s">
        <v>49</v>
      </c>
      <c r="L33" s="39" t="s">
        <v>49</v>
      </c>
      <c r="M33" s="39" t="s">
        <v>49</v>
      </c>
      <c r="N33" s="39" t="s">
        <v>49</v>
      </c>
      <c r="O33" s="44" t="s">
        <v>2416</v>
      </c>
      <c r="P33" s="39" t="s">
        <v>2417</v>
      </c>
    </row>
    <row r="34" ht="45.0" customHeight="1">
      <c r="A34" s="37" t="s">
        <v>202</v>
      </c>
      <c r="B34" s="47" t="str">
        <f>IMAGE("https://raw.githubusercontent.com/ltdimages/images/refs/heads/main/Treasure_GameDance.png")</f>
        <v/>
      </c>
      <c r="C34" s="39" t="s">
        <v>2418</v>
      </c>
      <c r="D34" s="39" t="s">
        <v>2316</v>
      </c>
      <c r="E34" s="39" t="s">
        <v>2415</v>
      </c>
      <c r="F34" s="48">
        <v>0.0</v>
      </c>
      <c r="G34" s="48">
        <v>38.0</v>
      </c>
      <c r="H34" s="39" t="s">
        <v>45</v>
      </c>
      <c r="I34" s="39" t="s">
        <v>48</v>
      </c>
      <c r="J34" s="39" t="s">
        <v>49</v>
      </c>
      <c r="K34" s="39" t="s">
        <v>49</v>
      </c>
      <c r="L34" s="39" t="s">
        <v>49</v>
      </c>
      <c r="M34" s="39" t="s">
        <v>49</v>
      </c>
      <c r="N34" s="39" t="s">
        <v>49</v>
      </c>
      <c r="O34" s="44" t="s">
        <v>2419</v>
      </c>
      <c r="P34" s="39" t="s">
        <v>2420</v>
      </c>
    </row>
    <row r="35" ht="45.0" customHeight="1">
      <c r="A35" s="37" t="s">
        <v>207</v>
      </c>
      <c r="B35" s="47" t="str">
        <f>IMAGE("https://raw.githubusercontent.com/ltdimages/images/refs/heads/main/Treasure_GameLoveSimulation.png")</f>
        <v/>
      </c>
      <c r="C35" s="39" t="s">
        <v>2421</v>
      </c>
      <c r="D35" s="39" t="s">
        <v>2316</v>
      </c>
      <c r="E35" s="39" t="s">
        <v>2415</v>
      </c>
      <c r="F35" s="48">
        <v>0.0</v>
      </c>
      <c r="G35" s="48">
        <v>53.0</v>
      </c>
      <c r="H35" s="39" t="s">
        <v>45</v>
      </c>
      <c r="I35" s="39" t="s">
        <v>48</v>
      </c>
      <c r="J35" s="39" t="s">
        <v>49</v>
      </c>
      <c r="K35" s="39" t="s">
        <v>49</v>
      </c>
      <c r="L35" s="39" t="s">
        <v>49</v>
      </c>
      <c r="M35" s="39" t="s">
        <v>49</v>
      </c>
      <c r="N35" s="39" t="s">
        <v>49</v>
      </c>
      <c r="O35" s="44" t="s">
        <v>2422</v>
      </c>
      <c r="P35" s="39" t="s">
        <v>2423</v>
      </c>
    </row>
    <row r="36" ht="45.0" customHeight="1">
      <c r="A36" s="37" t="s">
        <v>211</v>
      </c>
      <c r="B36" s="47" t="str">
        <f>IMAGE("https://raw.githubusercontent.com/ltdimages/images/refs/heads/main/Treasure_GameEducation.png")</f>
        <v/>
      </c>
      <c r="C36" s="39" t="s">
        <v>2424</v>
      </c>
      <c r="D36" s="39" t="s">
        <v>2316</v>
      </c>
      <c r="E36" s="39" t="s">
        <v>2415</v>
      </c>
      <c r="F36" s="48">
        <v>0.0</v>
      </c>
      <c r="G36" s="48">
        <v>38.0</v>
      </c>
      <c r="H36" s="39" t="s">
        <v>45</v>
      </c>
      <c r="I36" s="39" t="s">
        <v>48</v>
      </c>
      <c r="J36" s="39" t="s">
        <v>49</v>
      </c>
      <c r="K36" s="39" t="s">
        <v>49</v>
      </c>
      <c r="L36" s="39" t="s">
        <v>49</v>
      </c>
      <c r="M36" s="39" t="s">
        <v>49</v>
      </c>
      <c r="N36" s="39" t="s">
        <v>49</v>
      </c>
      <c r="O36" s="44" t="s">
        <v>2425</v>
      </c>
      <c r="P36" s="39" t="s">
        <v>2426</v>
      </c>
    </row>
    <row r="37" ht="45.0" customHeight="1">
      <c r="A37" s="37" t="s">
        <v>215</v>
      </c>
      <c r="B37" s="47" t="str">
        <f>IMAGE("https://raw.githubusercontent.com/ltdimages/images/refs/heads/main/Treasure_GameAction.png")</f>
        <v/>
      </c>
      <c r="C37" s="39" t="s">
        <v>2427</v>
      </c>
      <c r="D37" s="39" t="s">
        <v>2316</v>
      </c>
      <c r="E37" s="39" t="s">
        <v>2415</v>
      </c>
      <c r="F37" s="48">
        <v>0.0</v>
      </c>
      <c r="G37" s="48">
        <v>61.0</v>
      </c>
      <c r="H37" s="39" t="s">
        <v>45</v>
      </c>
      <c r="I37" s="39" t="s">
        <v>48</v>
      </c>
      <c r="J37" s="39" t="s">
        <v>49</v>
      </c>
      <c r="K37" s="39" t="s">
        <v>49</v>
      </c>
      <c r="L37" s="39" t="s">
        <v>49</v>
      </c>
      <c r="M37" s="39" t="s">
        <v>49</v>
      </c>
      <c r="N37" s="39" t="s">
        <v>49</v>
      </c>
      <c r="O37" s="44" t="s">
        <v>2428</v>
      </c>
      <c r="P37" s="39" t="s">
        <v>2429</v>
      </c>
    </row>
    <row r="38" ht="45.0" customHeight="1">
      <c r="A38" s="37" t="s">
        <v>220</v>
      </c>
      <c r="B38" s="47" t="str">
        <f>IMAGE("https://raw.githubusercontent.com/ltdimages/images/refs/heads/main/Treasure_GameHorror.png")</f>
        <v/>
      </c>
      <c r="C38" s="39" t="s">
        <v>2430</v>
      </c>
      <c r="D38" s="39" t="s">
        <v>2316</v>
      </c>
      <c r="E38" s="39" t="s">
        <v>2415</v>
      </c>
      <c r="F38" s="48">
        <v>0.0</v>
      </c>
      <c r="G38" s="48">
        <v>62.0</v>
      </c>
      <c r="H38" s="39" t="s">
        <v>45</v>
      </c>
      <c r="I38" s="39" t="s">
        <v>48</v>
      </c>
      <c r="J38" s="39" t="s">
        <v>49</v>
      </c>
      <c r="K38" s="39" t="s">
        <v>49</v>
      </c>
      <c r="L38" s="39" t="s">
        <v>49</v>
      </c>
      <c r="M38" s="39" t="s">
        <v>49</v>
      </c>
      <c r="N38" s="39" t="s">
        <v>49</v>
      </c>
      <c r="O38" s="44" t="s">
        <v>2431</v>
      </c>
      <c r="P38" s="39" t="s">
        <v>2432</v>
      </c>
    </row>
    <row r="39" ht="45.0" customHeight="1">
      <c r="A39" s="37" t="s">
        <v>224</v>
      </c>
      <c r="B39" s="47" t="str">
        <f>IMAGE("https://raw.githubusercontent.com/ltdimages/images/refs/heads/main/Treasure_GamePuzzle.png")</f>
        <v/>
      </c>
      <c r="C39" s="39" t="s">
        <v>2433</v>
      </c>
      <c r="D39" s="39" t="s">
        <v>2316</v>
      </c>
      <c r="E39" s="39" t="s">
        <v>2415</v>
      </c>
      <c r="F39" s="48">
        <v>0.0</v>
      </c>
      <c r="G39" s="48">
        <v>38.0</v>
      </c>
      <c r="H39" s="39" t="s">
        <v>45</v>
      </c>
      <c r="I39" s="39" t="s">
        <v>48</v>
      </c>
      <c r="J39" s="39" t="s">
        <v>49</v>
      </c>
      <c r="K39" s="39" t="s">
        <v>49</v>
      </c>
      <c r="L39" s="39" t="s">
        <v>49</v>
      </c>
      <c r="M39" s="39" t="s">
        <v>49</v>
      </c>
      <c r="N39" s="39" t="s">
        <v>49</v>
      </c>
      <c r="O39" s="44" t="s">
        <v>2434</v>
      </c>
      <c r="P39" s="39" t="s">
        <v>2435</v>
      </c>
    </row>
    <row r="40" ht="45.0" customHeight="1">
      <c r="A40" s="37" t="s">
        <v>229</v>
      </c>
      <c r="B40" s="47" t="str">
        <f>IMAGE("https://raw.githubusercontent.com/ltdimages/images/refs/heads/main/Treasure_GameRacing.png")</f>
        <v/>
      </c>
      <c r="C40" s="39" t="s">
        <v>2436</v>
      </c>
      <c r="D40" s="39" t="s">
        <v>2316</v>
      </c>
      <c r="E40" s="39" t="s">
        <v>2415</v>
      </c>
      <c r="F40" s="48">
        <v>0.0</v>
      </c>
      <c r="G40" s="48">
        <v>55.0</v>
      </c>
      <c r="H40" s="39" t="s">
        <v>45</v>
      </c>
      <c r="I40" s="39" t="s">
        <v>48</v>
      </c>
      <c r="J40" s="39" t="s">
        <v>49</v>
      </c>
      <c r="K40" s="39" t="s">
        <v>49</v>
      </c>
      <c r="L40" s="39" t="s">
        <v>49</v>
      </c>
      <c r="M40" s="39" t="s">
        <v>49</v>
      </c>
      <c r="N40" s="39" t="s">
        <v>49</v>
      </c>
      <c r="O40" s="44" t="s">
        <v>2437</v>
      </c>
      <c r="P40" s="39" t="s">
        <v>2438</v>
      </c>
    </row>
    <row r="41" ht="45.0" customHeight="1">
      <c r="A41" s="37" t="s">
        <v>233</v>
      </c>
      <c r="B41" s="47" t="str">
        <f>IMAGE("https://raw.githubusercontent.com/ltdimages/images/refs/heads/main/Treasure_GameRoleplaying.png")</f>
        <v/>
      </c>
      <c r="C41" s="39" t="s">
        <v>2439</v>
      </c>
      <c r="D41" s="39" t="s">
        <v>2316</v>
      </c>
      <c r="E41" s="39" t="s">
        <v>2415</v>
      </c>
      <c r="F41" s="48">
        <v>0.0</v>
      </c>
      <c r="G41" s="48">
        <v>68.0</v>
      </c>
      <c r="H41" s="39" t="s">
        <v>45</v>
      </c>
      <c r="I41" s="39" t="s">
        <v>48</v>
      </c>
      <c r="J41" s="39" t="s">
        <v>49</v>
      </c>
      <c r="K41" s="39" t="s">
        <v>49</v>
      </c>
      <c r="L41" s="39" t="s">
        <v>49</v>
      </c>
      <c r="M41" s="39" t="s">
        <v>49</v>
      </c>
      <c r="N41" s="39" t="s">
        <v>49</v>
      </c>
      <c r="O41" s="44" t="s">
        <v>2440</v>
      </c>
      <c r="P41" s="39" t="s">
        <v>2441</v>
      </c>
    </row>
    <row r="42" ht="45.0" customHeight="1">
      <c r="A42" s="37" t="s">
        <v>237</v>
      </c>
      <c r="B42" s="47" t="str">
        <f>IMAGE("https://raw.githubusercontent.com/ltdimages/images/refs/heads/main/Treasure_TomodachiCollection.png")</f>
        <v/>
      </c>
      <c r="C42" s="39" t="s">
        <v>2442</v>
      </c>
      <c r="D42" s="39" t="s">
        <v>2316</v>
      </c>
      <c r="E42" s="39" t="s">
        <v>2415</v>
      </c>
      <c r="F42" s="48">
        <v>0.0</v>
      </c>
      <c r="G42" s="48">
        <v>38.0</v>
      </c>
      <c r="H42" s="39" t="s">
        <v>45</v>
      </c>
      <c r="I42" s="39" t="s">
        <v>48</v>
      </c>
      <c r="J42" s="39" t="s">
        <v>49</v>
      </c>
      <c r="K42" s="39" t="s">
        <v>49</v>
      </c>
      <c r="L42" s="39" t="s">
        <v>49</v>
      </c>
      <c r="M42" s="39" t="s">
        <v>49</v>
      </c>
      <c r="N42" s="39" t="s">
        <v>49</v>
      </c>
      <c r="O42" s="44" t="s">
        <v>2443</v>
      </c>
      <c r="P42" s="39" t="s">
        <v>2444</v>
      </c>
    </row>
    <row r="43" ht="45.0" customHeight="1">
      <c r="A43" s="37" t="s">
        <v>241</v>
      </c>
      <c r="B43" s="47" t="str">
        <f>IMAGE("https://raw.githubusercontent.com/ltdimages/images/refs/heads/main/Treasure_Alpaca.png")</f>
        <v/>
      </c>
      <c r="C43" s="39" t="s">
        <v>2445</v>
      </c>
      <c r="D43" s="39" t="s">
        <v>2316</v>
      </c>
      <c r="E43" s="39" t="s">
        <v>2446</v>
      </c>
      <c r="F43" s="48">
        <v>0.0</v>
      </c>
      <c r="G43" s="48">
        <v>120.0</v>
      </c>
      <c r="H43" s="39" t="s">
        <v>45</v>
      </c>
      <c r="I43" s="39" t="s">
        <v>2350</v>
      </c>
      <c r="J43" s="39" t="s">
        <v>49</v>
      </c>
      <c r="K43" s="39" t="s">
        <v>49</v>
      </c>
      <c r="L43" s="39" t="s">
        <v>49</v>
      </c>
      <c r="M43" s="39" t="s">
        <v>49</v>
      </c>
      <c r="N43" s="39" t="s">
        <v>49</v>
      </c>
      <c r="O43" s="44" t="s">
        <v>2447</v>
      </c>
      <c r="P43" s="44" t="s">
        <v>2448</v>
      </c>
    </row>
    <row r="44" ht="45.0" customHeight="1">
      <c r="A44" s="37" t="s">
        <v>245</v>
      </c>
      <c r="B44" s="47" t="str">
        <f>IMAGE("https://raw.githubusercontent.com/ltdimages/images/refs/heads/main/Treasure_Alien_00.png")</f>
        <v/>
      </c>
      <c r="C44" s="39" t="s">
        <v>2449</v>
      </c>
      <c r="D44" s="39" t="s">
        <v>2316</v>
      </c>
      <c r="E44" s="39" t="s">
        <v>2446</v>
      </c>
      <c r="F44" s="48">
        <v>0.0</v>
      </c>
      <c r="G44" s="48">
        <v>77.7</v>
      </c>
      <c r="H44" s="39" t="s">
        <v>45</v>
      </c>
      <c r="I44" s="39" t="s">
        <v>2002</v>
      </c>
      <c r="J44" s="39" t="s">
        <v>49</v>
      </c>
      <c r="K44" s="39" t="s">
        <v>49</v>
      </c>
      <c r="L44" s="39" t="s">
        <v>49</v>
      </c>
      <c r="M44" s="39" t="s">
        <v>49</v>
      </c>
      <c r="N44" s="39" t="s">
        <v>49</v>
      </c>
      <c r="O44" s="44" t="s">
        <v>2450</v>
      </c>
      <c r="P44" s="39" t="s">
        <v>2451</v>
      </c>
    </row>
    <row r="45" ht="45.0" customHeight="1">
      <c r="A45" s="37" t="s">
        <v>249</v>
      </c>
      <c r="B45" s="47" t="str">
        <f>IMAGE("https://raw.githubusercontent.com/ltdimages/images/refs/heads/main/Treasure_Axolotl.png")</f>
        <v/>
      </c>
      <c r="C45" s="39" t="s">
        <v>2452</v>
      </c>
      <c r="D45" s="39" t="s">
        <v>2316</v>
      </c>
      <c r="E45" s="39" t="s">
        <v>2446</v>
      </c>
      <c r="F45" s="48">
        <v>0.0</v>
      </c>
      <c r="G45" s="48">
        <v>50.0</v>
      </c>
      <c r="H45" s="39" t="s">
        <v>45</v>
      </c>
      <c r="I45" s="39" t="s">
        <v>2327</v>
      </c>
      <c r="J45" s="39" t="s">
        <v>49</v>
      </c>
      <c r="K45" s="39" t="s">
        <v>49</v>
      </c>
      <c r="L45" s="39" t="s">
        <v>45</v>
      </c>
      <c r="M45" s="39" t="s">
        <v>49</v>
      </c>
      <c r="N45" s="39" t="s">
        <v>45</v>
      </c>
      <c r="O45" s="44" t="s">
        <v>2453</v>
      </c>
      <c r="P45" s="39" t="s">
        <v>2454</v>
      </c>
    </row>
    <row r="46" ht="45.0" customHeight="1">
      <c r="A46" s="37" t="s">
        <v>253</v>
      </c>
      <c r="B46" s="47" t="str">
        <f>IMAGE("https://raw.githubusercontent.com/ltdimages/images/refs/heads/main/Treasure_BeardedDragon.png")</f>
        <v/>
      </c>
      <c r="C46" s="39" t="s">
        <v>2455</v>
      </c>
      <c r="D46" s="39" t="s">
        <v>2316</v>
      </c>
      <c r="E46" s="39" t="s">
        <v>2446</v>
      </c>
      <c r="F46" s="48">
        <v>0.0</v>
      </c>
      <c r="G46" s="48">
        <v>60.0</v>
      </c>
      <c r="H46" s="39" t="s">
        <v>45</v>
      </c>
      <c r="I46" s="39" t="s">
        <v>2327</v>
      </c>
      <c r="J46" s="39" t="s">
        <v>49</v>
      </c>
      <c r="K46" s="39" t="s">
        <v>49</v>
      </c>
      <c r="L46" s="39" t="s">
        <v>49</v>
      </c>
      <c r="M46" s="39" t="s">
        <v>49</v>
      </c>
      <c r="N46" s="39" t="s">
        <v>49</v>
      </c>
      <c r="O46" s="39" t="s">
        <v>2456</v>
      </c>
      <c r="P46" s="39" t="s">
        <v>2457</v>
      </c>
    </row>
    <row r="47" ht="45.0" customHeight="1">
      <c r="A47" s="37" t="s">
        <v>257</v>
      </c>
      <c r="B47" s="47" t="str">
        <f>IMAGE("https://raw.githubusercontent.com/ltdimages/images/refs/heads/main/Treasure_Alien_01.png")</f>
        <v/>
      </c>
      <c r="C47" s="39" t="s">
        <v>2458</v>
      </c>
      <c r="D47" s="39" t="s">
        <v>2316</v>
      </c>
      <c r="E47" s="39" t="s">
        <v>2446</v>
      </c>
      <c r="F47" s="48">
        <v>0.0</v>
      </c>
      <c r="G47" s="48">
        <v>77.7</v>
      </c>
      <c r="H47" s="39" t="s">
        <v>45</v>
      </c>
      <c r="I47" s="39" t="s">
        <v>2002</v>
      </c>
      <c r="J47" s="39" t="s">
        <v>49</v>
      </c>
      <c r="K47" s="39" t="s">
        <v>49</v>
      </c>
      <c r="L47" s="39" t="s">
        <v>49</v>
      </c>
      <c r="M47" s="39" t="s">
        <v>49</v>
      </c>
      <c r="N47" s="39" t="s">
        <v>49</v>
      </c>
      <c r="O47" s="44" t="s">
        <v>2450</v>
      </c>
      <c r="P47" s="44" t="s">
        <v>2459</v>
      </c>
    </row>
    <row r="48" ht="45.0" customHeight="1">
      <c r="A48" s="37" t="s">
        <v>261</v>
      </c>
      <c r="B48" s="47" t="str">
        <f>IMAGE("https://raw.githubusercontent.com/ltdimages/images/refs/heads/main/Treasure_Butterfly.png")</f>
        <v/>
      </c>
      <c r="C48" s="39" t="s">
        <v>2460</v>
      </c>
      <c r="D48" s="39" t="s">
        <v>2316</v>
      </c>
      <c r="E48" s="39" t="s">
        <v>2446</v>
      </c>
      <c r="F48" s="48">
        <v>0.0</v>
      </c>
      <c r="G48" s="48">
        <v>30.0</v>
      </c>
      <c r="H48" s="39" t="s">
        <v>45</v>
      </c>
      <c r="I48" s="39" t="s">
        <v>2327</v>
      </c>
      <c r="J48" s="39" t="s">
        <v>49</v>
      </c>
      <c r="K48" s="39" t="s">
        <v>49</v>
      </c>
      <c r="L48" s="39" t="s">
        <v>49</v>
      </c>
      <c r="M48" s="39" t="s">
        <v>49</v>
      </c>
      <c r="N48" s="39" t="s">
        <v>49</v>
      </c>
      <c r="O48" s="44" t="s">
        <v>2461</v>
      </c>
      <c r="P48" s="39" t="s">
        <v>2462</v>
      </c>
    </row>
    <row r="49" ht="45.0" customHeight="1">
      <c r="A49" s="37" t="s">
        <v>265</v>
      </c>
      <c r="B49" s="47" t="str">
        <f>IMAGE("https://raw.githubusercontent.com/ltdimages/images/refs/heads/main/Treasure_Capybara.png")</f>
        <v/>
      </c>
      <c r="C49" s="39" t="s">
        <v>2463</v>
      </c>
      <c r="D49" s="39" t="s">
        <v>2316</v>
      </c>
      <c r="E49" s="39" t="s">
        <v>2446</v>
      </c>
      <c r="F49" s="48">
        <v>0.0</v>
      </c>
      <c r="G49" s="48">
        <v>120.0</v>
      </c>
      <c r="H49" s="39" t="s">
        <v>45</v>
      </c>
      <c r="I49" s="39" t="s">
        <v>48</v>
      </c>
      <c r="J49" s="39" t="s">
        <v>49</v>
      </c>
      <c r="K49" s="39" t="s">
        <v>49</v>
      </c>
      <c r="L49" s="39" t="s">
        <v>49</v>
      </c>
      <c r="M49" s="39" t="s">
        <v>49</v>
      </c>
      <c r="N49" s="39" t="s">
        <v>49</v>
      </c>
      <c r="O49" s="44" t="s">
        <v>2464</v>
      </c>
      <c r="P49" s="39" t="s">
        <v>2465</v>
      </c>
    </row>
    <row r="50" ht="45.0" customHeight="1">
      <c r="A50" s="37" t="s">
        <v>269</v>
      </c>
      <c r="B50" s="47" t="str">
        <f>IMAGE("https://raw.githubusercontent.com/ltdimages/images/refs/heads/main/Treasure_Cat.png")</f>
        <v/>
      </c>
      <c r="C50" s="39" t="s">
        <v>2466</v>
      </c>
      <c r="D50" s="39" t="s">
        <v>2316</v>
      </c>
      <c r="E50" s="39" t="s">
        <v>2446</v>
      </c>
      <c r="F50" s="48">
        <v>0.0</v>
      </c>
      <c r="G50" s="48">
        <v>100.0</v>
      </c>
      <c r="H50" s="39" t="s">
        <v>45</v>
      </c>
      <c r="I50" s="39" t="s">
        <v>48</v>
      </c>
      <c r="J50" s="39" t="s">
        <v>49</v>
      </c>
      <c r="K50" s="39" t="s">
        <v>49</v>
      </c>
      <c r="L50" s="39" t="s">
        <v>49</v>
      </c>
      <c r="M50" s="39" t="s">
        <v>49</v>
      </c>
      <c r="N50" s="39" t="s">
        <v>49</v>
      </c>
      <c r="O50" s="44" t="s">
        <v>2467</v>
      </c>
      <c r="P50" s="39" t="s">
        <v>2468</v>
      </c>
    </row>
    <row r="51" ht="45.0" customHeight="1">
      <c r="A51" s="37" t="s">
        <v>273</v>
      </c>
      <c r="B51" s="47" t="str">
        <f>IMAGE("https://raw.githubusercontent.com/ltdimages/images/refs/heads/main/Treasure_Chick.png")</f>
        <v/>
      </c>
      <c r="C51" s="39" t="s">
        <v>2469</v>
      </c>
      <c r="D51" s="39" t="s">
        <v>2316</v>
      </c>
      <c r="E51" s="39" t="s">
        <v>2446</v>
      </c>
      <c r="F51" s="48">
        <v>0.0</v>
      </c>
      <c r="G51" s="48">
        <v>15.0</v>
      </c>
      <c r="H51" s="39" t="s">
        <v>45</v>
      </c>
      <c r="I51" s="39" t="s">
        <v>2327</v>
      </c>
      <c r="J51" s="39" t="s">
        <v>49</v>
      </c>
      <c r="K51" s="39" t="s">
        <v>49</v>
      </c>
      <c r="L51" s="39" t="s">
        <v>49</v>
      </c>
      <c r="M51" s="39" t="s">
        <v>49</v>
      </c>
      <c r="N51" s="39" t="s">
        <v>49</v>
      </c>
      <c r="O51" s="44" t="s">
        <v>2470</v>
      </c>
      <c r="P51" s="39" t="s">
        <v>2471</v>
      </c>
    </row>
    <row r="52" ht="45.0" customHeight="1">
      <c r="A52" s="37" t="s">
        <v>277</v>
      </c>
      <c r="B52" s="47" t="str">
        <f>IMAGE("https://raw.githubusercontent.com/ltdimages/images/refs/heads/main/Treasure_Chipmunk.png")</f>
        <v/>
      </c>
      <c r="C52" s="39" t="s">
        <v>2472</v>
      </c>
      <c r="D52" s="39" t="s">
        <v>2316</v>
      </c>
      <c r="E52" s="39" t="s">
        <v>2446</v>
      </c>
      <c r="F52" s="48">
        <v>0.0</v>
      </c>
      <c r="G52" s="48">
        <v>70.0</v>
      </c>
      <c r="H52" s="39" t="s">
        <v>45</v>
      </c>
      <c r="I52" s="39" t="s">
        <v>2327</v>
      </c>
      <c r="J52" s="39" t="s">
        <v>49</v>
      </c>
      <c r="K52" s="39" t="s">
        <v>49</v>
      </c>
      <c r="L52" s="39" t="s">
        <v>49</v>
      </c>
      <c r="M52" s="39" t="s">
        <v>49</v>
      </c>
      <c r="N52" s="39" t="s">
        <v>49</v>
      </c>
      <c r="O52" s="44" t="s">
        <v>2473</v>
      </c>
      <c r="P52" s="39" t="s">
        <v>2474</v>
      </c>
    </row>
    <row r="53" ht="45.0" customHeight="1">
      <c r="A53" s="37" t="s">
        <v>281</v>
      </c>
      <c r="B53" s="47" t="str">
        <f>IMAGE("https://raw.githubusercontent.com/ltdimages/images/refs/heads/main/Treasure_Clione.png")</f>
        <v/>
      </c>
      <c r="C53" s="39" t="s">
        <v>2475</v>
      </c>
      <c r="D53" s="39" t="s">
        <v>2316</v>
      </c>
      <c r="E53" s="39" t="s">
        <v>2446</v>
      </c>
      <c r="F53" s="48">
        <v>0.0</v>
      </c>
      <c r="G53" s="48">
        <v>5.0</v>
      </c>
      <c r="H53" s="39" t="s">
        <v>45</v>
      </c>
      <c r="I53" s="39" t="s">
        <v>2327</v>
      </c>
      <c r="J53" s="39" t="s">
        <v>49</v>
      </c>
      <c r="K53" s="39" t="s">
        <v>49</v>
      </c>
      <c r="L53" s="39" t="s">
        <v>45</v>
      </c>
      <c r="M53" s="39" t="s">
        <v>49</v>
      </c>
      <c r="N53" s="39" t="s">
        <v>45</v>
      </c>
      <c r="O53" s="44" t="s">
        <v>2476</v>
      </c>
      <c r="P53" s="39" t="s">
        <v>2477</v>
      </c>
    </row>
    <row r="54" ht="45.0" customHeight="1">
      <c r="A54" s="37" t="s">
        <v>285</v>
      </c>
      <c r="B54" s="47" t="str">
        <f>IMAGE("https://raw.githubusercontent.com/ltdimages/images/refs/heads/main/Treasure_Clownfish.png")</f>
        <v/>
      </c>
      <c r="C54" s="39" t="s">
        <v>2478</v>
      </c>
      <c r="D54" s="39" t="s">
        <v>2316</v>
      </c>
      <c r="E54" s="39" t="s">
        <v>2446</v>
      </c>
      <c r="F54" s="48">
        <v>0.0</v>
      </c>
      <c r="G54" s="48">
        <v>15.0</v>
      </c>
      <c r="H54" s="39" t="s">
        <v>45</v>
      </c>
      <c r="I54" s="39" t="s">
        <v>2327</v>
      </c>
      <c r="J54" s="39" t="s">
        <v>49</v>
      </c>
      <c r="K54" s="39" t="s">
        <v>49</v>
      </c>
      <c r="L54" s="39" t="s">
        <v>49</v>
      </c>
      <c r="M54" s="39" t="s">
        <v>49</v>
      </c>
      <c r="N54" s="39" t="s">
        <v>49</v>
      </c>
      <c r="O54" s="39" t="s">
        <v>2479</v>
      </c>
      <c r="P54" s="39" t="s">
        <v>2480</v>
      </c>
    </row>
    <row r="55" ht="45.0" customHeight="1">
      <c r="A55" s="37" t="s">
        <v>289</v>
      </c>
      <c r="B55" s="47" t="str">
        <f>IMAGE("https://raw.githubusercontent.com/ltdimages/images/refs/heads/main/Treasure_Parrot.png")</f>
        <v/>
      </c>
      <c r="C55" s="39" t="s">
        <v>2481</v>
      </c>
      <c r="D55" s="39" t="s">
        <v>2316</v>
      </c>
      <c r="E55" s="39" t="s">
        <v>2446</v>
      </c>
      <c r="F55" s="48">
        <v>0.0</v>
      </c>
      <c r="G55" s="48">
        <v>80.0</v>
      </c>
      <c r="H55" s="39" t="s">
        <v>45</v>
      </c>
      <c r="I55" s="39" t="s">
        <v>48</v>
      </c>
      <c r="J55" s="39" t="s">
        <v>49</v>
      </c>
      <c r="K55" s="39" t="s">
        <v>49</v>
      </c>
      <c r="L55" s="39" t="s">
        <v>49</v>
      </c>
      <c r="M55" s="39" t="s">
        <v>49</v>
      </c>
      <c r="N55" s="39" t="s">
        <v>49</v>
      </c>
      <c r="O55" s="44" t="s">
        <v>2482</v>
      </c>
      <c r="P55" s="39" t="s">
        <v>2483</v>
      </c>
    </row>
    <row r="56" ht="45.0" customHeight="1">
      <c r="A56" s="37" t="s">
        <v>293</v>
      </c>
      <c r="B56" s="47" t="str">
        <f>IMAGE("https://raw.githubusercontent.com/ltdimages/images/refs/heads/main/Treasure_Egg.png")</f>
        <v/>
      </c>
      <c r="C56" s="39" t="s">
        <v>2484</v>
      </c>
      <c r="D56" s="39" t="s">
        <v>2316</v>
      </c>
      <c r="E56" s="39" t="s">
        <v>2446</v>
      </c>
      <c r="F56" s="48">
        <v>0.0</v>
      </c>
      <c r="G56" s="48">
        <v>2.0</v>
      </c>
      <c r="H56" s="39" t="s">
        <v>45</v>
      </c>
      <c r="I56" s="39" t="s">
        <v>48</v>
      </c>
      <c r="J56" s="39" t="s">
        <v>49</v>
      </c>
      <c r="K56" s="39" t="s">
        <v>49</v>
      </c>
      <c r="L56" s="39" t="s">
        <v>49</v>
      </c>
      <c r="M56" s="39" t="s">
        <v>49</v>
      </c>
      <c r="N56" s="39" t="s">
        <v>49</v>
      </c>
      <c r="O56" s="44" t="s">
        <v>2485</v>
      </c>
      <c r="P56" s="39" t="s">
        <v>204</v>
      </c>
    </row>
    <row r="57" ht="45.0" customHeight="1">
      <c r="A57" s="37" t="s">
        <v>297</v>
      </c>
      <c r="B57" s="47" t="str">
        <f>IMAGE("https://raw.githubusercontent.com/ltdimages/images/refs/heads/main/Treasure_Dog.png")</f>
        <v/>
      </c>
      <c r="C57" s="39" t="s">
        <v>2486</v>
      </c>
      <c r="D57" s="39" t="s">
        <v>2316</v>
      </c>
      <c r="E57" s="39" t="s">
        <v>2446</v>
      </c>
      <c r="F57" s="48">
        <v>0.0</v>
      </c>
      <c r="G57" s="48">
        <v>100.0</v>
      </c>
      <c r="H57" s="39" t="s">
        <v>45</v>
      </c>
      <c r="I57" s="39" t="s">
        <v>48</v>
      </c>
      <c r="J57" s="39" t="s">
        <v>49</v>
      </c>
      <c r="K57" s="39" t="s">
        <v>49</v>
      </c>
      <c r="L57" s="39" t="s">
        <v>49</v>
      </c>
      <c r="M57" s="39" t="s">
        <v>49</v>
      </c>
      <c r="N57" s="39" t="s">
        <v>49</v>
      </c>
      <c r="O57" s="44" t="s">
        <v>2487</v>
      </c>
      <c r="P57" s="39" t="s">
        <v>2488</v>
      </c>
    </row>
    <row r="58" ht="45.0" customHeight="1">
      <c r="A58" s="37" t="s">
        <v>301</v>
      </c>
      <c r="B58" s="47" t="str">
        <f>IMAGE("https://raw.githubusercontent.com/ltdimages/images/refs/heads/main/Treasure_Quoll.png")</f>
        <v/>
      </c>
      <c r="C58" s="39" t="s">
        <v>2489</v>
      </c>
      <c r="D58" s="39" t="s">
        <v>2316</v>
      </c>
      <c r="E58" s="39" t="s">
        <v>2446</v>
      </c>
      <c r="F58" s="48">
        <v>0.0</v>
      </c>
      <c r="G58" s="48">
        <v>70.0</v>
      </c>
      <c r="H58" s="39" t="s">
        <v>45</v>
      </c>
      <c r="I58" s="39" t="s">
        <v>48</v>
      </c>
      <c r="J58" s="39" t="s">
        <v>45</v>
      </c>
      <c r="K58" s="39" t="s">
        <v>45</v>
      </c>
      <c r="L58" s="39" t="s">
        <v>49</v>
      </c>
      <c r="M58" s="39" t="s">
        <v>45</v>
      </c>
      <c r="N58" s="39" t="s">
        <v>45</v>
      </c>
      <c r="O58" s="44" t="s">
        <v>2490</v>
      </c>
      <c r="P58" s="39" t="s">
        <v>2491</v>
      </c>
    </row>
    <row r="59" ht="45.0" customHeight="1">
      <c r="A59" s="37" t="s">
        <v>305</v>
      </c>
      <c r="B59" s="47" t="str">
        <f>IMAGE("https://raw.githubusercontent.com/ltdimages/images/refs/heads/main/Treasure_Flamingo.png")</f>
        <v/>
      </c>
      <c r="C59" s="39" t="s">
        <v>2492</v>
      </c>
      <c r="D59" s="39" t="s">
        <v>2316</v>
      </c>
      <c r="E59" s="39" t="s">
        <v>2446</v>
      </c>
      <c r="F59" s="48">
        <v>0.0</v>
      </c>
      <c r="G59" s="48">
        <v>150.0</v>
      </c>
      <c r="H59" s="39" t="s">
        <v>45</v>
      </c>
      <c r="I59" s="39" t="s">
        <v>2350</v>
      </c>
      <c r="J59" s="39" t="s">
        <v>49</v>
      </c>
      <c r="K59" s="39" t="s">
        <v>49</v>
      </c>
      <c r="L59" s="39" t="s">
        <v>49</v>
      </c>
      <c r="M59" s="39" t="s">
        <v>49</v>
      </c>
      <c r="N59" s="39" t="s">
        <v>49</v>
      </c>
      <c r="O59" s="44" t="s">
        <v>2493</v>
      </c>
      <c r="P59" s="39" t="s">
        <v>2494</v>
      </c>
    </row>
    <row r="60" ht="45.0" customHeight="1">
      <c r="A60" s="37" t="s">
        <v>309</v>
      </c>
      <c r="B60" s="47" t="str">
        <f>IMAGE("https://raw.githubusercontent.com/ltdimages/images/refs/heads/main/Treasure_Frog.png")</f>
        <v/>
      </c>
      <c r="C60" s="39" t="s">
        <v>2495</v>
      </c>
      <c r="D60" s="39" t="s">
        <v>2316</v>
      </c>
      <c r="E60" s="39" t="s">
        <v>2446</v>
      </c>
      <c r="F60" s="48">
        <v>0.0</v>
      </c>
      <c r="G60" s="48">
        <v>3.0</v>
      </c>
      <c r="H60" s="39" t="s">
        <v>45</v>
      </c>
      <c r="I60" s="39" t="s">
        <v>2327</v>
      </c>
      <c r="J60" s="39" t="s">
        <v>49</v>
      </c>
      <c r="K60" s="39" t="s">
        <v>49</v>
      </c>
      <c r="L60" s="39" t="s">
        <v>49</v>
      </c>
      <c r="M60" s="39" t="s">
        <v>49</v>
      </c>
      <c r="N60" s="39" t="s">
        <v>49</v>
      </c>
      <c r="O60" s="44" t="s">
        <v>2496</v>
      </c>
      <c r="P60" s="39" t="s">
        <v>2497</v>
      </c>
    </row>
    <row r="61" ht="45.0" customHeight="1">
      <c r="A61" s="37" t="s">
        <v>313</v>
      </c>
      <c r="B61" s="47" t="str">
        <f>IMAGE("https://raw.githubusercontent.com/ltdimages/images/refs/heads/main/Treasure_Alien_02.png")</f>
        <v/>
      </c>
      <c r="C61" s="39" t="s">
        <v>2498</v>
      </c>
      <c r="D61" s="39" t="s">
        <v>2316</v>
      </c>
      <c r="E61" s="39" t="s">
        <v>2446</v>
      </c>
      <c r="F61" s="48">
        <v>0.0</v>
      </c>
      <c r="G61" s="48">
        <v>77.7</v>
      </c>
      <c r="H61" s="39" t="s">
        <v>45</v>
      </c>
      <c r="I61" s="39" t="s">
        <v>2002</v>
      </c>
      <c r="J61" s="39" t="s">
        <v>49</v>
      </c>
      <c r="K61" s="39" t="s">
        <v>49</v>
      </c>
      <c r="L61" s="39" t="s">
        <v>49</v>
      </c>
      <c r="M61" s="39" t="s">
        <v>49</v>
      </c>
      <c r="N61" s="39" t="s">
        <v>49</v>
      </c>
      <c r="O61" s="44" t="s">
        <v>2450</v>
      </c>
      <c r="P61" s="39" t="s">
        <v>2499</v>
      </c>
    </row>
    <row r="62" ht="45.0" customHeight="1">
      <c r="A62" s="37" t="s">
        <v>317</v>
      </c>
      <c r="B62" s="47" t="str">
        <f>IMAGE("https://raw.githubusercontent.com/ltdimages/images/refs/heads/main/Treasure_Ghost.png")</f>
        <v/>
      </c>
      <c r="C62" s="39" t="s">
        <v>2500</v>
      </c>
      <c r="D62" s="39" t="s">
        <v>2316</v>
      </c>
      <c r="E62" s="39" t="s">
        <v>2446</v>
      </c>
      <c r="F62" s="48">
        <v>0.0</v>
      </c>
      <c r="G62" s="48">
        <v>250.0</v>
      </c>
      <c r="H62" s="39" t="s">
        <v>45</v>
      </c>
      <c r="I62" s="39" t="s">
        <v>48</v>
      </c>
      <c r="J62" s="39" t="s">
        <v>49</v>
      </c>
      <c r="K62" s="39" t="s">
        <v>49</v>
      </c>
      <c r="L62" s="39" t="s">
        <v>49</v>
      </c>
      <c r="M62" s="39" t="s">
        <v>49</v>
      </c>
      <c r="N62" s="39" t="s">
        <v>49</v>
      </c>
      <c r="O62" s="44" t="s">
        <v>2501</v>
      </c>
      <c r="P62" s="39" t="s">
        <v>2502</v>
      </c>
    </row>
    <row r="63" ht="45.0" customHeight="1">
      <c r="A63" s="37" t="s">
        <v>321</v>
      </c>
      <c r="B63" s="47" t="str">
        <f>IMAGE("https://raw.githubusercontent.com/ltdimages/images/refs/heads/main/Treasure_Goldfish.png")</f>
        <v/>
      </c>
      <c r="C63" s="39" t="s">
        <v>2503</v>
      </c>
      <c r="D63" s="39" t="s">
        <v>2316</v>
      </c>
      <c r="E63" s="39" t="s">
        <v>2446</v>
      </c>
      <c r="F63" s="48">
        <v>0.0</v>
      </c>
      <c r="G63" s="48">
        <v>10.0</v>
      </c>
      <c r="H63" s="39" t="s">
        <v>45</v>
      </c>
      <c r="I63" s="39" t="s">
        <v>2327</v>
      </c>
      <c r="J63" s="39" t="s">
        <v>49</v>
      </c>
      <c r="K63" s="39" t="s">
        <v>49</v>
      </c>
      <c r="L63" s="39" t="s">
        <v>49</v>
      </c>
      <c r="M63" s="39" t="s">
        <v>49</v>
      </c>
      <c r="N63" s="39" t="s">
        <v>49</v>
      </c>
      <c r="O63" s="44" t="s">
        <v>2504</v>
      </c>
      <c r="P63" s="39" t="s">
        <v>2505</v>
      </c>
    </row>
    <row r="64" ht="45.0" customHeight="1">
      <c r="A64" s="37" t="s">
        <v>325</v>
      </c>
      <c r="B64" s="47" t="str">
        <f>IMAGE("https://raw.githubusercontent.com/ltdimages/images/refs/heads/main/Treasure_Hamster.png")</f>
        <v/>
      </c>
      <c r="C64" s="39" t="s">
        <v>2506</v>
      </c>
      <c r="D64" s="39" t="s">
        <v>2316</v>
      </c>
      <c r="E64" s="39" t="s">
        <v>2446</v>
      </c>
      <c r="F64" s="48">
        <v>0.0</v>
      </c>
      <c r="G64" s="48">
        <v>10.0</v>
      </c>
      <c r="H64" s="39" t="s">
        <v>45</v>
      </c>
      <c r="I64" s="39" t="s">
        <v>2327</v>
      </c>
      <c r="J64" s="39" t="s">
        <v>49</v>
      </c>
      <c r="K64" s="39" t="s">
        <v>49</v>
      </c>
      <c r="L64" s="39" t="s">
        <v>49</v>
      </c>
      <c r="M64" s="39" t="s">
        <v>49</v>
      </c>
      <c r="N64" s="39" t="s">
        <v>49</v>
      </c>
      <c r="O64" s="44" t="s">
        <v>2507</v>
      </c>
      <c r="P64" s="39" t="s">
        <v>2508</v>
      </c>
    </row>
    <row r="65" ht="45.0" customHeight="1">
      <c r="A65" s="37" t="s">
        <v>329</v>
      </c>
      <c r="B65" s="47" t="str">
        <f>IMAGE("https://raw.githubusercontent.com/ltdimages/images/refs/heads/main/Treasure_Hedgehog.png")</f>
        <v/>
      </c>
      <c r="C65" s="39" t="s">
        <v>2509</v>
      </c>
      <c r="D65" s="39" t="s">
        <v>2316</v>
      </c>
      <c r="E65" s="39" t="s">
        <v>2446</v>
      </c>
      <c r="F65" s="48">
        <v>0.0</v>
      </c>
      <c r="G65" s="48">
        <v>20.0</v>
      </c>
      <c r="H65" s="39" t="s">
        <v>45</v>
      </c>
      <c r="I65" s="39" t="s">
        <v>2327</v>
      </c>
      <c r="J65" s="39" t="s">
        <v>49</v>
      </c>
      <c r="K65" s="39" t="s">
        <v>49</v>
      </c>
      <c r="L65" s="39" t="s">
        <v>49</v>
      </c>
      <c r="M65" s="39" t="s">
        <v>49</v>
      </c>
      <c r="N65" s="39" t="s">
        <v>49</v>
      </c>
      <c r="O65" s="44" t="s">
        <v>2510</v>
      </c>
      <c r="P65" s="39" t="s">
        <v>2511</v>
      </c>
    </row>
    <row r="66" ht="45.0" customHeight="1">
      <c r="A66" s="37" t="s">
        <v>333</v>
      </c>
      <c r="B66" s="47" t="str">
        <f>IMAGE("https://raw.githubusercontent.com/ltdimages/images/refs/heads/main/Treasure_Beetle.png")</f>
        <v/>
      </c>
      <c r="C66" s="39" t="s">
        <v>2512</v>
      </c>
      <c r="D66" s="39" t="s">
        <v>2316</v>
      </c>
      <c r="E66" s="39" t="s">
        <v>2446</v>
      </c>
      <c r="F66" s="48">
        <v>0.0</v>
      </c>
      <c r="G66" s="48">
        <v>100.0</v>
      </c>
      <c r="H66" s="39" t="s">
        <v>45</v>
      </c>
      <c r="I66" s="39" t="s">
        <v>2327</v>
      </c>
      <c r="J66" s="39" t="s">
        <v>49</v>
      </c>
      <c r="K66" s="39" t="s">
        <v>49</v>
      </c>
      <c r="L66" s="39" t="s">
        <v>49</v>
      </c>
      <c r="M66" s="39" t="s">
        <v>49</v>
      </c>
      <c r="N66" s="39" t="s">
        <v>49</v>
      </c>
      <c r="O66" s="44" t="s">
        <v>2513</v>
      </c>
      <c r="P66" s="39" t="s">
        <v>2514</v>
      </c>
    </row>
    <row r="67" ht="45.0" customHeight="1">
      <c r="A67" s="37" t="s">
        <v>337</v>
      </c>
      <c r="B67" s="47" t="str">
        <f>IMAGE("https://raw.githubusercontent.com/ltdimages/images/refs/heads/main/Treasure_Horse.png")</f>
        <v/>
      </c>
      <c r="C67" s="39" t="s">
        <v>2515</v>
      </c>
      <c r="D67" s="39" t="s">
        <v>2316</v>
      </c>
      <c r="E67" s="39" t="s">
        <v>2446</v>
      </c>
      <c r="F67" s="48">
        <v>0.0</v>
      </c>
      <c r="G67" s="48">
        <v>200.0</v>
      </c>
      <c r="H67" s="39" t="s">
        <v>45</v>
      </c>
      <c r="I67" s="39" t="s">
        <v>2350</v>
      </c>
      <c r="J67" s="39" t="s">
        <v>49</v>
      </c>
      <c r="K67" s="39" t="s">
        <v>49</v>
      </c>
      <c r="L67" s="39" t="s">
        <v>49</v>
      </c>
      <c r="M67" s="39" t="s">
        <v>49</v>
      </c>
      <c r="N67" s="39" t="s">
        <v>49</v>
      </c>
      <c r="O67" s="44" t="s">
        <v>2516</v>
      </c>
      <c r="P67" s="39" t="s">
        <v>2517</v>
      </c>
    </row>
    <row r="68" ht="45.0" customHeight="1">
      <c r="A68" s="37" t="s">
        <v>341</v>
      </c>
      <c r="B68" s="47" t="str">
        <f>IMAGE("https://raw.githubusercontent.com/ltdimages/images/refs/heads/main/Treasure_Jellyfish.png")</f>
        <v/>
      </c>
      <c r="C68" s="39" t="s">
        <v>2518</v>
      </c>
      <c r="D68" s="39" t="s">
        <v>2316</v>
      </c>
      <c r="E68" s="39" t="s">
        <v>2446</v>
      </c>
      <c r="F68" s="48">
        <v>0.0</v>
      </c>
      <c r="G68" s="48">
        <v>3.0</v>
      </c>
      <c r="H68" s="39" t="s">
        <v>45</v>
      </c>
      <c r="I68" s="39" t="s">
        <v>2327</v>
      </c>
      <c r="J68" s="39" t="s">
        <v>49</v>
      </c>
      <c r="K68" s="39" t="s">
        <v>49</v>
      </c>
      <c r="L68" s="39" t="s">
        <v>49</v>
      </c>
      <c r="M68" s="39" t="s">
        <v>49</v>
      </c>
      <c r="N68" s="39" t="s">
        <v>49</v>
      </c>
      <c r="O68" s="44" t="s">
        <v>2519</v>
      </c>
      <c r="P68" s="39" t="s">
        <v>2520</v>
      </c>
    </row>
    <row r="69" ht="45.0" customHeight="1">
      <c r="A69" s="37" t="s">
        <v>345</v>
      </c>
      <c r="B69" s="47" t="str">
        <f>IMAGE("https://raw.githubusercontent.com/ltdimages/images/refs/heads/main/Treasure_Kangaroo.png")</f>
        <v/>
      </c>
      <c r="C69" s="39" t="s">
        <v>2521</v>
      </c>
      <c r="D69" s="39" t="s">
        <v>2316</v>
      </c>
      <c r="E69" s="39" t="s">
        <v>2446</v>
      </c>
      <c r="F69" s="48">
        <v>0.0</v>
      </c>
      <c r="G69" s="48">
        <v>150.0</v>
      </c>
      <c r="H69" s="39" t="s">
        <v>45</v>
      </c>
      <c r="I69" s="39" t="s">
        <v>2350</v>
      </c>
      <c r="J69" s="39" t="s">
        <v>49</v>
      </c>
      <c r="K69" s="39" t="s">
        <v>49</v>
      </c>
      <c r="L69" s="39" t="s">
        <v>49</v>
      </c>
      <c r="M69" s="39" t="s">
        <v>49</v>
      </c>
      <c r="N69" s="39" t="s">
        <v>49</v>
      </c>
      <c r="O69" s="44" t="s">
        <v>2522</v>
      </c>
      <c r="P69" s="39" t="s">
        <v>2523</v>
      </c>
    </row>
    <row r="70" ht="45.0" customHeight="1">
      <c r="A70" s="37" t="s">
        <v>349</v>
      </c>
      <c r="B70" s="47" t="str">
        <f>IMAGE("https://raw.githubusercontent.com/ltdimages/images/refs/heads/main/Treasure_KeseranPasaran.png")</f>
        <v/>
      </c>
      <c r="C70" s="39" t="s">
        <v>2524</v>
      </c>
      <c r="D70" s="39" t="s">
        <v>2316</v>
      </c>
      <c r="E70" s="39" t="s">
        <v>2446</v>
      </c>
      <c r="F70" s="48">
        <v>0.0</v>
      </c>
      <c r="G70" s="48">
        <v>250.0</v>
      </c>
      <c r="H70" s="39" t="s">
        <v>45</v>
      </c>
      <c r="I70" s="39" t="s">
        <v>2327</v>
      </c>
      <c r="J70" s="39" t="s">
        <v>45</v>
      </c>
      <c r="K70" s="39" t="s">
        <v>45</v>
      </c>
      <c r="L70" s="39" t="s">
        <v>45</v>
      </c>
      <c r="M70" s="39" t="s">
        <v>49</v>
      </c>
      <c r="N70" s="39" t="s">
        <v>45</v>
      </c>
      <c r="O70" s="44" t="s">
        <v>2525</v>
      </c>
      <c r="P70" s="39" t="s">
        <v>2526</v>
      </c>
    </row>
    <row r="71" ht="45.0" customHeight="1">
      <c r="A71" s="37" t="s">
        <v>354</v>
      </c>
      <c r="B71" s="47" t="str">
        <f>IMAGE("https://raw.githubusercontent.com/ltdimages/images/refs/heads/main/Treasure_Lion.png")</f>
        <v/>
      </c>
      <c r="C71" s="39" t="s">
        <v>2527</v>
      </c>
      <c r="D71" s="39" t="s">
        <v>2316</v>
      </c>
      <c r="E71" s="39" t="s">
        <v>2446</v>
      </c>
      <c r="F71" s="48">
        <v>0.0</v>
      </c>
      <c r="G71" s="48">
        <v>200.0</v>
      </c>
      <c r="H71" s="39" t="s">
        <v>45</v>
      </c>
      <c r="I71" s="39" t="s">
        <v>2350</v>
      </c>
      <c r="J71" s="39" t="s">
        <v>49</v>
      </c>
      <c r="K71" s="39" t="s">
        <v>49</v>
      </c>
      <c r="L71" s="39" t="s">
        <v>49</v>
      </c>
      <c r="M71" s="39" t="s">
        <v>49</v>
      </c>
      <c r="N71" s="39" t="s">
        <v>49</v>
      </c>
      <c r="O71" s="44" t="s">
        <v>2528</v>
      </c>
      <c r="P71" s="39" t="s">
        <v>2529</v>
      </c>
    </row>
    <row r="72" ht="45.0" customHeight="1">
      <c r="A72" s="37" t="s">
        <v>358</v>
      </c>
      <c r="B72" s="47" t="str">
        <f>IMAGE("https://raw.githubusercontent.com/ltdimages/images/refs/heads/main/Treasure_Octopus.png")</f>
        <v/>
      </c>
      <c r="C72" s="39" t="s">
        <v>2530</v>
      </c>
      <c r="D72" s="39" t="s">
        <v>2316</v>
      </c>
      <c r="E72" s="39" t="s">
        <v>2446</v>
      </c>
      <c r="F72" s="48">
        <v>0.0</v>
      </c>
      <c r="G72" s="48">
        <v>20.0</v>
      </c>
      <c r="H72" s="39" t="s">
        <v>45</v>
      </c>
      <c r="I72" s="39" t="s">
        <v>48</v>
      </c>
      <c r="J72" s="39" t="s">
        <v>49</v>
      </c>
      <c r="K72" s="39" t="s">
        <v>49</v>
      </c>
      <c r="L72" s="39" t="s">
        <v>49</v>
      </c>
      <c r="M72" s="39" t="s">
        <v>49</v>
      </c>
      <c r="N72" s="39" t="s">
        <v>49</v>
      </c>
      <c r="O72" s="44" t="s">
        <v>2531</v>
      </c>
      <c r="P72" s="39" t="s">
        <v>123</v>
      </c>
    </row>
    <row r="73" ht="45.0" customHeight="1">
      <c r="A73" s="37" t="s">
        <v>362</v>
      </c>
      <c r="B73" s="47" t="str">
        <f>IMAGE("https://raw.githubusercontent.com/ltdimages/images/refs/heads/main/Treasure_Parakeet.png")</f>
        <v/>
      </c>
      <c r="C73" s="39" t="s">
        <v>2532</v>
      </c>
      <c r="D73" s="39" t="s">
        <v>2316</v>
      </c>
      <c r="E73" s="39" t="s">
        <v>2446</v>
      </c>
      <c r="F73" s="48">
        <v>0.0</v>
      </c>
      <c r="G73" s="48">
        <v>57.0</v>
      </c>
      <c r="H73" s="39" t="s">
        <v>45</v>
      </c>
      <c r="I73" s="39" t="s">
        <v>2327</v>
      </c>
      <c r="J73" s="39" t="s">
        <v>49</v>
      </c>
      <c r="K73" s="39" t="s">
        <v>49</v>
      </c>
      <c r="L73" s="39" t="s">
        <v>49</v>
      </c>
      <c r="M73" s="39" t="s">
        <v>49</v>
      </c>
      <c r="N73" s="39" t="s">
        <v>49</v>
      </c>
      <c r="O73" s="44" t="s">
        <v>2533</v>
      </c>
      <c r="P73" s="39" t="s">
        <v>2534</v>
      </c>
    </row>
    <row r="74" ht="45.0" customHeight="1">
      <c r="A74" s="37" t="s">
        <v>367</v>
      </c>
      <c r="B74" s="47" t="str">
        <f>IMAGE("https://raw.githubusercontent.com/ltdimages/images/refs/heads/main/Treasure_Penguin.png")</f>
        <v/>
      </c>
      <c r="C74" s="39" t="s">
        <v>2535</v>
      </c>
      <c r="D74" s="39" t="s">
        <v>2316</v>
      </c>
      <c r="E74" s="39" t="s">
        <v>2446</v>
      </c>
      <c r="F74" s="48">
        <v>0.0</v>
      </c>
      <c r="G74" s="48">
        <v>150.0</v>
      </c>
      <c r="H74" s="39" t="s">
        <v>45</v>
      </c>
      <c r="I74" s="39" t="s">
        <v>48</v>
      </c>
      <c r="J74" s="39" t="s">
        <v>49</v>
      </c>
      <c r="K74" s="39" t="s">
        <v>49</v>
      </c>
      <c r="L74" s="39" t="s">
        <v>49</v>
      </c>
      <c r="M74" s="39" t="s">
        <v>49</v>
      </c>
      <c r="N74" s="39" t="s">
        <v>49</v>
      </c>
      <c r="O74" s="44" t="s">
        <v>2536</v>
      </c>
      <c r="P74" s="39" t="s">
        <v>2537</v>
      </c>
    </row>
    <row r="75" ht="45.0" customHeight="1">
      <c r="A75" s="37" t="s">
        <v>371</v>
      </c>
      <c r="B75" s="47" t="str">
        <f>IMAGE("https://raw.githubusercontent.com/ltdimages/images/refs/heads/main/Treasure_Pig.png")</f>
        <v/>
      </c>
      <c r="C75" s="39" t="s">
        <v>2538</v>
      </c>
      <c r="D75" s="39" t="s">
        <v>2316</v>
      </c>
      <c r="E75" s="39" t="s">
        <v>2446</v>
      </c>
      <c r="F75" s="48">
        <v>0.0</v>
      </c>
      <c r="G75" s="48">
        <v>120.0</v>
      </c>
      <c r="H75" s="39" t="s">
        <v>45</v>
      </c>
      <c r="I75" s="39" t="s">
        <v>48</v>
      </c>
      <c r="J75" s="39" t="s">
        <v>49</v>
      </c>
      <c r="K75" s="39" t="s">
        <v>49</v>
      </c>
      <c r="L75" s="39" t="s">
        <v>49</v>
      </c>
      <c r="M75" s="39" t="s">
        <v>49</v>
      </c>
      <c r="N75" s="39" t="s">
        <v>49</v>
      </c>
      <c r="O75" s="44" t="s">
        <v>2539</v>
      </c>
      <c r="P75" s="39" t="s">
        <v>2540</v>
      </c>
    </row>
    <row r="76" ht="45.0" customHeight="1">
      <c r="A76" s="37" t="s">
        <v>375</v>
      </c>
      <c r="B76" s="47" t="str">
        <f>IMAGE("https://raw.githubusercontent.com/ltdimages/images/refs/heads/main/Treasure_Rabbit.png")</f>
        <v/>
      </c>
      <c r="C76" s="39" t="s">
        <v>2541</v>
      </c>
      <c r="D76" s="39" t="s">
        <v>2316</v>
      </c>
      <c r="E76" s="39" t="s">
        <v>2446</v>
      </c>
      <c r="F76" s="48">
        <v>0.0</v>
      </c>
      <c r="G76" s="48">
        <v>45.0</v>
      </c>
      <c r="H76" s="39" t="s">
        <v>45</v>
      </c>
      <c r="I76" s="39" t="s">
        <v>2327</v>
      </c>
      <c r="J76" s="39" t="s">
        <v>49</v>
      </c>
      <c r="K76" s="39" t="s">
        <v>49</v>
      </c>
      <c r="L76" s="39" t="s">
        <v>49</v>
      </c>
      <c r="M76" s="39" t="s">
        <v>49</v>
      </c>
      <c r="N76" s="39" t="s">
        <v>49</v>
      </c>
      <c r="O76" s="44" t="s">
        <v>2542</v>
      </c>
      <c r="P76" s="39" t="s">
        <v>2543</v>
      </c>
    </row>
    <row r="77" ht="45.0" customHeight="1">
      <c r="A77" s="37" t="s">
        <v>380</v>
      </c>
      <c r="B77" s="47" t="str">
        <f>IMAGE("https://raw.githubusercontent.com/ltdimages/images/refs/heads/main/Treasure_Robot.png")</f>
        <v/>
      </c>
      <c r="C77" s="39" t="s">
        <v>2544</v>
      </c>
      <c r="D77" s="39" t="s">
        <v>2316</v>
      </c>
      <c r="E77" s="39" t="s">
        <v>2446</v>
      </c>
      <c r="F77" s="48">
        <v>0.0</v>
      </c>
      <c r="G77" s="48">
        <v>198.0</v>
      </c>
      <c r="H77" s="39" t="s">
        <v>45</v>
      </c>
      <c r="I77" s="39" t="s">
        <v>2327</v>
      </c>
      <c r="J77" s="39" t="s">
        <v>49</v>
      </c>
      <c r="K77" s="39" t="s">
        <v>49</v>
      </c>
      <c r="L77" s="39" t="s">
        <v>49</v>
      </c>
      <c r="M77" s="39" t="s">
        <v>49</v>
      </c>
      <c r="N77" s="39" t="s">
        <v>49</v>
      </c>
      <c r="O77" s="44" t="s">
        <v>2545</v>
      </c>
      <c r="P77" s="39" t="s">
        <v>2546</v>
      </c>
    </row>
    <row r="78" ht="45.0" customHeight="1">
      <c r="A78" s="37" t="s">
        <v>384</v>
      </c>
      <c r="B78" s="47" t="str">
        <f>IMAGE("https://raw.githubusercontent.com/ltdimages/images/refs/heads/main/Treasure_BlackTipReefShark.png")</f>
        <v/>
      </c>
      <c r="C78" s="39" t="s">
        <v>2547</v>
      </c>
      <c r="D78" s="39" t="s">
        <v>2316</v>
      </c>
      <c r="E78" s="39" t="s">
        <v>2446</v>
      </c>
      <c r="F78" s="48">
        <v>0.0</v>
      </c>
      <c r="G78" s="48">
        <v>150.0</v>
      </c>
      <c r="H78" s="39" t="s">
        <v>45</v>
      </c>
      <c r="I78" s="39" t="s">
        <v>2350</v>
      </c>
      <c r="J78" s="39" t="s">
        <v>49</v>
      </c>
      <c r="K78" s="39" t="s">
        <v>49</v>
      </c>
      <c r="L78" s="39" t="s">
        <v>49</v>
      </c>
      <c r="M78" s="39" t="s">
        <v>49</v>
      </c>
      <c r="N78" s="39" t="s">
        <v>49</v>
      </c>
      <c r="O78" s="44" t="s">
        <v>2548</v>
      </c>
      <c r="P78" s="39" t="s">
        <v>2549</v>
      </c>
    </row>
    <row r="79" ht="45.0" customHeight="1">
      <c r="A79" s="37" t="s">
        <v>388</v>
      </c>
      <c r="B79" s="47" t="str">
        <f>IMAGE("https://raw.githubusercontent.com/ltdimages/images/refs/heads/main/Treasure_Spirit.png")</f>
        <v/>
      </c>
      <c r="C79" s="39" t="s">
        <v>2550</v>
      </c>
      <c r="D79" s="39" t="s">
        <v>2316</v>
      </c>
      <c r="E79" s="39" t="s">
        <v>2446</v>
      </c>
      <c r="F79" s="48">
        <v>0.0</v>
      </c>
      <c r="G79" s="48">
        <v>250.0</v>
      </c>
      <c r="H79" s="39" t="s">
        <v>45</v>
      </c>
      <c r="I79" s="39" t="s">
        <v>2327</v>
      </c>
      <c r="J79" s="39" t="s">
        <v>49</v>
      </c>
      <c r="K79" s="39" t="s">
        <v>49</v>
      </c>
      <c r="L79" s="39" t="s">
        <v>49</v>
      </c>
      <c r="M79" s="39" t="s">
        <v>49</v>
      </c>
      <c r="N79" s="39" t="s">
        <v>49</v>
      </c>
      <c r="O79" s="44" t="s">
        <v>2551</v>
      </c>
      <c r="P79" s="39" t="s">
        <v>2552</v>
      </c>
    </row>
    <row r="80" ht="45.0" customHeight="1">
      <c r="A80" s="37" t="s">
        <v>392</v>
      </c>
      <c r="B80" s="47" t="str">
        <f>IMAGE("https://raw.githubusercontent.com/ltdimages/images/refs/heads/main/Treasure_SugarGlider.png")</f>
        <v/>
      </c>
      <c r="C80" s="39" t="s">
        <v>2553</v>
      </c>
      <c r="D80" s="39" t="s">
        <v>2316</v>
      </c>
      <c r="E80" s="39" t="s">
        <v>2446</v>
      </c>
      <c r="F80" s="48">
        <v>0.0</v>
      </c>
      <c r="G80" s="48">
        <v>31.0</v>
      </c>
      <c r="H80" s="39" t="s">
        <v>45</v>
      </c>
      <c r="I80" s="39" t="s">
        <v>2327</v>
      </c>
      <c r="J80" s="39" t="s">
        <v>49</v>
      </c>
      <c r="K80" s="39" t="s">
        <v>49</v>
      </c>
      <c r="L80" s="39" t="s">
        <v>45</v>
      </c>
      <c r="M80" s="39" t="s">
        <v>49</v>
      </c>
      <c r="N80" s="39" t="s">
        <v>45</v>
      </c>
      <c r="O80" s="44" t="s">
        <v>2554</v>
      </c>
      <c r="P80" s="39" t="s">
        <v>2555</v>
      </c>
    </row>
    <row r="81" ht="45.0" customHeight="1">
      <c r="A81" s="37" t="s">
        <v>396</v>
      </c>
      <c r="B81" s="47" t="str">
        <f>IMAGE("https://raw.githubusercontent.com/ltdimages/images/refs/heads/main/Treasure_Tuna.png")</f>
        <v/>
      </c>
      <c r="C81" s="39" t="s">
        <v>2556</v>
      </c>
      <c r="D81" s="39" t="s">
        <v>2316</v>
      </c>
      <c r="E81" s="39" t="s">
        <v>2446</v>
      </c>
      <c r="F81" s="48">
        <v>0.0</v>
      </c>
      <c r="G81" s="48">
        <v>150.0</v>
      </c>
      <c r="H81" s="39" t="s">
        <v>45</v>
      </c>
      <c r="I81" s="39" t="s">
        <v>2350</v>
      </c>
      <c r="J81" s="39" t="s">
        <v>49</v>
      </c>
      <c r="K81" s="39" t="s">
        <v>49</v>
      </c>
      <c r="L81" s="39" t="s">
        <v>49</v>
      </c>
      <c r="M81" s="39" t="s">
        <v>49</v>
      </c>
      <c r="N81" s="39" t="s">
        <v>49</v>
      </c>
      <c r="O81" s="44" t="s">
        <v>2557</v>
      </c>
      <c r="P81" s="39" t="s">
        <v>2558</v>
      </c>
    </row>
    <row r="82" ht="45.0" customHeight="1">
      <c r="A82" s="37" t="s">
        <v>400</v>
      </c>
      <c r="B82" s="47" t="str">
        <f>IMAGE("https://raw.githubusercontent.com/ltdimages/images/refs/heads/main/Treasure_Turtle.png")</f>
        <v/>
      </c>
      <c r="C82" s="39" t="s">
        <v>2559</v>
      </c>
      <c r="D82" s="39" t="s">
        <v>2316</v>
      </c>
      <c r="E82" s="39" t="s">
        <v>2446</v>
      </c>
      <c r="F82" s="48">
        <v>0.0</v>
      </c>
      <c r="G82" s="48">
        <v>55.0</v>
      </c>
      <c r="H82" s="39" t="s">
        <v>45</v>
      </c>
      <c r="I82" s="39" t="s">
        <v>48</v>
      </c>
      <c r="J82" s="39" t="s">
        <v>49</v>
      </c>
      <c r="K82" s="39" t="s">
        <v>49</v>
      </c>
      <c r="L82" s="39" t="s">
        <v>49</v>
      </c>
      <c r="M82" s="39" t="s">
        <v>49</v>
      </c>
      <c r="N82" s="39" t="s">
        <v>49</v>
      </c>
      <c r="O82" s="44" t="s">
        <v>2560</v>
      </c>
      <c r="P82" s="39" t="s">
        <v>2561</v>
      </c>
    </row>
    <row r="83" ht="45.0" customHeight="1">
      <c r="A83" s="37" t="s">
        <v>404</v>
      </c>
      <c r="B83" s="47" t="str">
        <f>IMAGE("https://raw.githubusercontent.com/ltdimages/images/refs/heads/main/Treasure_Tyrannosaurus.png")</f>
        <v/>
      </c>
      <c r="C83" s="39" t="s">
        <v>2562</v>
      </c>
      <c r="D83" s="39" t="s">
        <v>2316</v>
      </c>
      <c r="E83" s="39" t="s">
        <v>2446</v>
      </c>
      <c r="F83" s="48">
        <v>0.0</v>
      </c>
      <c r="G83" s="48">
        <v>300.0</v>
      </c>
      <c r="H83" s="39" t="s">
        <v>45</v>
      </c>
      <c r="I83" s="39" t="s">
        <v>2350</v>
      </c>
      <c r="J83" s="39" t="s">
        <v>49</v>
      </c>
      <c r="K83" s="39" t="s">
        <v>49</v>
      </c>
      <c r="L83" s="39" t="s">
        <v>49</v>
      </c>
      <c r="M83" s="39" t="s">
        <v>49</v>
      </c>
      <c r="N83" s="39" t="s">
        <v>49</v>
      </c>
      <c r="O83" s="44" t="s">
        <v>2563</v>
      </c>
      <c r="P83" s="39" t="s">
        <v>2562</v>
      </c>
    </row>
    <row r="84" ht="45.0" customHeight="1">
      <c r="A84" s="37" t="s">
        <v>410</v>
      </c>
      <c r="B84" s="47" t="str">
        <f>IMAGE("https://raw.githubusercontent.com/ltdimages/images/refs/heads/main/Treasure_Ufo.png")</f>
        <v/>
      </c>
      <c r="C84" s="39" t="s">
        <v>2564</v>
      </c>
      <c r="D84" s="39" t="s">
        <v>2316</v>
      </c>
      <c r="E84" s="39" t="s">
        <v>2446</v>
      </c>
      <c r="F84" s="48">
        <v>0.0</v>
      </c>
      <c r="G84" s="48">
        <v>58.0</v>
      </c>
      <c r="H84" s="39" t="s">
        <v>45</v>
      </c>
      <c r="I84" s="39" t="s">
        <v>2002</v>
      </c>
      <c r="J84" s="39" t="s">
        <v>49</v>
      </c>
      <c r="K84" s="39" t="s">
        <v>49</v>
      </c>
      <c r="L84" s="39" t="s">
        <v>49</v>
      </c>
      <c r="M84" s="39" t="s">
        <v>49</v>
      </c>
      <c r="N84" s="39" t="s">
        <v>49</v>
      </c>
      <c r="O84" s="44" t="s">
        <v>2565</v>
      </c>
      <c r="P84" s="39" t="s">
        <v>2566</v>
      </c>
    </row>
    <row r="85" ht="45.0" customHeight="1">
      <c r="A85" s="37" t="s">
        <v>414</v>
      </c>
      <c r="B85" s="47" t="str">
        <f>IMAGE("https://raw.githubusercontent.com/ltdimages/images/refs/heads/main/Treasure_Unicorn.png")</f>
        <v/>
      </c>
      <c r="C85" s="39" t="s">
        <v>2567</v>
      </c>
      <c r="D85" s="39" t="s">
        <v>2316</v>
      </c>
      <c r="E85" s="39" t="s">
        <v>2446</v>
      </c>
      <c r="F85" s="48">
        <v>0.0</v>
      </c>
      <c r="G85" s="48">
        <v>300.0</v>
      </c>
      <c r="H85" s="39" t="s">
        <v>45</v>
      </c>
      <c r="I85" s="39" t="s">
        <v>2350</v>
      </c>
      <c r="J85" s="39" t="s">
        <v>49</v>
      </c>
      <c r="K85" s="39" t="s">
        <v>49</v>
      </c>
      <c r="L85" s="39" t="s">
        <v>49</v>
      </c>
      <c r="M85" s="39" t="s">
        <v>49</v>
      </c>
      <c r="N85" s="39" t="s">
        <v>49</v>
      </c>
      <c r="O85" s="44" t="s">
        <v>2568</v>
      </c>
      <c r="P85" s="39" t="s">
        <v>2569</v>
      </c>
    </row>
    <row r="86" ht="45.0" customHeight="1">
      <c r="A86" s="37" t="s">
        <v>418</v>
      </c>
      <c r="B86" s="47" t="str">
        <f>IMAGE("https://raw.githubusercontent.com/ltdimages/images/refs/heads/main/Treasure_Daphnia.png")</f>
        <v/>
      </c>
      <c r="C86" s="39" t="s">
        <v>2570</v>
      </c>
      <c r="D86" s="39" t="s">
        <v>2316</v>
      </c>
      <c r="E86" s="39" t="s">
        <v>2446</v>
      </c>
      <c r="F86" s="48">
        <v>0.0</v>
      </c>
      <c r="G86" s="48">
        <v>1.0</v>
      </c>
      <c r="H86" s="39" t="s">
        <v>45</v>
      </c>
      <c r="I86" s="39" t="s">
        <v>2327</v>
      </c>
      <c r="J86" s="39" t="s">
        <v>49</v>
      </c>
      <c r="K86" s="39" t="s">
        <v>49</v>
      </c>
      <c r="L86" s="39" t="s">
        <v>49</v>
      </c>
      <c r="M86" s="39" t="s">
        <v>49</v>
      </c>
      <c r="N86" s="39" t="s">
        <v>49</v>
      </c>
      <c r="O86" s="44" t="s">
        <v>2571</v>
      </c>
      <c r="P86" s="39" t="s">
        <v>2572</v>
      </c>
    </row>
    <row r="87" ht="45.0" customHeight="1">
      <c r="A87" s="37" t="s">
        <v>422</v>
      </c>
      <c r="B87" s="47" t="str">
        <f>IMAGE("https://raw.githubusercontent.com/ltdimages/images/refs/heads/main/Treasure_9VDryBattery.png")</f>
        <v/>
      </c>
      <c r="C87" s="39" t="s">
        <v>2573</v>
      </c>
      <c r="D87" s="39" t="s">
        <v>2316</v>
      </c>
      <c r="E87" s="39" t="s">
        <v>2574</v>
      </c>
      <c r="F87" s="48">
        <v>0.0</v>
      </c>
      <c r="G87" s="48">
        <v>3.4</v>
      </c>
      <c r="H87" s="39" t="s">
        <v>45</v>
      </c>
      <c r="I87" s="39" t="s">
        <v>2327</v>
      </c>
      <c r="J87" s="39" t="s">
        <v>49</v>
      </c>
      <c r="K87" s="39" t="s">
        <v>49</v>
      </c>
      <c r="L87" s="39" t="s">
        <v>49</v>
      </c>
      <c r="M87" s="39" t="s">
        <v>49</v>
      </c>
      <c r="N87" s="39" t="s">
        <v>49</v>
      </c>
      <c r="O87" s="44" t="s">
        <v>2575</v>
      </c>
      <c r="P87" s="39" t="s">
        <v>2576</v>
      </c>
    </row>
    <row r="88" ht="45.0" customHeight="1">
      <c r="A88" s="37" t="s">
        <v>426</v>
      </c>
      <c r="B88" s="47" t="str">
        <f>IMAGE("https://raw.githubusercontent.com/ltdimages/images/refs/heads/main/Treasure_Alebrijes.png")</f>
        <v/>
      </c>
      <c r="C88" s="39" t="s">
        <v>2577</v>
      </c>
      <c r="D88" s="39" t="s">
        <v>2316</v>
      </c>
      <c r="E88" s="39" t="s">
        <v>2574</v>
      </c>
      <c r="F88" s="48">
        <v>0.0</v>
      </c>
      <c r="G88" s="48">
        <v>34.0</v>
      </c>
      <c r="H88" s="39" t="s">
        <v>45</v>
      </c>
      <c r="I88" s="39" t="s">
        <v>2002</v>
      </c>
      <c r="J88" s="39" t="s">
        <v>49</v>
      </c>
      <c r="K88" s="39" t="s">
        <v>49</v>
      </c>
      <c r="L88" s="39" t="s">
        <v>49</v>
      </c>
      <c r="M88" s="39" t="s">
        <v>49</v>
      </c>
      <c r="N88" s="39" t="s">
        <v>49</v>
      </c>
      <c r="O88" s="44" t="s">
        <v>2578</v>
      </c>
      <c r="P88" s="39" t="s">
        <v>2579</v>
      </c>
    </row>
    <row r="89" ht="45.0" customHeight="1">
      <c r="A89" s="37" t="s">
        <v>430</v>
      </c>
      <c r="B89" s="47" t="str">
        <f>IMAGE("https://raw.githubusercontent.com/ltdimages/images/refs/heads/main/Treasure_DuraluminCase.png")</f>
        <v/>
      </c>
      <c r="C89" s="39" t="s">
        <v>2580</v>
      </c>
      <c r="D89" s="39" t="s">
        <v>2316</v>
      </c>
      <c r="E89" s="39" t="s">
        <v>2574</v>
      </c>
      <c r="F89" s="48">
        <v>0.0</v>
      </c>
      <c r="G89" s="48">
        <v>70.0</v>
      </c>
      <c r="H89" s="39" t="s">
        <v>45</v>
      </c>
      <c r="I89" s="39" t="s">
        <v>2350</v>
      </c>
      <c r="J89" s="39" t="s">
        <v>49</v>
      </c>
      <c r="K89" s="39" t="s">
        <v>49</v>
      </c>
      <c r="L89" s="39" t="s">
        <v>49</v>
      </c>
      <c r="M89" s="39" t="s">
        <v>49</v>
      </c>
      <c r="N89" s="39" t="s">
        <v>49</v>
      </c>
      <c r="O89" s="44" t="s">
        <v>2581</v>
      </c>
      <c r="P89" s="39" t="s">
        <v>2582</v>
      </c>
    </row>
    <row r="90" ht="45.0" customHeight="1">
      <c r="A90" s="37" t="s">
        <v>434</v>
      </c>
      <c r="B90" s="47" t="str">
        <f>IMAGE("https://raw.githubusercontent.com/ltdimages/images/refs/heads/main/Treasure_Amber.png")</f>
        <v/>
      </c>
      <c r="C90" s="39" t="s">
        <v>2583</v>
      </c>
      <c r="D90" s="39" t="s">
        <v>2316</v>
      </c>
      <c r="E90" s="39" t="s">
        <v>2574</v>
      </c>
      <c r="F90" s="48">
        <v>0.0</v>
      </c>
      <c r="G90" s="48">
        <v>200.0</v>
      </c>
      <c r="H90" s="39" t="s">
        <v>45</v>
      </c>
      <c r="I90" s="39" t="s">
        <v>48</v>
      </c>
      <c r="J90" s="39" t="s">
        <v>49</v>
      </c>
      <c r="K90" s="39" t="s">
        <v>49</v>
      </c>
      <c r="L90" s="39" t="s">
        <v>49</v>
      </c>
      <c r="M90" s="39" t="s">
        <v>49</v>
      </c>
      <c r="N90" s="39" t="s">
        <v>49</v>
      </c>
      <c r="O90" s="44" t="s">
        <v>2584</v>
      </c>
      <c r="P90" s="39" t="s">
        <v>2585</v>
      </c>
    </row>
    <row r="91" ht="45.0" customHeight="1">
      <c r="A91" s="37" t="s">
        <v>438</v>
      </c>
      <c r="B91" s="47" t="str">
        <f>IMAGE("https://raw.githubusercontent.com/ltdimages/images/refs/heads/main/Treasure_AmethystDome.png")</f>
        <v/>
      </c>
      <c r="C91" s="39" t="s">
        <v>2586</v>
      </c>
      <c r="D91" s="39" t="s">
        <v>2316</v>
      </c>
      <c r="E91" s="39" t="s">
        <v>2574</v>
      </c>
      <c r="F91" s="48">
        <v>0.0</v>
      </c>
      <c r="G91" s="48">
        <v>117.0</v>
      </c>
      <c r="H91" s="39" t="s">
        <v>45</v>
      </c>
      <c r="I91" s="39" t="s">
        <v>2350</v>
      </c>
      <c r="J91" s="39" t="s">
        <v>49</v>
      </c>
      <c r="K91" s="39" t="s">
        <v>49</v>
      </c>
      <c r="L91" s="39" t="s">
        <v>49</v>
      </c>
      <c r="M91" s="39" t="s">
        <v>49</v>
      </c>
      <c r="N91" s="39" t="s">
        <v>49</v>
      </c>
      <c r="O91" s="44" t="s">
        <v>2587</v>
      </c>
      <c r="P91" s="39" t="s">
        <v>2588</v>
      </c>
    </row>
    <row r="92" ht="45.0" customHeight="1">
      <c r="A92" s="37" t="s">
        <v>442</v>
      </c>
      <c r="B92" s="47" t="str">
        <f>IMAGE("https://raw.githubusercontent.com/ltdimages/images/refs/heads/main/Treasure018.png")</f>
        <v/>
      </c>
      <c r="C92" s="39" t="s">
        <v>2589</v>
      </c>
      <c r="D92" s="39" t="s">
        <v>2316</v>
      </c>
      <c r="E92" s="39" t="s">
        <v>2574</v>
      </c>
      <c r="F92" s="48">
        <v>0.0</v>
      </c>
      <c r="G92" s="48">
        <v>100.0</v>
      </c>
      <c r="H92" s="39" t="s">
        <v>45</v>
      </c>
      <c r="I92" s="39" t="s">
        <v>2350</v>
      </c>
      <c r="J92" s="39" t="s">
        <v>49</v>
      </c>
      <c r="K92" s="39" t="s">
        <v>49</v>
      </c>
      <c r="L92" s="39" t="s">
        <v>49</v>
      </c>
      <c r="M92" s="39" t="s">
        <v>49</v>
      </c>
      <c r="N92" s="39" t="s">
        <v>49</v>
      </c>
      <c r="O92" s="44" t="s">
        <v>2590</v>
      </c>
      <c r="P92" s="39" t="s">
        <v>2591</v>
      </c>
    </row>
    <row r="93" ht="45.0" customHeight="1">
      <c r="A93" s="37" t="s">
        <v>446</v>
      </c>
      <c r="B93" s="47" t="str">
        <f>IMAGE("https://raw.githubusercontent.com/ltdimages/images/refs/heads/main/Treasure_AnimalFlowerpot.png")</f>
        <v/>
      </c>
      <c r="C93" s="39" t="s">
        <v>2592</v>
      </c>
      <c r="D93" s="39" t="s">
        <v>2316</v>
      </c>
      <c r="E93" s="39" t="s">
        <v>2574</v>
      </c>
      <c r="F93" s="48">
        <v>0.0</v>
      </c>
      <c r="G93" s="48">
        <v>12.0</v>
      </c>
      <c r="H93" s="39" t="s">
        <v>45</v>
      </c>
      <c r="I93" s="39" t="s">
        <v>48</v>
      </c>
      <c r="J93" s="39" t="s">
        <v>49</v>
      </c>
      <c r="K93" s="39" t="s">
        <v>49</v>
      </c>
      <c r="L93" s="39" t="s">
        <v>49</v>
      </c>
      <c r="M93" s="39" t="s">
        <v>49</v>
      </c>
      <c r="N93" s="39" t="s">
        <v>49</v>
      </c>
      <c r="O93" s="44" t="s">
        <v>2593</v>
      </c>
      <c r="P93" s="44" t="s">
        <v>2594</v>
      </c>
    </row>
    <row r="94" ht="45.0" customHeight="1">
      <c r="A94" s="37" t="s">
        <v>450</v>
      </c>
      <c r="B94" s="47" t="str">
        <f>IMAGE("https://raw.githubusercontent.com/ltdimages/images/refs/heads/main/Treasure_FallenLeaves.png")</f>
        <v/>
      </c>
      <c r="C94" s="39" t="s">
        <v>2595</v>
      </c>
      <c r="D94" s="39" t="s">
        <v>2316</v>
      </c>
      <c r="E94" s="39" t="s">
        <v>2574</v>
      </c>
      <c r="F94" s="48">
        <v>0.0</v>
      </c>
      <c r="G94" s="48">
        <v>0.1</v>
      </c>
      <c r="H94" s="39" t="s">
        <v>45</v>
      </c>
      <c r="I94" s="39" t="s">
        <v>2327</v>
      </c>
      <c r="J94" s="39" t="s">
        <v>49</v>
      </c>
      <c r="K94" s="39" t="s">
        <v>49</v>
      </c>
      <c r="L94" s="39" t="s">
        <v>49</v>
      </c>
      <c r="M94" s="39" t="s">
        <v>49</v>
      </c>
      <c r="N94" s="39" t="s">
        <v>49</v>
      </c>
      <c r="O94" s="44" t="s">
        <v>2596</v>
      </c>
      <c r="P94" s="39" t="s">
        <v>2597</v>
      </c>
    </row>
    <row r="95" ht="45.0" customHeight="1">
      <c r="A95" s="37" t="s">
        <v>454</v>
      </c>
      <c r="B95" s="47" t="str">
        <f>IMAGE("https://raw.githubusercontent.com/ltdimages/images/refs/heads/main/Treasure_GrandsonsHand.png")</f>
        <v/>
      </c>
      <c r="C95" s="39" t="s">
        <v>2598</v>
      </c>
      <c r="D95" s="39" t="s">
        <v>2316</v>
      </c>
      <c r="E95" s="39" t="s">
        <v>2574</v>
      </c>
      <c r="F95" s="48">
        <v>0.0</v>
      </c>
      <c r="G95" s="48">
        <v>8.5</v>
      </c>
      <c r="H95" s="39" t="s">
        <v>45</v>
      </c>
      <c r="I95" s="39" t="s">
        <v>48</v>
      </c>
      <c r="J95" s="39" t="s">
        <v>49</v>
      </c>
      <c r="K95" s="39" t="s">
        <v>49</v>
      </c>
      <c r="L95" s="39" t="s">
        <v>49</v>
      </c>
      <c r="M95" s="39" t="s">
        <v>49</v>
      </c>
      <c r="N95" s="39" t="s">
        <v>49</v>
      </c>
      <c r="O95" s="44" t="s">
        <v>2599</v>
      </c>
      <c r="P95" s="39" t="s">
        <v>2600</v>
      </c>
    </row>
    <row r="96" ht="45.0" customHeight="1">
      <c r="A96" s="31" t="s">
        <v>459</v>
      </c>
      <c r="B96" s="49" t="str">
        <f>IMAGE("https://raw.githubusercontent.com/ltdimages/images/refs/heads/main/Treasure_BalloonArt.png")</f>
        <v/>
      </c>
      <c r="C96" s="43" t="s">
        <v>2601</v>
      </c>
      <c r="D96" s="43" t="s">
        <v>2316</v>
      </c>
      <c r="E96" s="43" t="s">
        <v>2574</v>
      </c>
      <c r="F96" s="50">
        <v>0.0</v>
      </c>
      <c r="G96" s="50">
        <v>5.0</v>
      </c>
      <c r="H96" s="43" t="s">
        <v>45</v>
      </c>
      <c r="I96" s="43" t="s">
        <v>48</v>
      </c>
      <c r="J96" s="43" t="s">
        <v>49</v>
      </c>
      <c r="K96" s="43" t="s">
        <v>49</v>
      </c>
      <c r="L96" s="43" t="s">
        <v>49</v>
      </c>
      <c r="M96" s="43" t="s">
        <v>49</v>
      </c>
      <c r="N96" s="43" t="s">
        <v>49</v>
      </c>
      <c r="O96" s="43" t="s">
        <v>2602</v>
      </c>
      <c r="P96" s="43" t="s">
        <v>2603</v>
      </c>
    </row>
    <row r="97" ht="45.0" customHeight="1">
      <c r="A97" s="37" t="s">
        <v>463</v>
      </c>
      <c r="B97" s="47" t="str">
        <f>IMAGE("https://raw.githubusercontent.com/ltdimages/images/refs/heads/main/Treasure109.png")</f>
        <v/>
      </c>
      <c r="C97" s="39" t="s">
        <v>2604</v>
      </c>
      <c r="D97" s="39" t="s">
        <v>2316</v>
      </c>
      <c r="E97" s="39" t="s">
        <v>2574</v>
      </c>
      <c r="F97" s="48">
        <v>0.0</v>
      </c>
      <c r="G97" s="48">
        <v>7.6</v>
      </c>
      <c r="H97" s="39" t="s">
        <v>45</v>
      </c>
      <c r="I97" s="39" t="s">
        <v>2350</v>
      </c>
      <c r="J97" s="39" t="s">
        <v>49</v>
      </c>
      <c r="K97" s="39" t="s">
        <v>49</v>
      </c>
      <c r="L97" s="39" t="s">
        <v>49</v>
      </c>
      <c r="M97" s="39" t="s">
        <v>49</v>
      </c>
      <c r="N97" s="39" t="s">
        <v>49</v>
      </c>
      <c r="O97" s="44" t="s">
        <v>2605</v>
      </c>
      <c r="P97" s="39" t="s">
        <v>2606</v>
      </c>
    </row>
    <row r="98" ht="45.0" customHeight="1">
      <c r="A98" s="37" t="s">
        <v>467</v>
      </c>
      <c r="B98" s="47" t="str">
        <f>IMAGE("https://raw.githubusercontent.com/ltdimages/images/refs/heads/main/Treasure_BentSpoon.png")</f>
        <v/>
      </c>
      <c r="C98" s="39" t="s">
        <v>2607</v>
      </c>
      <c r="D98" s="39" t="s">
        <v>2316</v>
      </c>
      <c r="E98" s="39" t="s">
        <v>2574</v>
      </c>
      <c r="F98" s="48">
        <v>0.0</v>
      </c>
      <c r="G98" s="48">
        <v>0.2</v>
      </c>
      <c r="H98" s="39" t="s">
        <v>45</v>
      </c>
      <c r="I98" s="39" t="s">
        <v>2327</v>
      </c>
      <c r="J98" s="39" t="s">
        <v>49</v>
      </c>
      <c r="K98" s="39" t="s">
        <v>49</v>
      </c>
      <c r="L98" s="39" t="s">
        <v>49</v>
      </c>
      <c r="M98" s="39" t="s">
        <v>49</v>
      </c>
      <c r="N98" s="39" t="s">
        <v>49</v>
      </c>
      <c r="O98" s="44" t="s">
        <v>2608</v>
      </c>
      <c r="P98" s="39" t="s">
        <v>2609</v>
      </c>
    </row>
    <row r="99" ht="45.0" customHeight="1">
      <c r="A99" s="37" t="s">
        <v>471</v>
      </c>
      <c r="B99" s="47" t="str">
        <f>IMAGE("https://raw.githubusercontent.com/ltdimages/images/refs/heads/main/Treasure_BigPot.png")</f>
        <v/>
      </c>
      <c r="C99" s="39" t="s">
        <v>2610</v>
      </c>
      <c r="D99" s="39" t="s">
        <v>2316</v>
      </c>
      <c r="E99" s="39" t="s">
        <v>2574</v>
      </c>
      <c r="F99" s="48">
        <v>0.0</v>
      </c>
      <c r="G99" s="48">
        <v>50.0</v>
      </c>
      <c r="H99" s="39" t="s">
        <v>45</v>
      </c>
      <c r="I99" s="39" t="s">
        <v>2002</v>
      </c>
      <c r="J99" s="39" t="s">
        <v>49</v>
      </c>
      <c r="K99" s="39" t="s">
        <v>49</v>
      </c>
      <c r="L99" s="39" t="s">
        <v>49</v>
      </c>
      <c r="M99" s="39" t="s">
        <v>49</v>
      </c>
      <c r="N99" s="39" t="s">
        <v>49</v>
      </c>
      <c r="O99" s="44" t="s">
        <v>2611</v>
      </c>
      <c r="P99" s="39" t="s">
        <v>2612</v>
      </c>
    </row>
    <row r="100" ht="45.0" customHeight="1">
      <c r="A100" s="37" t="s">
        <v>475</v>
      </c>
      <c r="B100" s="47" t="str">
        <f>IMAGE("https://raw.githubusercontent.com/ltdimages/images/refs/heads/main/Treasure024.png")</f>
        <v/>
      </c>
      <c r="C100" s="39" t="s">
        <v>2613</v>
      </c>
      <c r="D100" s="39" t="s">
        <v>2316</v>
      </c>
      <c r="E100" s="39" t="s">
        <v>2574</v>
      </c>
      <c r="F100" s="48">
        <v>0.0</v>
      </c>
      <c r="G100" s="48">
        <v>34.0</v>
      </c>
      <c r="H100" s="39" t="s">
        <v>45</v>
      </c>
      <c r="I100" s="39" t="s">
        <v>2002</v>
      </c>
      <c r="J100" s="39" t="s">
        <v>49</v>
      </c>
      <c r="K100" s="39" t="s">
        <v>49</v>
      </c>
      <c r="L100" s="39" t="s">
        <v>49</v>
      </c>
      <c r="M100" s="39" t="s">
        <v>49</v>
      </c>
      <c r="N100" s="39" t="s">
        <v>49</v>
      </c>
      <c r="O100" s="44" t="s">
        <v>2614</v>
      </c>
      <c r="P100" s="39" t="s">
        <v>2615</v>
      </c>
    </row>
    <row r="101" ht="45.0" customHeight="1">
      <c r="A101" s="37" t="s">
        <v>479</v>
      </c>
      <c r="B101" s="47" t="str">
        <f>IMAGE("https://raw.githubusercontent.com/ltdimages/images/refs/heads/main/Treasure_BirdFeathers.png")</f>
        <v/>
      </c>
      <c r="C101" s="39" t="s">
        <v>2616</v>
      </c>
      <c r="D101" s="39" t="s">
        <v>2316</v>
      </c>
      <c r="E101" s="39" t="s">
        <v>2574</v>
      </c>
      <c r="F101" s="48">
        <v>0.0</v>
      </c>
      <c r="G101" s="48">
        <v>5.0</v>
      </c>
      <c r="H101" s="39" t="s">
        <v>45</v>
      </c>
      <c r="I101" s="39" t="s">
        <v>2002</v>
      </c>
      <c r="J101" s="39" t="s">
        <v>49</v>
      </c>
      <c r="K101" s="39" t="s">
        <v>49</v>
      </c>
      <c r="L101" s="39" t="s">
        <v>49</v>
      </c>
      <c r="M101" s="39" t="s">
        <v>49</v>
      </c>
      <c r="N101" s="39" t="s">
        <v>49</v>
      </c>
      <c r="O101" s="44" t="s">
        <v>2617</v>
      </c>
      <c r="P101" s="39" t="s">
        <v>2618</v>
      </c>
    </row>
    <row r="102" ht="45.0" customHeight="1">
      <c r="A102" s="37" t="s">
        <v>483</v>
      </c>
      <c r="B102" s="47" t="str">
        <f>IMAGE("https://raw.githubusercontent.com/ltdimages/images/refs/heads/main/Treasure_SwallowsNest.png")</f>
        <v/>
      </c>
      <c r="C102" s="39" t="s">
        <v>2619</v>
      </c>
      <c r="D102" s="39" t="s">
        <v>2316</v>
      </c>
      <c r="E102" s="39" t="s">
        <v>2574</v>
      </c>
      <c r="F102" s="48">
        <v>0.0</v>
      </c>
      <c r="G102" s="48">
        <v>1.0</v>
      </c>
      <c r="H102" s="39" t="s">
        <v>45</v>
      </c>
      <c r="I102" s="39" t="s">
        <v>48</v>
      </c>
      <c r="J102" s="39" t="s">
        <v>49</v>
      </c>
      <c r="K102" s="39" t="s">
        <v>49</v>
      </c>
      <c r="L102" s="39" t="s">
        <v>49</v>
      </c>
      <c r="M102" s="39" t="s">
        <v>49</v>
      </c>
      <c r="N102" s="39" t="s">
        <v>49</v>
      </c>
      <c r="O102" s="44" t="s">
        <v>2620</v>
      </c>
      <c r="P102" s="39" t="s">
        <v>2621</v>
      </c>
    </row>
    <row r="103" ht="45.0" customHeight="1">
      <c r="A103" s="37" t="s">
        <v>488</v>
      </c>
      <c r="B103" s="47" t="str">
        <f>IMAGE("https://raw.githubusercontent.com/ltdimages/images/refs/heads/main/Treasure046.png")</f>
        <v/>
      </c>
      <c r="C103" s="39" t="s">
        <v>2622</v>
      </c>
      <c r="D103" s="39" t="s">
        <v>2316</v>
      </c>
      <c r="E103" s="39" t="s">
        <v>2574</v>
      </c>
      <c r="F103" s="48">
        <v>0.0</v>
      </c>
      <c r="G103" s="48">
        <v>59.0</v>
      </c>
      <c r="H103" s="39" t="s">
        <v>45</v>
      </c>
      <c r="I103" s="39" t="s">
        <v>2350</v>
      </c>
      <c r="J103" s="39" t="s">
        <v>49</v>
      </c>
      <c r="K103" s="39" t="s">
        <v>49</v>
      </c>
      <c r="L103" s="39" t="s">
        <v>49</v>
      </c>
      <c r="M103" s="39" t="s">
        <v>49</v>
      </c>
      <c r="N103" s="39" t="s">
        <v>49</v>
      </c>
      <c r="O103" s="44" t="s">
        <v>2623</v>
      </c>
      <c r="P103" s="39" t="s">
        <v>2624</v>
      </c>
    </row>
    <row r="104" ht="45.0" customHeight="1">
      <c r="A104" s="37" t="s">
        <v>492</v>
      </c>
      <c r="B104" s="47" t="str">
        <f>IMAGE("https://raw.githubusercontent.com/ltdimages/images/refs/heads/main/Treasure_TraditionalSpanishWaterBottle.png")</f>
        <v/>
      </c>
      <c r="C104" s="39" t="s">
        <v>2625</v>
      </c>
      <c r="D104" s="39" t="s">
        <v>2316</v>
      </c>
      <c r="E104" s="39" t="s">
        <v>2574</v>
      </c>
      <c r="F104" s="48">
        <v>0.0</v>
      </c>
      <c r="G104" s="48">
        <v>87.0</v>
      </c>
      <c r="H104" s="39" t="s">
        <v>45</v>
      </c>
      <c r="I104" s="39" t="s">
        <v>2350</v>
      </c>
      <c r="J104" s="39" t="s">
        <v>45</v>
      </c>
      <c r="K104" s="39" t="s">
        <v>45</v>
      </c>
      <c r="L104" s="39" t="s">
        <v>49</v>
      </c>
      <c r="M104" s="39" t="s">
        <v>45</v>
      </c>
      <c r="N104" s="39" t="s">
        <v>45</v>
      </c>
      <c r="O104" s="44" t="s">
        <v>2626</v>
      </c>
      <c r="P104" s="39" t="s">
        <v>2627</v>
      </c>
    </row>
    <row r="105" ht="45.0" customHeight="1">
      <c r="A105" s="37" t="s">
        <v>496</v>
      </c>
      <c r="B105" s="47" t="str">
        <f>IMAGE("https://raw.githubusercontent.com/ltdimages/images/refs/heads/main/Treasure_CrownCap.png")</f>
        <v/>
      </c>
      <c r="C105" s="39" t="s">
        <v>2628</v>
      </c>
      <c r="D105" s="39" t="s">
        <v>2316</v>
      </c>
      <c r="E105" s="39" t="s">
        <v>2574</v>
      </c>
      <c r="F105" s="48">
        <v>0.0</v>
      </c>
      <c r="G105" s="48">
        <v>0.1</v>
      </c>
      <c r="H105" s="39" t="s">
        <v>45</v>
      </c>
      <c r="I105" s="39" t="s">
        <v>2327</v>
      </c>
      <c r="J105" s="39" t="s">
        <v>49</v>
      </c>
      <c r="K105" s="39" t="s">
        <v>49</v>
      </c>
      <c r="L105" s="39" t="s">
        <v>49</v>
      </c>
      <c r="M105" s="39" t="s">
        <v>49</v>
      </c>
      <c r="N105" s="39" t="s">
        <v>49</v>
      </c>
      <c r="O105" s="39" t="s">
        <v>2629</v>
      </c>
      <c r="P105" s="39" t="s">
        <v>2630</v>
      </c>
    </row>
    <row r="106" ht="45.0" customHeight="1">
      <c r="A106" s="31" t="s">
        <v>500</v>
      </c>
      <c r="B106" s="49" t="str">
        <f>IMAGE("https://raw.githubusercontent.com/ltdimages/images/refs/heads/main/Treasure047.png")</f>
        <v/>
      </c>
      <c r="C106" s="43" t="s">
        <v>2631</v>
      </c>
      <c r="D106" s="43" t="s">
        <v>2316</v>
      </c>
      <c r="E106" s="43" t="s">
        <v>2574</v>
      </c>
      <c r="F106" s="50">
        <v>0.0</v>
      </c>
      <c r="G106" s="50">
        <v>40.0</v>
      </c>
      <c r="H106" s="43" t="s">
        <v>45</v>
      </c>
      <c r="I106" s="43" t="s">
        <v>48</v>
      </c>
      <c r="J106" s="43" t="s">
        <v>49</v>
      </c>
      <c r="K106" s="43" t="s">
        <v>49</v>
      </c>
      <c r="L106" s="43" t="s">
        <v>49</v>
      </c>
      <c r="M106" s="43" t="s">
        <v>49</v>
      </c>
      <c r="N106" s="43" t="s">
        <v>49</v>
      </c>
      <c r="O106" s="43" t="s">
        <v>2632</v>
      </c>
      <c r="P106" s="43" t="s">
        <v>2633</v>
      </c>
    </row>
    <row r="107" ht="45.0" customHeight="1">
      <c r="A107" s="37" t="s">
        <v>504</v>
      </c>
      <c r="B107" s="47" t="str">
        <f>IMAGE("https://raw.githubusercontent.com/ltdimages/images/refs/heads/main/Treasure_Tissue.png")</f>
        <v/>
      </c>
      <c r="C107" s="39" t="s">
        <v>2634</v>
      </c>
      <c r="D107" s="39" t="s">
        <v>2316</v>
      </c>
      <c r="E107" s="39" t="s">
        <v>2574</v>
      </c>
      <c r="F107" s="48">
        <v>0.0</v>
      </c>
      <c r="G107" s="48">
        <v>1.2</v>
      </c>
      <c r="H107" s="39" t="s">
        <v>45</v>
      </c>
      <c r="I107" s="39" t="s">
        <v>2002</v>
      </c>
      <c r="J107" s="39" t="s">
        <v>49</v>
      </c>
      <c r="K107" s="39" t="s">
        <v>49</v>
      </c>
      <c r="L107" s="39" t="s">
        <v>49</v>
      </c>
      <c r="M107" s="39" t="s">
        <v>49</v>
      </c>
      <c r="N107" s="39" t="s">
        <v>49</v>
      </c>
      <c r="O107" s="44" t="s">
        <v>2635</v>
      </c>
      <c r="P107" s="39" t="s">
        <v>2636</v>
      </c>
    </row>
    <row r="108" ht="45.0" customHeight="1">
      <c r="A108" s="37" t="s">
        <v>508</v>
      </c>
      <c r="B108" s="47" t="str">
        <f>IMAGE("https://raw.githubusercontent.com/ltdimages/images/refs/heads/main/Treasure012.png")</f>
        <v/>
      </c>
      <c r="C108" s="39" t="s">
        <v>2637</v>
      </c>
      <c r="D108" s="39" t="s">
        <v>2316</v>
      </c>
      <c r="E108" s="39" t="s">
        <v>2574</v>
      </c>
      <c r="F108" s="48">
        <v>0.0</v>
      </c>
      <c r="G108" s="48">
        <v>2.0</v>
      </c>
      <c r="H108" s="39" t="s">
        <v>45</v>
      </c>
      <c r="I108" s="39" t="s">
        <v>2327</v>
      </c>
      <c r="J108" s="39" t="s">
        <v>49</v>
      </c>
      <c r="K108" s="39" t="s">
        <v>49</v>
      </c>
      <c r="L108" s="39" t="s">
        <v>49</v>
      </c>
      <c r="M108" s="39" t="s">
        <v>49</v>
      </c>
      <c r="N108" s="39" t="s">
        <v>49</v>
      </c>
      <c r="O108" s="44" t="s">
        <v>2638</v>
      </c>
      <c r="P108" s="39" t="s">
        <v>2639</v>
      </c>
    </row>
    <row r="109" ht="45.0" customHeight="1">
      <c r="A109" s="37" t="s">
        <v>512</v>
      </c>
      <c r="B109" s="47" t="str">
        <f>IMAGE("https://raw.githubusercontent.com/ltdimages/images/refs/heads/main/Treasure_BaoshanDecoration.png")</f>
        <v/>
      </c>
      <c r="C109" s="39" t="s">
        <v>2640</v>
      </c>
      <c r="D109" s="39" t="s">
        <v>2316</v>
      </c>
      <c r="E109" s="39" t="s">
        <v>2574</v>
      </c>
      <c r="F109" s="48">
        <v>0.0</v>
      </c>
      <c r="G109" s="48">
        <v>33.0</v>
      </c>
      <c r="H109" s="39" t="s">
        <v>45</v>
      </c>
      <c r="I109" s="39" t="s">
        <v>2350</v>
      </c>
      <c r="J109" s="39" t="s">
        <v>45</v>
      </c>
      <c r="K109" s="39" t="s">
        <v>49</v>
      </c>
      <c r="L109" s="39" t="s">
        <v>49</v>
      </c>
      <c r="M109" s="39" t="s">
        <v>45</v>
      </c>
      <c r="N109" s="39" t="s">
        <v>45</v>
      </c>
      <c r="O109" s="44" t="s">
        <v>2641</v>
      </c>
      <c r="P109" s="39" t="s">
        <v>2642</v>
      </c>
    </row>
    <row r="110" ht="45.0" customHeight="1">
      <c r="A110" s="37" t="s">
        <v>516</v>
      </c>
      <c r="B110" s="47" t="str">
        <f>IMAGE("https://raw.githubusercontent.com/ltdimages/images/refs/heads/main/Treasure_CallBell.png")</f>
        <v/>
      </c>
      <c r="C110" s="39" t="s">
        <v>2643</v>
      </c>
      <c r="D110" s="39" t="s">
        <v>2316</v>
      </c>
      <c r="E110" s="39" t="s">
        <v>2574</v>
      </c>
      <c r="F110" s="48">
        <v>0.0</v>
      </c>
      <c r="G110" s="48">
        <v>5.0</v>
      </c>
      <c r="H110" s="39" t="s">
        <v>45</v>
      </c>
      <c r="I110" s="39" t="s">
        <v>2327</v>
      </c>
      <c r="J110" s="39" t="s">
        <v>49</v>
      </c>
      <c r="K110" s="39" t="s">
        <v>49</v>
      </c>
      <c r="L110" s="39" t="s">
        <v>49</v>
      </c>
      <c r="M110" s="39" t="s">
        <v>49</v>
      </c>
      <c r="N110" s="39" t="s">
        <v>49</v>
      </c>
      <c r="O110" s="44" t="s">
        <v>2644</v>
      </c>
      <c r="P110" s="39" t="s">
        <v>2645</v>
      </c>
    </row>
    <row r="111" ht="45.0" customHeight="1">
      <c r="A111" s="37" t="s">
        <v>521</v>
      </c>
      <c r="B111" s="47" t="str">
        <f>IMAGE("https://raw.githubusercontent.com/ltdimages/images/refs/heads/main/Treasure_Carnation.png")</f>
        <v/>
      </c>
      <c r="C111" s="39" t="s">
        <v>2646</v>
      </c>
      <c r="D111" s="39" t="s">
        <v>2316</v>
      </c>
      <c r="E111" s="39" t="s">
        <v>2574</v>
      </c>
      <c r="F111" s="48">
        <v>0.0</v>
      </c>
      <c r="G111" s="48">
        <v>10.0</v>
      </c>
      <c r="H111" s="39" t="s">
        <v>45</v>
      </c>
      <c r="I111" s="39" t="s">
        <v>48</v>
      </c>
      <c r="J111" s="39" t="s">
        <v>49</v>
      </c>
      <c r="K111" s="39" t="s">
        <v>49</v>
      </c>
      <c r="L111" s="39" t="s">
        <v>49</v>
      </c>
      <c r="M111" s="39" t="s">
        <v>49</v>
      </c>
      <c r="N111" s="39" t="s">
        <v>49</v>
      </c>
      <c r="O111" s="44" t="s">
        <v>2647</v>
      </c>
      <c r="P111" s="39" t="s">
        <v>2648</v>
      </c>
    </row>
    <row r="112" ht="45.0" customHeight="1">
      <c r="A112" s="37" t="s">
        <v>525</v>
      </c>
      <c r="B112" s="47" t="str">
        <f>IMAGE("https://raw.githubusercontent.com/ltdimages/images/refs/heads/main/Treasure_CeladonTeapot.png")</f>
        <v/>
      </c>
      <c r="C112" s="39" t="s">
        <v>2649</v>
      </c>
      <c r="D112" s="39" t="s">
        <v>2316</v>
      </c>
      <c r="E112" s="39" t="s">
        <v>2574</v>
      </c>
      <c r="F112" s="48">
        <v>0.0</v>
      </c>
      <c r="G112" s="48">
        <v>42.0</v>
      </c>
      <c r="H112" s="39" t="s">
        <v>45</v>
      </c>
      <c r="I112" s="39" t="s">
        <v>2002</v>
      </c>
      <c r="J112" s="39" t="s">
        <v>49</v>
      </c>
      <c r="K112" s="39" t="s">
        <v>49</v>
      </c>
      <c r="L112" s="39" t="s">
        <v>49</v>
      </c>
      <c r="M112" s="39" t="s">
        <v>49</v>
      </c>
      <c r="N112" s="39" t="s">
        <v>49</v>
      </c>
      <c r="O112" s="44" t="s">
        <v>2650</v>
      </c>
      <c r="P112" s="39" t="s">
        <v>2651</v>
      </c>
    </row>
    <row r="113" ht="45.0" customHeight="1">
      <c r="A113" s="37" t="s">
        <v>529</v>
      </c>
      <c r="B113" s="47" t="str">
        <f>IMAGE("https://raw.githubusercontent.com/ltdimages/images/refs/heads/main/Treasure_Autograph.png")</f>
        <v/>
      </c>
      <c r="C113" s="39" t="s">
        <v>2652</v>
      </c>
      <c r="D113" s="39" t="s">
        <v>2316</v>
      </c>
      <c r="E113" s="39" t="s">
        <v>2574</v>
      </c>
      <c r="F113" s="48">
        <v>0.0</v>
      </c>
      <c r="G113" s="48">
        <v>100.0</v>
      </c>
      <c r="H113" s="39" t="s">
        <v>45</v>
      </c>
      <c r="I113" s="39" t="s">
        <v>48</v>
      </c>
      <c r="J113" s="39" t="s">
        <v>49</v>
      </c>
      <c r="K113" s="39" t="s">
        <v>49</v>
      </c>
      <c r="L113" s="39" t="s">
        <v>49</v>
      </c>
      <c r="M113" s="39" t="s">
        <v>49</v>
      </c>
      <c r="N113" s="39" t="s">
        <v>49</v>
      </c>
      <c r="O113" s="44" t="s">
        <v>2653</v>
      </c>
      <c r="P113" s="39" t="s">
        <v>2654</v>
      </c>
    </row>
    <row r="114" ht="45.0" customHeight="1">
      <c r="A114" s="37" t="s">
        <v>533</v>
      </c>
      <c r="B114" s="47" t="str">
        <f>IMAGE("https://raw.githubusercontent.com/ltdimages/images/refs/heads/main/Treasure_ChessPieces.png")</f>
        <v/>
      </c>
      <c r="C114" s="39" t="s">
        <v>2655</v>
      </c>
      <c r="D114" s="39" t="s">
        <v>2316</v>
      </c>
      <c r="E114" s="39" t="s">
        <v>2574</v>
      </c>
      <c r="F114" s="48">
        <v>0.0</v>
      </c>
      <c r="G114" s="48">
        <v>3.0</v>
      </c>
      <c r="H114" s="39" t="s">
        <v>45</v>
      </c>
      <c r="I114" s="39" t="s">
        <v>48</v>
      </c>
      <c r="J114" s="39" t="s">
        <v>49</v>
      </c>
      <c r="K114" s="39" t="s">
        <v>49</v>
      </c>
      <c r="L114" s="39" t="s">
        <v>49</v>
      </c>
      <c r="M114" s="39" t="s">
        <v>49</v>
      </c>
      <c r="N114" s="39" t="s">
        <v>49</v>
      </c>
      <c r="O114" s="44" t="s">
        <v>2656</v>
      </c>
      <c r="P114" s="39" t="s">
        <v>2657</v>
      </c>
    </row>
    <row r="115" ht="45.0" customHeight="1">
      <c r="A115" s="37" t="s">
        <v>537</v>
      </c>
      <c r="B115" s="47" t="str">
        <f>IMAGE("https://raw.githubusercontent.com/ltdimages/images/refs/heads/main/Treasure_CicadaShell.png")</f>
        <v/>
      </c>
      <c r="C115" s="39" t="s">
        <v>2658</v>
      </c>
      <c r="D115" s="39" t="s">
        <v>2316</v>
      </c>
      <c r="E115" s="39" t="s">
        <v>2574</v>
      </c>
      <c r="F115" s="48">
        <v>0.0</v>
      </c>
      <c r="G115" s="48">
        <v>0.1</v>
      </c>
      <c r="H115" s="39" t="s">
        <v>45</v>
      </c>
      <c r="I115" s="39" t="s">
        <v>2327</v>
      </c>
      <c r="J115" s="39" t="s">
        <v>49</v>
      </c>
      <c r="K115" s="39" t="s">
        <v>49</v>
      </c>
      <c r="L115" s="39" t="s">
        <v>49</v>
      </c>
      <c r="M115" s="39" t="s">
        <v>49</v>
      </c>
      <c r="N115" s="39" t="s">
        <v>49</v>
      </c>
      <c r="O115" s="44" t="s">
        <v>2659</v>
      </c>
      <c r="P115" s="39" t="s">
        <v>2660</v>
      </c>
    </row>
    <row r="116" ht="45.0" customHeight="1">
      <c r="A116" s="37" t="s">
        <v>541</v>
      </c>
      <c r="B116" s="47" t="str">
        <f>IMAGE("https://raw.githubusercontent.com/ltdimages/images/refs/heads/main/Treasure_ElectronicSubstrate.png")</f>
        <v/>
      </c>
      <c r="C116" s="39" t="s">
        <v>2661</v>
      </c>
      <c r="D116" s="39" t="s">
        <v>2316</v>
      </c>
      <c r="E116" s="39" t="s">
        <v>2574</v>
      </c>
      <c r="F116" s="48">
        <v>0.0</v>
      </c>
      <c r="G116" s="48">
        <v>5.0</v>
      </c>
      <c r="H116" s="39" t="s">
        <v>45</v>
      </c>
      <c r="I116" s="39" t="s">
        <v>48</v>
      </c>
      <c r="J116" s="39" t="s">
        <v>49</v>
      </c>
      <c r="K116" s="39" t="s">
        <v>49</v>
      </c>
      <c r="L116" s="39" t="s">
        <v>49</v>
      </c>
      <c r="M116" s="39" t="s">
        <v>49</v>
      </c>
      <c r="N116" s="39" t="s">
        <v>49</v>
      </c>
      <c r="O116" s="44" t="s">
        <v>2662</v>
      </c>
      <c r="P116" s="39" t="s">
        <v>2663</v>
      </c>
    </row>
    <row r="117" ht="45.0" customHeight="1">
      <c r="A117" s="37" t="s">
        <v>546</v>
      </c>
      <c r="B117" s="47" t="str">
        <f>IMAGE("https://raw.githubusercontent.com/ltdimages/images/refs/heads/main/Treasure052.png")</f>
        <v/>
      </c>
      <c r="C117" s="39" t="s">
        <v>2664</v>
      </c>
      <c r="D117" s="39" t="s">
        <v>2316</v>
      </c>
      <c r="E117" s="39" t="s">
        <v>2574</v>
      </c>
      <c r="F117" s="48">
        <v>0.0</v>
      </c>
      <c r="G117" s="48">
        <v>82.8</v>
      </c>
      <c r="H117" s="39" t="s">
        <v>45</v>
      </c>
      <c r="I117" s="39" t="s">
        <v>2350</v>
      </c>
      <c r="J117" s="39" t="s">
        <v>45</v>
      </c>
      <c r="K117" s="39" t="s">
        <v>49</v>
      </c>
      <c r="L117" s="39" t="s">
        <v>49</v>
      </c>
      <c r="M117" s="39" t="s">
        <v>49</v>
      </c>
      <c r="N117" s="39" t="s">
        <v>45</v>
      </c>
      <c r="O117" s="44" t="s">
        <v>2665</v>
      </c>
      <c r="P117" s="39" t="s">
        <v>2666</v>
      </c>
    </row>
    <row r="118" ht="45.0" customHeight="1">
      <c r="A118" s="37" t="s">
        <v>550</v>
      </c>
      <c r="B118" s="47" t="str">
        <f>IMAGE("https://raw.githubusercontent.com/ltdimages/images/refs/heads/main/Treasure_CoconutBowl.png")</f>
        <v/>
      </c>
      <c r="C118" s="39" t="s">
        <v>2667</v>
      </c>
      <c r="D118" s="39" t="s">
        <v>2316</v>
      </c>
      <c r="E118" s="39" t="s">
        <v>2574</v>
      </c>
      <c r="F118" s="48">
        <v>0.0</v>
      </c>
      <c r="G118" s="48">
        <v>18.9</v>
      </c>
      <c r="H118" s="39" t="s">
        <v>45</v>
      </c>
      <c r="I118" s="39" t="s">
        <v>2002</v>
      </c>
      <c r="J118" s="39" t="s">
        <v>49</v>
      </c>
      <c r="K118" s="39" t="s">
        <v>49</v>
      </c>
      <c r="L118" s="39" t="s">
        <v>49</v>
      </c>
      <c r="M118" s="39" t="s">
        <v>49</v>
      </c>
      <c r="N118" s="39" t="s">
        <v>49</v>
      </c>
      <c r="O118" s="44" t="s">
        <v>2668</v>
      </c>
      <c r="P118" s="39" t="s">
        <v>2669</v>
      </c>
    </row>
    <row r="119" ht="45.0" customHeight="1">
      <c r="A119" s="37" t="s">
        <v>555</v>
      </c>
      <c r="B119" s="47" t="str">
        <f>IMAGE("https://raw.githubusercontent.com/ltdimages/images/refs/heads/main/Treasure_ColorfulBasket.png")</f>
        <v/>
      </c>
      <c r="C119" s="39" t="s">
        <v>2670</v>
      </c>
      <c r="D119" s="39" t="s">
        <v>2316</v>
      </c>
      <c r="E119" s="39" t="s">
        <v>2574</v>
      </c>
      <c r="F119" s="48">
        <v>0.0</v>
      </c>
      <c r="G119" s="48">
        <v>33.0</v>
      </c>
      <c r="H119" s="39" t="s">
        <v>45</v>
      </c>
      <c r="I119" s="39" t="s">
        <v>2002</v>
      </c>
      <c r="J119" s="39" t="s">
        <v>49</v>
      </c>
      <c r="K119" s="39" t="s">
        <v>49</v>
      </c>
      <c r="L119" s="39" t="s">
        <v>49</v>
      </c>
      <c r="M119" s="39" t="s">
        <v>49</v>
      </c>
      <c r="N119" s="39" t="s">
        <v>49</v>
      </c>
      <c r="O119" s="44" t="s">
        <v>2671</v>
      </c>
      <c r="P119" s="39" t="s">
        <v>2672</v>
      </c>
    </row>
    <row r="120" ht="45.0" customHeight="1">
      <c r="A120" s="37" t="s">
        <v>559</v>
      </c>
      <c r="B120" s="47" t="str">
        <f>IMAGE("https://raw.githubusercontent.com/ltdimages/images/refs/heads/main/Treasure043.png")</f>
        <v/>
      </c>
      <c r="C120" s="39" t="s">
        <v>2673</v>
      </c>
      <c r="D120" s="39" t="s">
        <v>2316</v>
      </c>
      <c r="E120" s="39" t="s">
        <v>2574</v>
      </c>
      <c r="F120" s="48">
        <v>0.0</v>
      </c>
      <c r="G120" s="48">
        <v>5.3</v>
      </c>
      <c r="H120" s="39" t="s">
        <v>45</v>
      </c>
      <c r="I120" s="39" t="s">
        <v>48</v>
      </c>
      <c r="J120" s="39" t="s">
        <v>49</v>
      </c>
      <c r="K120" s="39" t="s">
        <v>49</v>
      </c>
      <c r="L120" s="39" t="s">
        <v>49</v>
      </c>
      <c r="M120" s="39" t="s">
        <v>49</v>
      </c>
      <c r="N120" s="39" t="s">
        <v>49</v>
      </c>
      <c r="O120" s="44" t="s">
        <v>2674</v>
      </c>
      <c r="P120" s="39" t="s">
        <v>2675</v>
      </c>
    </row>
    <row r="121" ht="45.0" customHeight="1">
      <c r="A121" s="37" t="s">
        <v>563</v>
      </c>
      <c r="B121" s="47" t="str">
        <f>IMAGE("https://raw.githubusercontent.com/ltdimages/images/refs/heads/main/Treasure064.png")</f>
        <v/>
      </c>
      <c r="C121" s="39" t="s">
        <v>2676</v>
      </c>
      <c r="D121" s="39" t="s">
        <v>2316</v>
      </c>
      <c r="E121" s="39" t="s">
        <v>2574</v>
      </c>
      <c r="F121" s="48">
        <v>0.0</v>
      </c>
      <c r="G121" s="48">
        <v>53.0</v>
      </c>
      <c r="H121" s="39" t="s">
        <v>45</v>
      </c>
      <c r="I121" s="39" t="s">
        <v>48</v>
      </c>
      <c r="J121" s="39" t="s">
        <v>49</v>
      </c>
      <c r="K121" s="39" t="s">
        <v>49</v>
      </c>
      <c r="L121" s="39" t="s">
        <v>49</v>
      </c>
      <c r="M121" s="39" t="s">
        <v>49</v>
      </c>
      <c r="N121" s="39" t="s">
        <v>49</v>
      </c>
      <c r="O121" s="44" t="s">
        <v>2677</v>
      </c>
      <c r="P121" s="39" t="s">
        <v>2678</v>
      </c>
    </row>
    <row r="122" ht="45.0" customHeight="1">
      <c r="A122" s="37" t="s">
        <v>567</v>
      </c>
      <c r="B122" s="47" t="str">
        <f>IMAGE("https://raw.githubusercontent.com/ltdimages/images/refs/heads/main/Treasure030.png")</f>
        <v/>
      </c>
      <c r="C122" s="39" t="s">
        <v>2679</v>
      </c>
      <c r="D122" s="39" t="s">
        <v>2316</v>
      </c>
      <c r="E122" s="39" t="s">
        <v>2574</v>
      </c>
      <c r="F122" s="48">
        <v>0.0</v>
      </c>
      <c r="G122" s="48">
        <v>60.0</v>
      </c>
      <c r="H122" s="39" t="s">
        <v>45</v>
      </c>
      <c r="I122" s="39" t="s">
        <v>2350</v>
      </c>
      <c r="J122" s="39" t="s">
        <v>49</v>
      </c>
      <c r="K122" s="39" t="s">
        <v>49</v>
      </c>
      <c r="L122" s="39" t="s">
        <v>49</v>
      </c>
      <c r="M122" s="39" t="s">
        <v>49</v>
      </c>
      <c r="N122" s="39" t="s">
        <v>49</v>
      </c>
      <c r="O122" s="44" t="s">
        <v>2680</v>
      </c>
      <c r="P122" s="39" t="s">
        <v>2681</v>
      </c>
    </row>
    <row r="123" ht="45.0" customHeight="1">
      <c r="A123" s="37" t="s">
        <v>571</v>
      </c>
      <c r="B123" s="47" t="str">
        <f>IMAGE("https://raw.githubusercontent.com/ltdimages/images/refs/heads/main/Treasure_CrystalBall.png")</f>
        <v/>
      </c>
      <c r="C123" s="39" t="s">
        <v>2682</v>
      </c>
      <c r="D123" s="39" t="s">
        <v>2316</v>
      </c>
      <c r="E123" s="39" t="s">
        <v>2574</v>
      </c>
      <c r="F123" s="48">
        <v>0.0</v>
      </c>
      <c r="G123" s="48">
        <v>75.5</v>
      </c>
      <c r="H123" s="39" t="s">
        <v>45</v>
      </c>
      <c r="I123" s="39" t="s">
        <v>48</v>
      </c>
      <c r="J123" s="39" t="s">
        <v>49</v>
      </c>
      <c r="K123" s="39" t="s">
        <v>49</v>
      </c>
      <c r="L123" s="39" t="s">
        <v>49</v>
      </c>
      <c r="M123" s="39" t="s">
        <v>49</v>
      </c>
      <c r="N123" s="39" t="s">
        <v>49</v>
      </c>
      <c r="O123" s="44" t="s">
        <v>2683</v>
      </c>
      <c r="P123" s="44" t="s">
        <v>2684</v>
      </c>
    </row>
    <row r="124" ht="45.0" customHeight="1">
      <c r="A124" s="37" t="s">
        <v>576</v>
      </c>
      <c r="B124" s="47" t="str">
        <f>IMAGE("https://raw.githubusercontent.com/ltdimages/images/refs/heads/main/Treasure092.png")</f>
        <v/>
      </c>
      <c r="C124" s="39" t="s">
        <v>2685</v>
      </c>
      <c r="D124" s="39" t="s">
        <v>2316</v>
      </c>
      <c r="E124" s="39" t="s">
        <v>2574</v>
      </c>
      <c r="F124" s="48">
        <v>0.0</v>
      </c>
      <c r="G124" s="48">
        <v>22.0</v>
      </c>
      <c r="H124" s="39" t="s">
        <v>45</v>
      </c>
      <c r="I124" s="39" t="s">
        <v>2350</v>
      </c>
      <c r="J124" s="39" t="s">
        <v>45</v>
      </c>
      <c r="K124" s="39" t="s">
        <v>49</v>
      </c>
      <c r="L124" s="39" t="s">
        <v>45</v>
      </c>
      <c r="M124" s="39" t="s">
        <v>49</v>
      </c>
      <c r="N124" s="39" t="s">
        <v>45</v>
      </c>
      <c r="O124" s="44" t="s">
        <v>2686</v>
      </c>
      <c r="P124" s="39" t="s">
        <v>2685</v>
      </c>
    </row>
    <row r="125" ht="45.0" customHeight="1">
      <c r="A125" s="37" t="s">
        <v>580</v>
      </c>
      <c r="B125" s="47" t="str">
        <f>IMAGE("https://raw.githubusercontent.com/ltdimages/images/refs/heads/main/Treasure069.png")</f>
        <v/>
      </c>
      <c r="C125" s="39" t="s">
        <v>2687</v>
      </c>
      <c r="D125" s="39" t="s">
        <v>2316</v>
      </c>
      <c r="E125" s="39" t="s">
        <v>2574</v>
      </c>
      <c r="F125" s="48">
        <v>0.0</v>
      </c>
      <c r="G125" s="48">
        <v>5.0</v>
      </c>
      <c r="H125" s="39" t="s">
        <v>45</v>
      </c>
      <c r="I125" s="39" t="s">
        <v>48</v>
      </c>
      <c r="J125" s="39" t="s">
        <v>45</v>
      </c>
      <c r="K125" s="39" t="s">
        <v>45</v>
      </c>
      <c r="L125" s="39" t="s">
        <v>45</v>
      </c>
      <c r="M125" s="39" t="s">
        <v>49</v>
      </c>
      <c r="N125" s="39" t="s">
        <v>45</v>
      </c>
      <c r="O125" s="44" t="s">
        <v>2688</v>
      </c>
      <c r="P125" s="39" t="s">
        <v>2689</v>
      </c>
    </row>
    <row r="126" ht="45.0" customHeight="1">
      <c r="A126" s="37" t="s">
        <v>584</v>
      </c>
      <c r="B126" s="47" t="str">
        <f>IMAGE("https://raw.githubusercontent.com/ltdimages/images/refs/heads/main/Treasure_Diamond.png")</f>
        <v/>
      </c>
      <c r="C126" s="39" t="s">
        <v>2690</v>
      </c>
      <c r="D126" s="39" t="s">
        <v>2316</v>
      </c>
      <c r="E126" s="39" t="s">
        <v>2574</v>
      </c>
      <c r="F126" s="48">
        <v>0.0</v>
      </c>
      <c r="G126" s="48">
        <v>500.0</v>
      </c>
      <c r="H126" s="39" t="s">
        <v>45</v>
      </c>
      <c r="I126" s="39" t="s">
        <v>2327</v>
      </c>
      <c r="J126" s="39" t="s">
        <v>49</v>
      </c>
      <c r="K126" s="39" t="s">
        <v>49</v>
      </c>
      <c r="L126" s="39" t="s">
        <v>49</v>
      </c>
      <c r="M126" s="39" t="s">
        <v>49</v>
      </c>
      <c r="N126" s="39" t="s">
        <v>49</v>
      </c>
      <c r="O126" s="44" t="s">
        <v>2691</v>
      </c>
      <c r="P126" s="39" t="s">
        <v>2692</v>
      </c>
    </row>
    <row r="127" ht="45.0" customHeight="1">
      <c r="A127" s="37" t="s">
        <v>588</v>
      </c>
      <c r="B127" s="47" t="str">
        <f>IMAGE("https://raw.githubusercontent.com/ltdimages/images/refs/heads/main/Treasure059.png")</f>
        <v/>
      </c>
      <c r="C127" s="39" t="s">
        <v>2693</v>
      </c>
      <c r="D127" s="39" t="s">
        <v>2316</v>
      </c>
      <c r="E127" s="39" t="s">
        <v>2574</v>
      </c>
      <c r="F127" s="48">
        <v>0.0</v>
      </c>
      <c r="G127" s="48">
        <v>1.0</v>
      </c>
      <c r="H127" s="39" t="s">
        <v>45</v>
      </c>
      <c r="I127" s="39" t="s">
        <v>2327</v>
      </c>
      <c r="J127" s="39" t="s">
        <v>49</v>
      </c>
      <c r="K127" s="39" t="s">
        <v>49</v>
      </c>
      <c r="L127" s="39" t="s">
        <v>49</v>
      </c>
      <c r="M127" s="39" t="s">
        <v>49</v>
      </c>
      <c r="N127" s="39" t="s">
        <v>49</v>
      </c>
      <c r="O127" s="44" t="s">
        <v>2694</v>
      </c>
      <c r="P127" s="39" t="s">
        <v>2695</v>
      </c>
    </row>
    <row r="128" ht="45.0" customHeight="1">
      <c r="A128" s="37" t="s">
        <v>593</v>
      </c>
      <c r="B128" s="47" t="str">
        <f>IMAGE("https://raw.githubusercontent.com/ltdimages/images/refs/heads/main/Treasure000.png")</f>
        <v/>
      </c>
      <c r="C128" s="39" t="s">
        <v>2696</v>
      </c>
      <c r="D128" s="39" t="s">
        <v>2316</v>
      </c>
      <c r="E128" s="39" t="s">
        <v>2574</v>
      </c>
      <c r="F128" s="48">
        <v>0.0</v>
      </c>
      <c r="G128" s="48">
        <v>1.0</v>
      </c>
      <c r="H128" s="39" t="s">
        <v>45</v>
      </c>
      <c r="I128" s="39" t="s">
        <v>48</v>
      </c>
      <c r="J128" s="39" t="s">
        <v>49</v>
      </c>
      <c r="K128" s="39" t="s">
        <v>49</v>
      </c>
      <c r="L128" s="39" t="s">
        <v>49</v>
      </c>
      <c r="M128" s="39" t="s">
        <v>49</v>
      </c>
      <c r="N128" s="39" t="s">
        <v>49</v>
      </c>
      <c r="O128" s="44" t="s">
        <v>2697</v>
      </c>
      <c r="P128" s="39" t="s">
        <v>2698</v>
      </c>
    </row>
    <row r="129" ht="45.0" customHeight="1">
      <c r="A129" s="37" t="s">
        <v>597</v>
      </c>
      <c r="B129" s="47" t="str">
        <f>IMAGE("https://raw.githubusercontent.com/ltdimages/images/refs/heads/main/Treasure102.png")</f>
        <v/>
      </c>
      <c r="C129" s="39" t="s">
        <v>2699</v>
      </c>
      <c r="D129" s="39" t="s">
        <v>2316</v>
      </c>
      <c r="E129" s="39" t="s">
        <v>2574</v>
      </c>
      <c r="F129" s="48">
        <v>0.0</v>
      </c>
      <c r="G129" s="48">
        <v>200.0</v>
      </c>
      <c r="H129" s="39" t="s">
        <v>45</v>
      </c>
      <c r="I129" s="39" t="s">
        <v>2350</v>
      </c>
      <c r="J129" s="39" t="s">
        <v>49</v>
      </c>
      <c r="K129" s="39" t="s">
        <v>49</v>
      </c>
      <c r="L129" s="39" t="s">
        <v>49</v>
      </c>
      <c r="M129" s="39" t="s">
        <v>49</v>
      </c>
      <c r="N129" s="39" t="s">
        <v>49</v>
      </c>
      <c r="O129" s="44" t="s">
        <v>2700</v>
      </c>
      <c r="P129" s="39" t="s">
        <v>2701</v>
      </c>
    </row>
    <row r="130" ht="45.0" customHeight="1">
      <c r="A130" s="37" t="s">
        <v>601</v>
      </c>
      <c r="B130" s="47" t="str">
        <f>IMAGE("https://raw.githubusercontent.com/ltdimages/images/refs/heads/main/Treasure_ClayFigure.png")</f>
        <v/>
      </c>
      <c r="C130" s="39" t="s">
        <v>2702</v>
      </c>
      <c r="D130" s="39" t="s">
        <v>2316</v>
      </c>
      <c r="E130" s="39" t="s">
        <v>2574</v>
      </c>
      <c r="F130" s="48">
        <v>0.0</v>
      </c>
      <c r="G130" s="48">
        <v>80.0</v>
      </c>
      <c r="H130" s="39" t="s">
        <v>45</v>
      </c>
      <c r="I130" s="39" t="s">
        <v>2350</v>
      </c>
      <c r="J130" s="39" t="s">
        <v>45</v>
      </c>
      <c r="K130" s="39" t="s">
        <v>45</v>
      </c>
      <c r="L130" s="39" t="s">
        <v>45</v>
      </c>
      <c r="M130" s="39" t="s">
        <v>49</v>
      </c>
      <c r="N130" s="39" t="s">
        <v>45</v>
      </c>
      <c r="O130" s="44" t="s">
        <v>2703</v>
      </c>
      <c r="P130" s="39" t="s">
        <v>2704</v>
      </c>
    </row>
    <row r="131" ht="45.0" customHeight="1">
      <c r="A131" s="37" t="s">
        <v>605</v>
      </c>
      <c r="B131" s="47" t="str">
        <f>IMAGE("https://raw.githubusercontent.com/ltdimages/images/refs/heads/main/Treasure135.png")</f>
        <v/>
      </c>
      <c r="C131" s="39" t="s">
        <v>2705</v>
      </c>
      <c r="D131" s="39" t="s">
        <v>2316</v>
      </c>
      <c r="E131" s="39" t="s">
        <v>2574</v>
      </c>
      <c r="F131" s="48">
        <v>0.0</v>
      </c>
      <c r="G131" s="48">
        <v>3.0</v>
      </c>
      <c r="H131" s="39" t="s">
        <v>45</v>
      </c>
      <c r="I131" s="39" t="s">
        <v>48</v>
      </c>
      <c r="J131" s="39" t="s">
        <v>49</v>
      </c>
      <c r="K131" s="39" t="s">
        <v>49</v>
      </c>
      <c r="L131" s="39" t="s">
        <v>49</v>
      </c>
      <c r="M131" s="39" t="s">
        <v>49</v>
      </c>
      <c r="N131" s="39" t="s">
        <v>49</v>
      </c>
      <c r="O131" s="44" t="s">
        <v>2706</v>
      </c>
      <c r="P131" s="39" t="s">
        <v>2707</v>
      </c>
    </row>
    <row r="132" ht="45.0" customHeight="1">
      <c r="A132" s="37" t="s">
        <v>609</v>
      </c>
      <c r="B132" s="47" t="str">
        <f>IMAGE("https://raw.githubusercontent.com/ltdimages/images/refs/heads/main/Treasure_EmbroideryWallHanging.png")</f>
        <v/>
      </c>
      <c r="C132" s="39" t="s">
        <v>2708</v>
      </c>
      <c r="D132" s="39" t="s">
        <v>2316</v>
      </c>
      <c r="E132" s="39" t="s">
        <v>2574</v>
      </c>
      <c r="F132" s="48">
        <v>0.0</v>
      </c>
      <c r="G132" s="48">
        <v>33.0</v>
      </c>
      <c r="H132" s="39" t="s">
        <v>45</v>
      </c>
      <c r="I132" s="39" t="s">
        <v>48</v>
      </c>
      <c r="J132" s="39" t="s">
        <v>49</v>
      </c>
      <c r="K132" s="39" t="s">
        <v>49</v>
      </c>
      <c r="L132" s="39" t="s">
        <v>49</v>
      </c>
      <c r="M132" s="39" t="s">
        <v>49</v>
      </c>
      <c r="N132" s="39" t="s">
        <v>49</v>
      </c>
      <c r="O132" s="44" t="s">
        <v>2709</v>
      </c>
      <c r="P132" s="39" t="s">
        <v>2710</v>
      </c>
    </row>
    <row r="133" ht="45.0" customHeight="1">
      <c r="A133" s="37" t="s">
        <v>613</v>
      </c>
      <c r="B133" s="47" t="str">
        <f>IMAGE("https://raw.githubusercontent.com/ltdimages/images/refs/heads/main/Treasure_EmbroideredHandkerchief.png")</f>
        <v/>
      </c>
      <c r="C133" s="39" t="s">
        <v>2711</v>
      </c>
      <c r="D133" s="39" t="s">
        <v>2316</v>
      </c>
      <c r="E133" s="39" t="s">
        <v>2574</v>
      </c>
      <c r="F133" s="48">
        <v>0.0</v>
      </c>
      <c r="G133" s="48">
        <v>26.0</v>
      </c>
      <c r="H133" s="39" t="s">
        <v>45</v>
      </c>
      <c r="I133" s="39" t="s">
        <v>2002</v>
      </c>
      <c r="J133" s="39" t="s">
        <v>49</v>
      </c>
      <c r="K133" s="39" t="s">
        <v>49</v>
      </c>
      <c r="L133" s="39" t="s">
        <v>49</v>
      </c>
      <c r="M133" s="39" t="s">
        <v>49</v>
      </c>
      <c r="N133" s="39" t="s">
        <v>49</v>
      </c>
      <c r="O133" s="44" t="s">
        <v>2712</v>
      </c>
      <c r="P133" s="39" t="s">
        <v>2713</v>
      </c>
    </row>
    <row r="134" ht="45.0" customHeight="1">
      <c r="A134" s="37" t="s">
        <v>617</v>
      </c>
      <c r="B134" s="47" t="str">
        <f>IMAGE("https://raw.githubusercontent.com/ltdimages/images/refs/heads/main/Treasure_EngagementRing.png")</f>
        <v/>
      </c>
      <c r="C134" s="39" t="s">
        <v>2714</v>
      </c>
      <c r="D134" s="39" t="s">
        <v>2316</v>
      </c>
      <c r="E134" s="39" t="s">
        <v>2574</v>
      </c>
      <c r="F134" s="48">
        <v>0.0</v>
      </c>
      <c r="G134" s="48">
        <v>500.0</v>
      </c>
      <c r="H134" s="39" t="s">
        <v>45</v>
      </c>
      <c r="I134" s="39" t="s">
        <v>2327</v>
      </c>
      <c r="J134" s="39" t="s">
        <v>49</v>
      </c>
      <c r="K134" s="39" t="s">
        <v>49</v>
      </c>
      <c r="L134" s="39" t="s">
        <v>49</v>
      </c>
      <c r="M134" s="39" t="s">
        <v>49</v>
      </c>
      <c r="N134" s="39" t="s">
        <v>49</v>
      </c>
      <c r="O134" s="44" t="s">
        <v>2715</v>
      </c>
      <c r="P134" s="39" t="s">
        <v>2716</v>
      </c>
    </row>
    <row r="135" ht="45.0" customHeight="1">
      <c r="A135" s="37" t="s">
        <v>622</v>
      </c>
      <c r="B135" s="47" t="str">
        <f>IMAGE("https://raw.githubusercontent.com/ltdimages/images/refs/heads/main/Treasure_ExpensivePot.png")</f>
        <v/>
      </c>
      <c r="C135" s="39" t="s">
        <v>2717</v>
      </c>
      <c r="D135" s="39" t="s">
        <v>2316</v>
      </c>
      <c r="E135" s="39" t="s">
        <v>2574</v>
      </c>
      <c r="F135" s="48">
        <v>0.0</v>
      </c>
      <c r="G135" s="48">
        <v>400.0</v>
      </c>
      <c r="H135" s="39" t="s">
        <v>45</v>
      </c>
      <c r="I135" s="39" t="s">
        <v>2350</v>
      </c>
      <c r="J135" s="39" t="s">
        <v>49</v>
      </c>
      <c r="K135" s="39" t="s">
        <v>49</v>
      </c>
      <c r="L135" s="39" t="s">
        <v>49</v>
      </c>
      <c r="M135" s="39" t="s">
        <v>49</v>
      </c>
      <c r="N135" s="39" t="s">
        <v>49</v>
      </c>
      <c r="O135" s="44" t="s">
        <v>2718</v>
      </c>
      <c r="P135" s="39" t="s">
        <v>2719</v>
      </c>
    </row>
    <row r="136" ht="45.0" customHeight="1">
      <c r="A136" s="37" t="s">
        <v>626</v>
      </c>
      <c r="B136" s="47" t="str">
        <f>IMAGE("https://raw.githubusercontent.com/ltdimages/images/refs/heads/main/Treasure_FamousMountainCalendar.png")</f>
        <v/>
      </c>
      <c r="C136" s="39" t="s">
        <v>2720</v>
      </c>
      <c r="D136" s="39" t="s">
        <v>2316</v>
      </c>
      <c r="E136" s="39" t="s">
        <v>2574</v>
      </c>
      <c r="F136" s="48">
        <v>0.0</v>
      </c>
      <c r="G136" s="48">
        <v>34.0</v>
      </c>
      <c r="H136" s="39" t="s">
        <v>45</v>
      </c>
      <c r="I136" s="39" t="s">
        <v>2002</v>
      </c>
      <c r="J136" s="39" t="s">
        <v>49</v>
      </c>
      <c r="K136" s="39" t="s">
        <v>49</v>
      </c>
      <c r="L136" s="39" t="s">
        <v>49</v>
      </c>
      <c r="M136" s="39" t="s">
        <v>49</v>
      </c>
      <c r="N136" s="39" t="s">
        <v>49</v>
      </c>
      <c r="O136" s="44" t="s">
        <v>2721</v>
      </c>
      <c r="P136" s="39" t="s">
        <v>2722</v>
      </c>
    </row>
    <row r="137" ht="45.0" customHeight="1">
      <c r="A137" s="31" t="s">
        <v>630</v>
      </c>
      <c r="B137" s="49" t="str">
        <f>IMAGE("https://raw.githubusercontent.com/ltdimages/images/refs/heads/main/Treasure010.png")</f>
        <v/>
      </c>
      <c r="C137" s="43" t="s">
        <v>2723</v>
      </c>
      <c r="D137" s="43" t="s">
        <v>2316</v>
      </c>
      <c r="E137" s="43" t="s">
        <v>2574</v>
      </c>
      <c r="F137" s="50">
        <v>0.0</v>
      </c>
      <c r="G137" s="50">
        <v>4.0</v>
      </c>
      <c r="H137" s="43" t="s">
        <v>45</v>
      </c>
      <c r="I137" s="43" t="s">
        <v>2002</v>
      </c>
      <c r="J137" s="43" t="s">
        <v>49</v>
      </c>
      <c r="K137" s="43" t="s">
        <v>49</v>
      </c>
      <c r="L137" s="43" t="s">
        <v>49</v>
      </c>
      <c r="M137" s="43" t="s">
        <v>49</v>
      </c>
      <c r="N137" s="43" t="s">
        <v>49</v>
      </c>
      <c r="O137" s="43" t="s">
        <v>2724</v>
      </c>
      <c r="P137" s="43" t="s">
        <v>2725</v>
      </c>
    </row>
    <row r="138" ht="45.0" customHeight="1">
      <c r="A138" s="37" t="s">
        <v>634</v>
      </c>
      <c r="B138" s="47" t="str">
        <f>IMAGE("https://raw.githubusercontent.com/ltdimages/images/refs/heads/main/Treasure_Lure.png")</f>
        <v/>
      </c>
      <c r="C138" s="39" t="s">
        <v>2726</v>
      </c>
      <c r="D138" s="39" t="s">
        <v>2316</v>
      </c>
      <c r="E138" s="39" t="s">
        <v>2574</v>
      </c>
      <c r="F138" s="48">
        <v>0.0</v>
      </c>
      <c r="G138" s="48">
        <v>35.0</v>
      </c>
      <c r="H138" s="39" t="s">
        <v>45</v>
      </c>
      <c r="I138" s="39" t="s">
        <v>2327</v>
      </c>
      <c r="J138" s="39" t="s">
        <v>49</v>
      </c>
      <c r="K138" s="39" t="s">
        <v>49</v>
      </c>
      <c r="L138" s="39" t="s">
        <v>49</v>
      </c>
      <c r="M138" s="39" t="s">
        <v>49</v>
      </c>
      <c r="N138" s="39" t="s">
        <v>49</v>
      </c>
      <c r="O138" s="44" t="s">
        <v>2727</v>
      </c>
      <c r="P138" s="44" t="s">
        <v>2728</v>
      </c>
    </row>
    <row r="139" ht="45.0" customHeight="1">
      <c r="A139" s="37" t="s">
        <v>638</v>
      </c>
      <c r="B139" s="47" t="str">
        <f>IMAGE("https://raw.githubusercontent.com/ltdimages/images/refs/heads/main/Treasure_Floppy.png")</f>
        <v/>
      </c>
      <c r="C139" s="39" t="s">
        <v>2729</v>
      </c>
      <c r="D139" s="39" t="s">
        <v>2316</v>
      </c>
      <c r="E139" s="39" t="s">
        <v>2574</v>
      </c>
      <c r="F139" s="48">
        <v>0.0</v>
      </c>
      <c r="G139" s="48">
        <v>20.0</v>
      </c>
      <c r="H139" s="39" t="s">
        <v>45</v>
      </c>
      <c r="I139" s="39" t="s">
        <v>48</v>
      </c>
      <c r="J139" s="39" t="s">
        <v>49</v>
      </c>
      <c r="K139" s="39" t="s">
        <v>49</v>
      </c>
      <c r="L139" s="39" t="s">
        <v>49</v>
      </c>
      <c r="M139" s="39" t="s">
        <v>49</v>
      </c>
      <c r="N139" s="39" t="s">
        <v>49</v>
      </c>
      <c r="O139" s="44" t="s">
        <v>2730</v>
      </c>
      <c r="P139" s="39" t="s">
        <v>2731</v>
      </c>
    </row>
    <row r="140" ht="45.0" customHeight="1">
      <c r="A140" s="37" t="s">
        <v>643</v>
      </c>
      <c r="B140" s="47" t="str">
        <f>IMAGE("https://raw.githubusercontent.com/ltdimages/images/refs/heads/main/Treasure_FlySwatter.png")</f>
        <v/>
      </c>
      <c r="C140" s="39" t="s">
        <v>2732</v>
      </c>
      <c r="D140" s="39" t="s">
        <v>2316</v>
      </c>
      <c r="E140" s="39" t="s">
        <v>2574</v>
      </c>
      <c r="F140" s="48">
        <v>0.0</v>
      </c>
      <c r="G140" s="48">
        <v>7.2</v>
      </c>
      <c r="H140" s="39" t="s">
        <v>45</v>
      </c>
      <c r="I140" s="39" t="s">
        <v>2350</v>
      </c>
      <c r="J140" s="39" t="s">
        <v>49</v>
      </c>
      <c r="K140" s="39" t="s">
        <v>49</v>
      </c>
      <c r="L140" s="39" t="s">
        <v>49</v>
      </c>
      <c r="M140" s="39" t="s">
        <v>49</v>
      </c>
      <c r="N140" s="39" t="s">
        <v>49</v>
      </c>
      <c r="O140" s="44" t="s">
        <v>2733</v>
      </c>
      <c r="P140" s="39" t="s">
        <v>2734</v>
      </c>
    </row>
    <row r="141" ht="45.0" customHeight="1">
      <c r="A141" s="37" t="s">
        <v>647</v>
      </c>
      <c r="B141" s="47" t="str">
        <f>IMAGE("https://raw.githubusercontent.com/ltdimages/images/refs/heads/main/Treasure016.png")</f>
        <v/>
      </c>
      <c r="C141" s="39" t="s">
        <v>2735</v>
      </c>
      <c r="D141" s="39" t="s">
        <v>2316</v>
      </c>
      <c r="E141" s="39" t="s">
        <v>2574</v>
      </c>
      <c r="F141" s="48">
        <v>0.0</v>
      </c>
      <c r="G141" s="48">
        <v>10.0</v>
      </c>
      <c r="H141" s="39" t="s">
        <v>45</v>
      </c>
      <c r="I141" s="39" t="s">
        <v>2327</v>
      </c>
      <c r="J141" s="39" t="s">
        <v>49</v>
      </c>
      <c r="K141" s="39" t="s">
        <v>49</v>
      </c>
      <c r="L141" s="39" t="s">
        <v>49</v>
      </c>
      <c r="M141" s="39" t="s">
        <v>49</v>
      </c>
      <c r="N141" s="39" t="s">
        <v>49</v>
      </c>
      <c r="O141" s="44" t="s">
        <v>2736</v>
      </c>
      <c r="P141" s="39" t="s">
        <v>2737</v>
      </c>
    </row>
    <row r="142" ht="45.0" customHeight="1">
      <c r="A142" s="37" t="s">
        <v>652</v>
      </c>
      <c r="B142" s="47" t="str">
        <f>IMAGE("https://raw.githubusercontent.com/ltdimages/images/refs/heads/main/Treasure_Nekojarashi.png")</f>
        <v/>
      </c>
      <c r="C142" s="39" t="s">
        <v>2738</v>
      </c>
      <c r="D142" s="39" t="s">
        <v>2316</v>
      </c>
      <c r="E142" s="39" t="s">
        <v>2574</v>
      </c>
      <c r="F142" s="48">
        <v>0.0</v>
      </c>
      <c r="G142" s="48">
        <v>0.2</v>
      </c>
      <c r="H142" s="39" t="s">
        <v>45</v>
      </c>
      <c r="I142" s="39" t="s">
        <v>2327</v>
      </c>
      <c r="J142" s="39" t="s">
        <v>49</v>
      </c>
      <c r="K142" s="39" t="s">
        <v>49</v>
      </c>
      <c r="L142" s="39" t="s">
        <v>49</v>
      </c>
      <c r="M142" s="39" t="s">
        <v>49</v>
      </c>
      <c r="N142" s="39" t="s">
        <v>49</v>
      </c>
      <c r="O142" s="44" t="s">
        <v>2739</v>
      </c>
      <c r="P142" s="39" t="s">
        <v>2740</v>
      </c>
    </row>
    <row r="143" ht="45.0" customHeight="1">
      <c r="A143" s="37" t="s">
        <v>656</v>
      </c>
      <c r="B143" s="47" t="str">
        <f>IMAGE("https://raw.githubusercontent.com/ltdimages/images/refs/heads/main/Treasure_GearParts.png")</f>
        <v/>
      </c>
      <c r="C143" s="39" t="s">
        <v>2741</v>
      </c>
      <c r="D143" s="39" t="s">
        <v>2316</v>
      </c>
      <c r="E143" s="39" t="s">
        <v>2574</v>
      </c>
      <c r="F143" s="48">
        <v>0.0</v>
      </c>
      <c r="G143" s="48">
        <v>19.0</v>
      </c>
      <c r="H143" s="39" t="s">
        <v>45</v>
      </c>
      <c r="I143" s="39" t="s">
        <v>48</v>
      </c>
      <c r="J143" s="39" t="s">
        <v>49</v>
      </c>
      <c r="K143" s="39" t="s">
        <v>49</v>
      </c>
      <c r="L143" s="39" t="s">
        <v>49</v>
      </c>
      <c r="M143" s="39" t="s">
        <v>49</v>
      </c>
      <c r="N143" s="39" t="s">
        <v>49</v>
      </c>
      <c r="O143" s="44" t="s">
        <v>2742</v>
      </c>
      <c r="P143" s="39" t="s">
        <v>2743</v>
      </c>
    </row>
    <row r="144" ht="45.0" customHeight="1">
      <c r="A144" s="37" t="s">
        <v>662</v>
      </c>
      <c r="B144" s="47" t="str">
        <f>IMAGE("https://raw.githubusercontent.com/ltdimages/images/refs/heads/main/Treasure_GlassZaiku.png")</f>
        <v/>
      </c>
      <c r="C144" s="39" t="s">
        <v>2744</v>
      </c>
      <c r="D144" s="39" t="s">
        <v>2316</v>
      </c>
      <c r="E144" s="39" t="s">
        <v>2574</v>
      </c>
      <c r="F144" s="48">
        <v>0.0</v>
      </c>
      <c r="G144" s="48">
        <v>50.0</v>
      </c>
      <c r="H144" s="39" t="s">
        <v>45</v>
      </c>
      <c r="I144" s="39" t="s">
        <v>2327</v>
      </c>
      <c r="J144" s="39" t="s">
        <v>49</v>
      </c>
      <c r="K144" s="39" t="s">
        <v>49</v>
      </c>
      <c r="L144" s="39" t="s">
        <v>49</v>
      </c>
      <c r="M144" s="39" t="s">
        <v>49</v>
      </c>
      <c r="N144" s="39" t="s">
        <v>49</v>
      </c>
      <c r="O144" s="44" t="s">
        <v>2745</v>
      </c>
      <c r="P144" s="39" t="s">
        <v>2746</v>
      </c>
    </row>
    <row r="145" ht="45.0" customHeight="1">
      <c r="A145" s="37" t="s">
        <v>667</v>
      </c>
      <c r="B145" s="47" t="str">
        <f>IMAGE("https://raw.githubusercontent.com/ltdimages/images/refs/heads/main/Treasure180.png")</f>
        <v/>
      </c>
      <c r="C145" s="39" t="s">
        <v>2747</v>
      </c>
      <c r="D145" s="39" t="s">
        <v>2316</v>
      </c>
      <c r="E145" s="39" t="s">
        <v>2574</v>
      </c>
      <c r="F145" s="48">
        <v>0.0</v>
      </c>
      <c r="G145" s="48">
        <v>34.0</v>
      </c>
      <c r="H145" s="39" t="s">
        <v>45</v>
      </c>
      <c r="I145" s="39" t="s">
        <v>2002</v>
      </c>
      <c r="J145" s="39" t="s">
        <v>49</v>
      </c>
      <c r="K145" s="39" t="s">
        <v>49</v>
      </c>
      <c r="L145" s="39" t="s">
        <v>49</v>
      </c>
      <c r="M145" s="39" t="s">
        <v>49</v>
      </c>
      <c r="N145" s="39" t="s">
        <v>49</v>
      </c>
      <c r="O145" s="44" t="s">
        <v>2748</v>
      </c>
      <c r="P145" s="39" t="s">
        <v>2749</v>
      </c>
    </row>
    <row r="146" ht="45.0" customHeight="1">
      <c r="A146" s="37" t="s">
        <v>671</v>
      </c>
      <c r="B146" s="47" t="str">
        <f>IMAGE("https://raw.githubusercontent.com/ltdimages/images/refs/heads/main/Treasure_GoldBar.png")</f>
        <v/>
      </c>
      <c r="C146" s="39" t="s">
        <v>2750</v>
      </c>
      <c r="D146" s="39" t="s">
        <v>2316</v>
      </c>
      <c r="E146" s="39" t="s">
        <v>2574</v>
      </c>
      <c r="F146" s="48">
        <v>0.0</v>
      </c>
      <c r="G146" s="48">
        <v>1000.0</v>
      </c>
      <c r="H146" s="39" t="s">
        <v>45</v>
      </c>
      <c r="I146" s="39" t="s">
        <v>48</v>
      </c>
      <c r="J146" s="39" t="s">
        <v>49</v>
      </c>
      <c r="K146" s="39" t="s">
        <v>49</v>
      </c>
      <c r="L146" s="39" t="s">
        <v>49</v>
      </c>
      <c r="M146" s="39" t="s">
        <v>49</v>
      </c>
      <c r="N146" s="39" t="s">
        <v>49</v>
      </c>
      <c r="O146" s="44" t="s">
        <v>2751</v>
      </c>
      <c r="P146" s="39" t="s">
        <v>2752</v>
      </c>
    </row>
    <row r="147" ht="45.0" customHeight="1">
      <c r="A147" s="37" t="s">
        <v>675</v>
      </c>
      <c r="B147" s="47" t="str">
        <f>IMAGE("https://raw.githubusercontent.com/ltdimages/images/refs/heads/main/Treasure_HandMirror.png")</f>
        <v/>
      </c>
      <c r="C147" s="39" t="s">
        <v>2753</v>
      </c>
      <c r="D147" s="39" t="s">
        <v>2316</v>
      </c>
      <c r="E147" s="39" t="s">
        <v>2574</v>
      </c>
      <c r="F147" s="48">
        <v>0.0</v>
      </c>
      <c r="G147" s="48">
        <v>17.0</v>
      </c>
      <c r="H147" s="39" t="s">
        <v>45</v>
      </c>
      <c r="I147" s="39" t="s">
        <v>2002</v>
      </c>
      <c r="J147" s="39" t="s">
        <v>49</v>
      </c>
      <c r="K147" s="39" t="s">
        <v>49</v>
      </c>
      <c r="L147" s="39" t="s">
        <v>49</v>
      </c>
      <c r="M147" s="39" t="s">
        <v>49</v>
      </c>
      <c r="N147" s="39" t="s">
        <v>49</v>
      </c>
      <c r="O147" s="44" t="s">
        <v>2754</v>
      </c>
      <c r="P147" s="39" t="s">
        <v>2755</v>
      </c>
    </row>
    <row r="148" ht="45.0" customHeight="1">
      <c r="A148" s="37" t="s">
        <v>679</v>
      </c>
      <c r="B148" s="47" t="str">
        <f>IMAGE("https://raw.githubusercontent.com/ltdimages/images/refs/heads/main/Treasure124.png")</f>
        <v/>
      </c>
      <c r="C148" s="39" t="s">
        <v>2756</v>
      </c>
      <c r="D148" s="39" t="s">
        <v>2316</v>
      </c>
      <c r="E148" s="39" t="s">
        <v>2574</v>
      </c>
      <c r="F148" s="48">
        <v>0.0</v>
      </c>
      <c r="G148" s="48">
        <v>23.0</v>
      </c>
      <c r="H148" s="39" t="s">
        <v>45</v>
      </c>
      <c r="I148" s="39" t="s">
        <v>2002</v>
      </c>
      <c r="J148" s="39" t="s">
        <v>49</v>
      </c>
      <c r="K148" s="39" t="s">
        <v>49</v>
      </c>
      <c r="L148" s="39" t="s">
        <v>49</v>
      </c>
      <c r="M148" s="39" t="s">
        <v>49</v>
      </c>
      <c r="N148" s="39" t="s">
        <v>49</v>
      </c>
      <c r="O148" s="44" t="s">
        <v>2757</v>
      </c>
      <c r="P148" s="39" t="s">
        <v>2758</v>
      </c>
    </row>
    <row r="149" ht="45.0" customHeight="1">
      <c r="A149" s="37" t="s">
        <v>683</v>
      </c>
      <c r="B149" s="47" t="str">
        <f>IMAGE("https://raw.githubusercontent.com/ltdimages/images/refs/heads/main/Treasure162.png")</f>
        <v/>
      </c>
      <c r="C149" s="39" t="s">
        <v>2759</v>
      </c>
      <c r="D149" s="39" t="s">
        <v>2316</v>
      </c>
      <c r="E149" s="39" t="s">
        <v>2574</v>
      </c>
      <c r="F149" s="48">
        <v>0.0</v>
      </c>
      <c r="G149" s="48">
        <v>67.0</v>
      </c>
      <c r="H149" s="39" t="s">
        <v>45</v>
      </c>
      <c r="I149" s="39" t="s">
        <v>2350</v>
      </c>
      <c r="J149" s="39" t="s">
        <v>49</v>
      </c>
      <c r="K149" s="39" t="s">
        <v>49</v>
      </c>
      <c r="L149" s="39" t="s">
        <v>49</v>
      </c>
      <c r="M149" s="39" t="s">
        <v>49</v>
      </c>
      <c r="N149" s="39" t="s">
        <v>49</v>
      </c>
      <c r="O149" s="44" t="s">
        <v>2760</v>
      </c>
      <c r="P149" s="39" t="s">
        <v>2761</v>
      </c>
    </row>
    <row r="150" ht="45.0" customHeight="1">
      <c r="A150" s="37" t="s">
        <v>687</v>
      </c>
      <c r="B150" s="47" t="str">
        <f>IMAGE("https://raw.githubusercontent.com/ltdimages/images/refs/heads/main/Treasure027.png")</f>
        <v/>
      </c>
      <c r="C150" s="39" t="s">
        <v>2762</v>
      </c>
      <c r="D150" s="39" t="s">
        <v>2316</v>
      </c>
      <c r="E150" s="39" t="s">
        <v>2574</v>
      </c>
      <c r="F150" s="48">
        <v>0.0</v>
      </c>
      <c r="G150" s="48">
        <v>3.2</v>
      </c>
      <c r="H150" s="39" t="s">
        <v>45</v>
      </c>
      <c r="I150" s="39" t="s">
        <v>2002</v>
      </c>
      <c r="J150" s="39" t="s">
        <v>49</v>
      </c>
      <c r="K150" s="39" t="s">
        <v>49</v>
      </c>
      <c r="L150" s="39" t="s">
        <v>49</v>
      </c>
      <c r="M150" s="39" t="s">
        <v>49</v>
      </c>
      <c r="N150" s="39" t="s">
        <v>49</v>
      </c>
      <c r="O150" s="44" t="s">
        <v>2763</v>
      </c>
      <c r="P150" s="39" t="s">
        <v>2764</v>
      </c>
    </row>
    <row r="151" ht="45.0" customHeight="1">
      <c r="A151" s="37" t="s">
        <v>691</v>
      </c>
      <c r="B151" s="47" t="str">
        <f>IMAGE("https://raw.githubusercontent.com/ltdimages/images/refs/heads/main/Treasure_IncenseBurner.png")</f>
        <v/>
      </c>
      <c r="C151" s="39" t="s">
        <v>2765</v>
      </c>
      <c r="D151" s="39" t="s">
        <v>2316</v>
      </c>
      <c r="E151" s="39" t="s">
        <v>2574</v>
      </c>
      <c r="F151" s="48">
        <v>0.0</v>
      </c>
      <c r="G151" s="48">
        <v>40.0</v>
      </c>
      <c r="H151" s="39" t="s">
        <v>45</v>
      </c>
      <c r="I151" s="39" t="s">
        <v>48</v>
      </c>
      <c r="J151" s="39" t="s">
        <v>45</v>
      </c>
      <c r="K151" s="39" t="s">
        <v>49</v>
      </c>
      <c r="L151" s="39" t="s">
        <v>49</v>
      </c>
      <c r="M151" s="39" t="s">
        <v>49</v>
      </c>
      <c r="N151" s="39" t="s">
        <v>45</v>
      </c>
      <c r="O151" s="44" t="s">
        <v>2766</v>
      </c>
      <c r="P151" s="39" t="s">
        <v>2767</v>
      </c>
    </row>
    <row r="152" ht="45.0" customHeight="1">
      <c r="A152" s="37" t="s">
        <v>695</v>
      </c>
      <c r="B152" s="47" t="str">
        <f>IMAGE("https://raw.githubusercontent.com/ltdimages/images/refs/heads/main/Treasure_InsectSpecimen.png")</f>
        <v/>
      </c>
      <c r="C152" s="39" t="s">
        <v>2768</v>
      </c>
      <c r="D152" s="39" t="s">
        <v>2316</v>
      </c>
      <c r="E152" s="39" t="s">
        <v>2574</v>
      </c>
      <c r="F152" s="48">
        <v>0.0</v>
      </c>
      <c r="G152" s="48">
        <v>81.0</v>
      </c>
      <c r="H152" s="39" t="s">
        <v>45</v>
      </c>
      <c r="I152" s="39" t="s">
        <v>2350</v>
      </c>
      <c r="J152" s="39" t="s">
        <v>49</v>
      </c>
      <c r="K152" s="39" t="s">
        <v>49</v>
      </c>
      <c r="L152" s="39" t="s">
        <v>49</v>
      </c>
      <c r="M152" s="39" t="s">
        <v>49</v>
      </c>
      <c r="N152" s="39" t="s">
        <v>49</v>
      </c>
      <c r="O152" s="44" t="s">
        <v>2769</v>
      </c>
      <c r="P152" s="39" t="s">
        <v>2770</v>
      </c>
    </row>
    <row r="153" ht="45.0" customHeight="1">
      <c r="A153" s="37" t="s">
        <v>699</v>
      </c>
      <c r="B153" s="47" t="str">
        <f>IMAGE("https://raw.githubusercontent.com/ltdimages/images/refs/heads/main/Treasure166.png")</f>
        <v/>
      </c>
      <c r="C153" s="39" t="s">
        <v>2771</v>
      </c>
      <c r="D153" s="39" t="s">
        <v>2316</v>
      </c>
      <c r="E153" s="39" t="s">
        <v>2574</v>
      </c>
      <c r="F153" s="48">
        <v>0.0</v>
      </c>
      <c r="G153" s="48">
        <v>31.0</v>
      </c>
      <c r="H153" s="39" t="s">
        <v>45</v>
      </c>
      <c r="I153" s="39" t="s">
        <v>2350</v>
      </c>
      <c r="J153" s="39" t="s">
        <v>49</v>
      </c>
      <c r="K153" s="39" t="s">
        <v>49</v>
      </c>
      <c r="L153" s="39" t="s">
        <v>49</v>
      </c>
      <c r="M153" s="39" t="s">
        <v>49</v>
      </c>
      <c r="N153" s="39" t="s">
        <v>49</v>
      </c>
      <c r="O153" s="44" t="s">
        <v>2772</v>
      </c>
      <c r="P153" s="39" t="s">
        <v>2773</v>
      </c>
    </row>
    <row r="154" ht="45.0" customHeight="1">
      <c r="A154" s="37" t="s">
        <v>703</v>
      </c>
      <c r="B154" s="47" t="str">
        <f>IMAGE("https://raw.githubusercontent.com/ltdimages/images/refs/heads/main/Treasure_JomonPottery.png")</f>
        <v/>
      </c>
      <c r="C154" s="39" t="s">
        <v>2774</v>
      </c>
      <c r="D154" s="39" t="s">
        <v>2316</v>
      </c>
      <c r="E154" s="39" t="s">
        <v>2574</v>
      </c>
      <c r="F154" s="48">
        <v>0.0</v>
      </c>
      <c r="G154" s="48">
        <v>130.0</v>
      </c>
      <c r="H154" s="39" t="s">
        <v>45</v>
      </c>
      <c r="I154" s="39" t="s">
        <v>2350</v>
      </c>
      <c r="J154" s="39" t="s">
        <v>45</v>
      </c>
      <c r="K154" s="39" t="s">
        <v>45</v>
      </c>
      <c r="L154" s="39" t="s">
        <v>45</v>
      </c>
      <c r="M154" s="39" t="s">
        <v>49</v>
      </c>
      <c r="N154" s="39" t="s">
        <v>45</v>
      </c>
      <c r="O154" s="44" t="s">
        <v>2775</v>
      </c>
      <c r="P154" s="39" t="s">
        <v>2776</v>
      </c>
    </row>
    <row r="155" ht="45.0" customHeight="1">
      <c r="A155" s="37" t="s">
        <v>708</v>
      </c>
      <c r="B155" s="47" t="str">
        <f>IMAGE("https://raw.githubusercontent.com/ltdimages/images/refs/heads/main/Treasure071.png")</f>
        <v/>
      </c>
      <c r="C155" s="39" t="s">
        <v>2777</v>
      </c>
      <c r="D155" s="39" t="s">
        <v>2316</v>
      </c>
      <c r="E155" s="39" t="s">
        <v>2574</v>
      </c>
      <c r="F155" s="48">
        <v>0.0</v>
      </c>
      <c r="G155" s="48">
        <v>9.0</v>
      </c>
      <c r="H155" s="39" t="s">
        <v>45</v>
      </c>
      <c r="I155" s="39" t="s">
        <v>2350</v>
      </c>
      <c r="J155" s="39" t="s">
        <v>49</v>
      </c>
      <c r="K155" s="39" t="s">
        <v>49</v>
      </c>
      <c r="L155" s="39" t="s">
        <v>49</v>
      </c>
      <c r="M155" s="39" t="s">
        <v>49</v>
      </c>
      <c r="N155" s="39" t="s">
        <v>49</v>
      </c>
      <c r="O155" s="44" t="s">
        <v>2778</v>
      </c>
      <c r="P155" s="39" t="s">
        <v>2779</v>
      </c>
    </row>
    <row r="156" ht="45.0" customHeight="1">
      <c r="A156" s="37" t="s">
        <v>712</v>
      </c>
      <c r="B156" s="47" t="str">
        <f>IMAGE("https://raw.githubusercontent.com/ltdimages/images/refs/heads/main/Treasure_KoalaStuffedToy.png")</f>
        <v/>
      </c>
      <c r="C156" s="39" t="s">
        <v>2780</v>
      </c>
      <c r="D156" s="39" t="s">
        <v>2316</v>
      </c>
      <c r="E156" s="39" t="s">
        <v>2574</v>
      </c>
      <c r="F156" s="48">
        <v>0.0</v>
      </c>
      <c r="G156" s="48">
        <v>36.0</v>
      </c>
      <c r="H156" s="39" t="s">
        <v>45</v>
      </c>
      <c r="I156" s="39" t="s">
        <v>2002</v>
      </c>
      <c r="J156" s="39" t="s">
        <v>49</v>
      </c>
      <c r="K156" s="39" t="s">
        <v>49</v>
      </c>
      <c r="L156" s="39" t="s">
        <v>49</v>
      </c>
      <c r="M156" s="39" t="s">
        <v>49</v>
      </c>
      <c r="N156" s="39" t="s">
        <v>49</v>
      </c>
      <c r="O156" s="44" t="s">
        <v>2781</v>
      </c>
      <c r="P156" s="39" t="s">
        <v>2782</v>
      </c>
    </row>
    <row r="157" ht="45.0" customHeight="1">
      <c r="A157" s="37" t="s">
        <v>716</v>
      </c>
      <c r="B157" s="47" t="str">
        <f>IMAGE("https://raw.githubusercontent.com/ltdimages/images/refs/heads/main/Treasure_KokeshiDoll.png")</f>
        <v/>
      </c>
      <c r="C157" s="39" t="s">
        <v>2783</v>
      </c>
      <c r="D157" s="39" t="s">
        <v>2316</v>
      </c>
      <c r="E157" s="39" t="s">
        <v>2574</v>
      </c>
      <c r="F157" s="48">
        <v>0.0</v>
      </c>
      <c r="G157" s="48">
        <v>20.0</v>
      </c>
      <c r="H157" s="39" t="s">
        <v>45</v>
      </c>
      <c r="I157" s="39" t="s">
        <v>2327</v>
      </c>
      <c r="J157" s="39" t="s">
        <v>45</v>
      </c>
      <c r="K157" s="39" t="s">
        <v>45</v>
      </c>
      <c r="L157" s="39" t="s">
        <v>45</v>
      </c>
      <c r="M157" s="39" t="s">
        <v>49</v>
      </c>
      <c r="N157" s="39" t="s">
        <v>45</v>
      </c>
      <c r="O157" s="44" t="s">
        <v>2784</v>
      </c>
      <c r="P157" s="39" t="s">
        <v>2785</v>
      </c>
    </row>
    <row r="158" ht="45.0" customHeight="1">
      <c r="A158" s="37" t="s">
        <v>720</v>
      </c>
      <c r="B158" s="47" t="str">
        <f>IMAGE("https://raw.githubusercontent.com/ltdimages/images/refs/heads/main/Treasure_LightBulb.png")</f>
        <v/>
      </c>
      <c r="C158" s="39" t="s">
        <v>2786</v>
      </c>
      <c r="D158" s="39" t="s">
        <v>2316</v>
      </c>
      <c r="E158" s="39" t="s">
        <v>2574</v>
      </c>
      <c r="F158" s="48">
        <v>0.0</v>
      </c>
      <c r="G158" s="48">
        <v>5.5</v>
      </c>
      <c r="H158" s="39" t="s">
        <v>45</v>
      </c>
      <c r="I158" s="39" t="s">
        <v>2002</v>
      </c>
      <c r="J158" s="39" t="s">
        <v>49</v>
      </c>
      <c r="K158" s="39" t="s">
        <v>49</v>
      </c>
      <c r="L158" s="39" t="s">
        <v>49</v>
      </c>
      <c r="M158" s="39" t="s">
        <v>49</v>
      </c>
      <c r="N158" s="39" t="s">
        <v>49</v>
      </c>
      <c r="O158" s="44" t="s">
        <v>2787</v>
      </c>
      <c r="P158" s="39" t="s">
        <v>2788</v>
      </c>
    </row>
    <row r="159" ht="45.0" customHeight="1">
      <c r="A159" s="37" t="s">
        <v>724</v>
      </c>
      <c r="B159" s="47" t="str">
        <f>IMAGE("https://raw.githubusercontent.com/ltdimages/images/refs/heads/main/Treasure_OneEarphoneIsMisissing.png")</f>
        <v/>
      </c>
      <c r="C159" s="39" t="s">
        <v>2789</v>
      </c>
      <c r="D159" s="39" t="s">
        <v>2316</v>
      </c>
      <c r="E159" s="39" t="s">
        <v>2574</v>
      </c>
      <c r="F159" s="48">
        <v>0.0</v>
      </c>
      <c r="G159" s="48">
        <v>5.0</v>
      </c>
      <c r="H159" s="39" t="s">
        <v>45</v>
      </c>
      <c r="I159" s="39" t="s">
        <v>2327</v>
      </c>
      <c r="J159" s="39" t="s">
        <v>49</v>
      </c>
      <c r="K159" s="39" t="s">
        <v>49</v>
      </c>
      <c r="L159" s="39" t="s">
        <v>49</v>
      </c>
      <c r="M159" s="39" t="s">
        <v>49</v>
      </c>
      <c r="N159" s="39" t="s">
        <v>49</v>
      </c>
      <c r="O159" s="44" t="s">
        <v>2790</v>
      </c>
      <c r="P159" s="39" t="s">
        <v>2791</v>
      </c>
    </row>
    <row r="160" ht="45.0" customHeight="1">
      <c r="A160" s="37" t="s">
        <v>728</v>
      </c>
      <c r="B160" s="47" t="str">
        <f>IMAGE("https://raw.githubusercontent.com/ltdimages/images/refs/heads/main/Treasure028.png")</f>
        <v/>
      </c>
      <c r="C160" s="39" t="s">
        <v>2792</v>
      </c>
      <c r="D160" s="39" t="s">
        <v>2316</v>
      </c>
      <c r="E160" s="39" t="s">
        <v>2574</v>
      </c>
      <c r="F160" s="48">
        <v>0.0</v>
      </c>
      <c r="G160" s="48">
        <v>2.0</v>
      </c>
      <c r="H160" s="39" t="s">
        <v>45</v>
      </c>
      <c r="I160" s="39" t="s">
        <v>48</v>
      </c>
      <c r="J160" s="39" t="s">
        <v>49</v>
      </c>
      <c r="K160" s="39" t="s">
        <v>49</v>
      </c>
      <c r="L160" s="39" t="s">
        <v>49</v>
      </c>
      <c r="M160" s="39" t="s">
        <v>49</v>
      </c>
      <c r="N160" s="39" t="s">
        <v>49</v>
      </c>
      <c r="O160" s="44" t="s">
        <v>2793</v>
      </c>
      <c r="P160" s="39" t="s">
        <v>2794</v>
      </c>
    </row>
    <row r="161" ht="45.0" customHeight="1">
      <c r="A161" s="37" t="s">
        <v>732</v>
      </c>
      <c r="B161" s="47" t="str">
        <f>IMAGE("https://raw.githubusercontent.com/ltdimages/images/refs/heads/main/Treasure053.png")</f>
        <v/>
      </c>
      <c r="C161" s="39" t="s">
        <v>2795</v>
      </c>
      <c r="D161" s="39" t="s">
        <v>2316</v>
      </c>
      <c r="E161" s="39" t="s">
        <v>2574</v>
      </c>
      <c r="F161" s="48">
        <v>0.0</v>
      </c>
      <c r="G161" s="48">
        <v>22.2</v>
      </c>
      <c r="H161" s="39" t="s">
        <v>45</v>
      </c>
      <c r="I161" s="39" t="s">
        <v>2350</v>
      </c>
      <c r="J161" s="39" t="s">
        <v>45</v>
      </c>
      <c r="K161" s="39" t="s">
        <v>49</v>
      </c>
      <c r="L161" s="39" t="s">
        <v>49</v>
      </c>
      <c r="M161" s="39" t="s">
        <v>49</v>
      </c>
      <c r="N161" s="39" t="s">
        <v>45</v>
      </c>
      <c r="O161" s="44" t="s">
        <v>2796</v>
      </c>
      <c r="P161" s="39" t="s">
        <v>2797</v>
      </c>
    </row>
    <row r="162" ht="45.0" customHeight="1">
      <c r="A162" s="37" t="s">
        <v>736</v>
      </c>
      <c r="B162" s="47" t="str">
        <f>IMAGE("https://raw.githubusercontent.com/ltdimages/images/refs/heads/main/Treasure107.png")</f>
        <v/>
      </c>
      <c r="C162" s="39" t="s">
        <v>2798</v>
      </c>
      <c r="D162" s="39" t="s">
        <v>2316</v>
      </c>
      <c r="E162" s="39" t="s">
        <v>2574</v>
      </c>
      <c r="F162" s="48">
        <v>0.0</v>
      </c>
      <c r="G162" s="48">
        <v>10.0</v>
      </c>
      <c r="H162" s="39" t="s">
        <v>45</v>
      </c>
      <c r="I162" s="39" t="s">
        <v>2002</v>
      </c>
      <c r="J162" s="39" t="s">
        <v>49</v>
      </c>
      <c r="K162" s="39" t="s">
        <v>49</v>
      </c>
      <c r="L162" s="39" t="s">
        <v>49</v>
      </c>
      <c r="M162" s="39" t="s">
        <v>49</v>
      </c>
      <c r="N162" s="39" t="s">
        <v>49</v>
      </c>
      <c r="O162" s="44" t="s">
        <v>2799</v>
      </c>
      <c r="P162" s="39" t="s">
        <v>2800</v>
      </c>
    </row>
    <row r="163" ht="45.0" customHeight="1">
      <c r="A163" s="37" t="s">
        <v>740</v>
      </c>
      <c r="B163" s="47" t="str">
        <f>IMAGE("https://raw.githubusercontent.com/ltdimages/images/refs/heads/main/Treasure011.png")</f>
        <v/>
      </c>
      <c r="C163" s="39" t="s">
        <v>2801</v>
      </c>
      <c r="D163" s="39" t="s">
        <v>2316</v>
      </c>
      <c r="E163" s="39" t="s">
        <v>2574</v>
      </c>
      <c r="F163" s="48">
        <v>0.0</v>
      </c>
      <c r="G163" s="48">
        <v>2.8</v>
      </c>
      <c r="H163" s="39" t="s">
        <v>45</v>
      </c>
      <c r="I163" s="39" t="s">
        <v>2327</v>
      </c>
      <c r="J163" s="39" t="s">
        <v>49</v>
      </c>
      <c r="K163" s="39" t="s">
        <v>49</v>
      </c>
      <c r="L163" s="39" t="s">
        <v>49</v>
      </c>
      <c r="M163" s="39" t="s">
        <v>49</v>
      </c>
      <c r="N163" s="39" t="s">
        <v>49</v>
      </c>
      <c r="O163" s="44" t="s">
        <v>2802</v>
      </c>
      <c r="P163" s="39" t="s">
        <v>2803</v>
      </c>
    </row>
    <row r="164" ht="45.0" customHeight="1">
      <c r="A164" s="37" t="s">
        <v>744</v>
      </c>
      <c r="B164" s="47" t="str">
        <f>IMAGE("https://raw.githubusercontent.com/ltdimages/images/refs/heads/main/Treasure_MakeupBox.png")</f>
        <v/>
      </c>
      <c r="C164" s="39" t="s">
        <v>2804</v>
      </c>
      <c r="D164" s="39" t="s">
        <v>2316</v>
      </c>
      <c r="E164" s="39" t="s">
        <v>2574</v>
      </c>
      <c r="F164" s="48">
        <v>0.0</v>
      </c>
      <c r="G164" s="48">
        <v>39.0</v>
      </c>
      <c r="H164" s="39" t="s">
        <v>45</v>
      </c>
      <c r="I164" s="39" t="s">
        <v>48</v>
      </c>
      <c r="J164" s="39" t="s">
        <v>49</v>
      </c>
      <c r="K164" s="39" t="s">
        <v>49</v>
      </c>
      <c r="L164" s="39" t="s">
        <v>49</v>
      </c>
      <c r="M164" s="39" t="s">
        <v>49</v>
      </c>
      <c r="N164" s="39" t="s">
        <v>49</v>
      </c>
      <c r="O164" s="44" t="s">
        <v>2805</v>
      </c>
      <c r="P164" s="39" t="s">
        <v>2806</v>
      </c>
    </row>
    <row r="165" ht="45.0" customHeight="1">
      <c r="A165" s="37" t="s">
        <v>748</v>
      </c>
      <c r="B165" s="47" t="str">
        <f>IMAGE("https://raw.githubusercontent.com/ltdimages/images/refs/heads/main/Treasure_MapleSyrupSamplingPort.png")</f>
        <v/>
      </c>
      <c r="C165" s="39" t="s">
        <v>2807</v>
      </c>
      <c r="D165" s="39" t="s">
        <v>2316</v>
      </c>
      <c r="E165" s="39" t="s">
        <v>2574</v>
      </c>
      <c r="F165" s="48">
        <v>0.0</v>
      </c>
      <c r="G165" s="48">
        <v>8.7</v>
      </c>
      <c r="H165" s="39" t="s">
        <v>45</v>
      </c>
      <c r="I165" s="39" t="s">
        <v>2327</v>
      </c>
      <c r="J165" s="39" t="s">
        <v>49</v>
      </c>
      <c r="K165" s="39" t="s">
        <v>49</v>
      </c>
      <c r="L165" s="39" t="s">
        <v>45</v>
      </c>
      <c r="M165" s="39" t="s">
        <v>49</v>
      </c>
      <c r="N165" s="39" t="s">
        <v>45</v>
      </c>
      <c r="O165" s="44" t="s">
        <v>2808</v>
      </c>
      <c r="P165" s="39" t="s">
        <v>2809</v>
      </c>
    </row>
    <row r="166" ht="45.0" customHeight="1">
      <c r="A166" s="37" t="s">
        <v>752</v>
      </c>
      <c r="B166" s="47" t="str">
        <f>IMAGE("https://raw.githubusercontent.com/ltdimages/images/refs/heads/main/Treasure021.png")</f>
        <v/>
      </c>
      <c r="C166" s="39" t="s">
        <v>2810</v>
      </c>
      <c r="D166" s="39" t="s">
        <v>2316</v>
      </c>
      <c r="E166" s="39" t="s">
        <v>2574</v>
      </c>
      <c r="F166" s="48">
        <v>0.0</v>
      </c>
      <c r="G166" s="48">
        <v>1.0</v>
      </c>
      <c r="H166" s="39" t="s">
        <v>45</v>
      </c>
      <c r="I166" s="39" t="s">
        <v>2327</v>
      </c>
      <c r="J166" s="39" t="s">
        <v>49</v>
      </c>
      <c r="K166" s="39" t="s">
        <v>49</v>
      </c>
      <c r="L166" s="39" t="s">
        <v>49</v>
      </c>
      <c r="M166" s="39" t="s">
        <v>49</v>
      </c>
      <c r="N166" s="39" t="s">
        <v>49</v>
      </c>
      <c r="O166" s="44" t="s">
        <v>2811</v>
      </c>
      <c r="P166" s="39" t="s">
        <v>2812</v>
      </c>
    </row>
    <row r="167" ht="45.0" customHeight="1">
      <c r="A167" s="37" t="s">
        <v>756</v>
      </c>
      <c r="B167" s="47" t="str">
        <f>IMAGE("https://raw.githubusercontent.com/ltdimages/images/refs/heads/main/Treasure113.png")</f>
        <v/>
      </c>
      <c r="C167" s="39" t="s">
        <v>2813</v>
      </c>
      <c r="D167" s="39" t="s">
        <v>2316</v>
      </c>
      <c r="E167" s="39" t="s">
        <v>2574</v>
      </c>
      <c r="F167" s="48">
        <v>0.0</v>
      </c>
      <c r="G167" s="48">
        <v>32.0</v>
      </c>
      <c r="H167" s="39" t="s">
        <v>45</v>
      </c>
      <c r="I167" s="39" t="s">
        <v>48</v>
      </c>
      <c r="J167" s="39" t="s">
        <v>49</v>
      </c>
      <c r="K167" s="39" t="s">
        <v>49</v>
      </c>
      <c r="L167" s="39" t="s">
        <v>49</v>
      </c>
      <c r="M167" s="39" t="s">
        <v>49</v>
      </c>
      <c r="N167" s="39" t="s">
        <v>49</v>
      </c>
      <c r="O167" s="44" t="s">
        <v>2814</v>
      </c>
      <c r="P167" s="39" t="s">
        <v>2815</v>
      </c>
    </row>
    <row r="168" ht="45.0" customHeight="1">
      <c r="A168" s="37" t="s">
        <v>760</v>
      </c>
      <c r="B168" s="47" t="str">
        <f>IMAGE("https://raw.githubusercontent.com/ltdimages/images/refs/heads/main/Treasure122.png")</f>
        <v/>
      </c>
      <c r="C168" s="39" t="s">
        <v>2816</v>
      </c>
      <c r="D168" s="39" t="s">
        <v>2316</v>
      </c>
      <c r="E168" s="39" t="s">
        <v>2574</v>
      </c>
      <c r="F168" s="48">
        <v>0.0</v>
      </c>
      <c r="G168" s="48">
        <v>100.0</v>
      </c>
      <c r="H168" s="39" t="s">
        <v>45</v>
      </c>
      <c r="I168" s="39" t="s">
        <v>2350</v>
      </c>
      <c r="J168" s="39" t="s">
        <v>49</v>
      </c>
      <c r="K168" s="39" t="s">
        <v>49</v>
      </c>
      <c r="L168" s="39" t="s">
        <v>49</v>
      </c>
      <c r="M168" s="39" t="s">
        <v>49</v>
      </c>
      <c r="N168" s="39" t="s">
        <v>49</v>
      </c>
      <c r="O168" s="44" t="s">
        <v>2817</v>
      </c>
      <c r="P168" s="39" t="s">
        <v>2818</v>
      </c>
    </row>
    <row r="169" ht="45.0" customHeight="1">
      <c r="A169" s="37" t="s">
        <v>765</v>
      </c>
      <c r="B169" s="47" t="str">
        <f>IMAGE("https://raw.githubusercontent.com/ltdimages/images/refs/heads/main/Treasure_MessageBottle.png")</f>
        <v/>
      </c>
      <c r="C169" s="39" t="s">
        <v>2819</v>
      </c>
      <c r="D169" s="39" t="s">
        <v>2316</v>
      </c>
      <c r="E169" s="39" t="s">
        <v>2574</v>
      </c>
      <c r="F169" s="48">
        <v>0.0</v>
      </c>
      <c r="G169" s="48">
        <v>10.0</v>
      </c>
      <c r="H169" s="39" t="s">
        <v>45</v>
      </c>
      <c r="I169" s="39" t="s">
        <v>2350</v>
      </c>
      <c r="J169" s="39" t="s">
        <v>49</v>
      </c>
      <c r="K169" s="39" t="s">
        <v>49</v>
      </c>
      <c r="L169" s="39" t="s">
        <v>49</v>
      </c>
      <c r="M169" s="39" t="s">
        <v>49</v>
      </c>
      <c r="N169" s="39" t="s">
        <v>49</v>
      </c>
      <c r="O169" s="44" t="s">
        <v>2820</v>
      </c>
      <c r="P169" s="44" t="s">
        <v>2821</v>
      </c>
    </row>
    <row r="170" ht="45.0" customHeight="1">
      <c r="A170" s="37" t="s">
        <v>769</v>
      </c>
      <c r="B170" s="47" t="str">
        <f>IMAGE("https://raw.githubusercontent.com/ltdimages/images/refs/heads/main/Treasure_MiniCar.png")</f>
        <v/>
      </c>
      <c r="C170" s="39" t="s">
        <v>2822</v>
      </c>
      <c r="D170" s="39" t="s">
        <v>2316</v>
      </c>
      <c r="E170" s="39" t="s">
        <v>2574</v>
      </c>
      <c r="F170" s="48">
        <v>0.0</v>
      </c>
      <c r="G170" s="48">
        <v>8.5</v>
      </c>
      <c r="H170" s="39" t="s">
        <v>45</v>
      </c>
      <c r="I170" s="39" t="s">
        <v>2327</v>
      </c>
      <c r="J170" s="39" t="s">
        <v>49</v>
      </c>
      <c r="K170" s="39" t="s">
        <v>49</v>
      </c>
      <c r="L170" s="39" t="s">
        <v>49</v>
      </c>
      <c r="M170" s="39" t="s">
        <v>49</v>
      </c>
      <c r="N170" s="39" t="s">
        <v>49</v>
      </c>
      <c r="O170" s="44" t="s">
        <v>2823</v>
      </c>
      <c r="P170" s="39" t="s">
        <v>2824</v>
      </c>
    </row>
    <row r="171" ht="45.0" customHeight="1">
      <c r="A171" s="37" t="s">
        <v>774</v>
      </c>
      <c r="B171" s="47" t="str">
        <f>IMAGE("https://raw.githubusercontent.com/ltdimages/images/refs/heads/main/Treasure_TrainModel.png")</f>
        <v/>
      </c>
      <c r="C171" s="39" t="s">
        <v>2825</v>
      </c>
      <c r="D171" s="39" t="s">
        <v>2316</v>
      </c>
      <c r="E171" s="39" t="s">
        <v>2574</v>
      </c>
      <c r="F171" s="48">
        <v>0.0</v>
      </c>
      <c r="G171" s="48">
        <v>132.0</v>
      </c>
      <c r="H171" s="39" t="s">
        <v>45</v>
      </c>
      <c r="I171" s="39" t="s">
        <v>48</v>
      </c>
      <c r="J171" s="39" t="s">
        <v>49</v>
      </c>
      <c r="K171" s="39" t="s">
        <v>49</v>
      </c>
      <c r="L171" s="39" t="s">
        <v>49</v>
      </c>
      <c r="M171" s="39" t="s">
        <v>49</v>
      </c>
      <c r="N171" s="39" t="s">
        <v>49</v>
      </c>
      <c r="O171" s="44" t="s">
        <v>2826</v>
      </c>
      <c r="P171" s="39" t="s">
        <v>2827</v>
      </c>
    </row>
    <row r="172" ht="45.0" customHeight="1">
      <c r="A172" s="37" t="s">
        <v>778</v>
      </c>
      <c r="B172" s="47" t="str">
        <f>IMAGE("https://raw.githubusercontent.com/ltdimages/images/refs/heads/main/Treasure087.png")</f>
        <v/>
      </c>
      <c r="C172" s="39" t="s">
        <v>2828</v>
      </c>
      <c r="D172" s="39" t="s">
        <v>2316</v>
      </c>
      <c r="E172" s="39" t="s">
        <v>2574</v>
      </c>
      <c r="F172" s="48">
        <v>0.0</v>
      </c>
      <c r="G172" s="48">
        <v>3.2</v>
      </c>
      <c r="H172" s="39" t="s">
        <v>45</v>
      </c>
      <c r="I172" s="39" t="s">
        <v>48</v>
      </c>
      <c r="J172" s="39" t="s">
        <v>49</v>
      </c>
      <c r="K172" s="39" t="s">
        <v>49</v>
      </c>
      <c r="L172" s="39" t="s">
        <v>49</v>
      </c>
      <c r="M172" s="39" t="s">
        <v>49</v>
      </c>
      <c r="N172" s="39" t="s">
        <v>49</v>
      </c>
      <c r="O172" s="44" t="s">
        <v>2829</v>
      </c>
      <c r="P172" s="39" t="s">
        <v>2830</v>
      </c>
    </row>
    <row r="173" ht="45.0" customHeight="1">
      <c r="A173" s="37" t="s">
        <v>782</v>
      </c>
      <c r="B173" s="47" t="str">
        <f>IMAGE("https://raw.githubusercontent.com/ltdimages/images/refs/heads/main/Treasure_MysteriousLiquid.png")</f>
        <v/>
      </c>
      <c r="C173" s="39" t="s">
        <v>2831</v>
      </c>
      <c r="D173" s="39" t="s">
        <v>2316</v>
      </c>
      <c r="E173" s="39" t="s">
        <v>2574</v>
      </c>
      <c r="F173" s="48">
        <v>0.0</v>
      </c>
      <c r="G173" s="48">
        <v>1.5</v>
      </c>
      <c r="H173" s="39" t="s">
        <v>45</v>
      </c>
      <c r="I173" s="39" t="s">
        <v>48</v>
      </c>
      <c r="J173" s="39" t="s">
        <v>49</v>
      </c>
      <c r="K173" s="39" t="s">
        <v>49</v>
      </c>
      <c r="L173" s="39" t="s">
        <v>49</v>
      </c>
      <c r="M173" s="39" t="s">
        <v>49</v>
      </c>
      <c r="N173" s="39" t="s">
        <v>49</v>
      </c>
      <c r="O173" s="44" t="s">
        <v>2832</v>
      </c>
      <c r="P173" s="39" t="s">
        <v>2833</v>
      </c>
    </row>
    <row r="174" ht="45.0" customHeight="1">
      <c r="A174" s="37" t="s">
        <v>786</v>
      </c>
      <c r="B174" s="47" t="str">
        <f>IMAGE("https://raw.githubusercontent.com/ltdimages/images/refs/heads/main/Treasure_NailPolish.png")</f>
        <v/>
      </c>
      <c r="C174" s="39" t="s">
        <v>2834</v>
      </c>
      <c r="D174" s="39" t="s">
        <v>2316</v>
      </c>
      <c r="E174" s="39" t="s">
        <v>2574</v>
      </c>
      <c r="F174" s="48">
        <v>0.0</v>
      </c>
      <c r="G174" s="48">
        <v>5.0</v>
      </c>
      <c r="H174" s="39" t="s">
        <v>45</v>
      </c>
      <c r="I174" s="39" t="s">
        <v>2327</v>
      </c>
      <c r="J174" s="39" t="s">
        <v>49</v>
      </c>
      <c r="K174" s="39" t="s">
        <v>49</v>
      </c>
      <c r="L174" s="39" t="s">
        <v>49</v>
      </c>
      <c r="M174" s="39" t="s">
        <v>49</v>
      </c>
      <c r="N174" s="39" t="s">
        <v>49</v>
      </c>
      <c r="O174" s="44" t="s">
        <v>2835</v>
      </c>
      <c r="P174" s="39" t="s">
        <v>2836</v>
      </c>
    </row>
    <row r="175" ht="45.0" customHeight="1">
      <c r="A175" s="37" t="s">
        <v>790</v>
      </c>
      <c r="B175" s="47" t="str">
        <f>IMAGE("https://raw.githubusercontent.com/ltdimages/images/refs/heads/main/Treasure_Octahydrone.png")</f>
        <v/>
      </c>
      <c r="C175" s="39" t="s">
        <v>2837</v>
      </c>
      <c r="D175" s="39" t="s">
        <v>2316</v>
      </c>
      <c r="E175" s="39" t="s">
        <v>2574</v>
      </c>
      <c r="F175" s="48">
        <v>0.0</v>
      </c>
      <c r="G175" s="48">
        <v>14.0</v>
      </c>
      <c r="H175" s="39" t="s">
        <v>45</v>
      </c>
      <c r="I175" s="39" t="s">
        <v>2327</v>
      </c>
      <c r="J175" s="39" t="s">
        <v>49</v>
      </c>
      <c r="K175" s="39" t="s">
        <v>49</v>
      </c>
      <c r="L175" s="39" t="s">
        <v>49</v>
      </c>
      <c r="M175" s="39" t="s">
        <v>49</v>
      </c>
      <c r="N175" s="39" t="s">
        <v>49</v>
      </c>
      <c r="O175" s="44" t="s">
        <v>2838</v>
      </c>
      <c r="P175" s="39" t="s">
        <v>2839</v>
      </c>
    </row>
    <row r="176" ht="45.0" customHeight="1">
      <c r="A176" s="37" t="s">
        <v>794</v>
      </c>
      <c r="B176" s="47" t="str">
        <f>IMAGE("https://raw.githubusercontent.com/ltdimages/images/refs/heads/main/Treasure_OliveSoap.png")</f>
        <v/>
      </c>
      <c r="C176" s="39" t="s">
        <v>2840</v>
      </c>
      <c r="D176" s="39" t="s">
        <v>2316</v>
      </c>
      <c r="E176" s="39" t="s">
        <v>2574</v>
      </c>
      <c r="F176" s="48">
        <v>0.0</v>
      </c>
      <c r="G176" s="48">
        <v>29.0</v>
      </c>
      <c r="H176" s="39" t="s">
        <v>45</v>
      </c>
      <c r="I176" s="39" t="s">
        <v>2002</v>
      </c>
      <c r="J176" s="39" t="s">
        <v>49</v>
      </c>
      <c r="K176" s="39" t="s">
        <v>49</v>
      </c>
      <c r="L176" s="39" t="s">
        <v>49</v>
      </c>
      <c r="M176" s="39" t="s">
        <v>49</v>
      </c>
      <c r="N176" s="39" t="s">
        <v>49</v>
      </c>
      <c r="O176" s="44" t="s">
        <v>2841</v>
      </c>
      <c r="P176" s="39" t="s">
        <v>2842</v>
      </c>
    </row>
    <row r="177" ht="45.0" customHeight="1">
      <c r="A177" s="37" t="s">
        <v>798</v>
      </c>
      <c r="B177" s="47" t="str">
        <f>IMAGE("https://raw.githubusercontent.com/ltdimages/images/refs/heads/main/Treasure067.png")</f>
        <v/>
      </c>
      <c r="C177" s="39" t="s">
        <v>2843</v>
      </c>
      <c r="D177" s="39" t="s">
        <v>2316</v>
      </c>
      <c r="E177" s="39" t="s">
        <v>2574</v>
      </c>
      <c r="F177" s="48">
        <v>0.0</v>
      </c>
      <c r="G177" s="48">
        <v>10.0</v>
      </c>
      <c r="H177" s="39" t="s">
        <v>45</v>
      </c>
      <c r="I177" s="39" t="s">
        <v>48</v>
      </c>
      <c r="J177" s="39" t="s">
        <v>45</v>
      </c>
      <c r="K177" s="39" t="s">
        <v>49</v>
      </c>
      <c r="L177" s="39" t="s">
        <v>45</v>
      </c>
      <c r="M177" s="39" t="s">
        <v>49</v>
      </c>
      <c r="N177" s="39" t="s">
        <v>45</v>
      </c>
      <c r="O177" s="44" t="s">
        <v>2844</v>
      </c>
      <c r="P177" s="39" t="s">
        <v>2845</v>
      </c>
    </row>
    <row r="178" ht="45.0" customHeight="1">
      <c r="A178" s="37" t="s">
        <v>802</v>
      </c>
      <c r="B178" s="47" t="str">
        <f>IMAGE("https://raw.githubusercontent.com/ltdimages/images/refs/heads/main/Treasure_Ticket.png")</f>
        <v/>
      </c>
      <c r="C178" s="39" t="s">
        <v>2846</v>
      </c>
      <c r="D178" s="39" t="s">
        <v>2316</v>
      </c>
      <c r="E178" s="39" t="s">
        <v>2574</v>
      </c>
      <c r="F178" s="48">
        <v>0.0</v>
      </c>
      <c r="G178" s="48">
        <v>21.4</v>
      </c>
      <c r="H178" s="39" t="s">
        <v>45</v>
      </c>
      <c r="I178" s="39" t="s">
        <v>2327</v>
      </c>
      <c r="J178" s="39" t="s">
        <v>49</v>
      </c>
      <c r="K178" s="39" t="s">
        <v>49</v>
      </c>
      <c r="L178" s="39" t="s">
        <v>49</v>
      </c>
      <c r="M178" s="39" t="s">
        <v>49</v>
      </c>
      <c r="N178" s="39" t="s">
        <v>49</v>
      </c>
      <c r="O178" s="44" t="s">
        <v>2847</v>
      </c>
      <c r="P178" s="39" t="s">
        <v>2848</v>
      </c>
    </row>
    <row r="179" ht="45.0" customHeight="1">
      <c r="A179" s="37" t="s">
        <v>806</v>
      </c>
      <c r="B179" s="47" t="str">
        <f>IMAGE("https://raw.githubusercontent.com/ltdimages/images/refs/heads/main/Treasure054.png")</f>
        <v/>
      </c>
      <c r="C179" s="39" t="s">
        <v>2849</v>
      </c>
      <c r="D179" s="39" t="s">
        <v>2316</v>
      </c>
      <c r="E179" s="39" t="s">
        <v>2574</v>
      </c>
      <c r="F179" s="48">
        <v>0.0</v>
      </c>
      <c r="G179" s="48">
        <v>1.2</v>
      </c>
      <c r="H179" s="39" t="s">
        <v>45</v>
      </c>
      <c r="I179" s="39" t="s">
        <v>2327</v>
      </c>
      <c r="J179" s="39" t="s">
        <v>49</v>
      </c>
      <c r="K179" s="39" t="s">
        <v>49</v>
      </c>
      <c r="L179" s="39" t="s">
        <v>49</v>
      </c>
      <c r="M179" s="39" t="s">
        <v>49</v>
      </c>
      <c r="N179" s="39" t="s">
        <v>49</v>
      </c>
      <c r="O179" s="44" t="s">
        <v>2850</v>
      </c>
      <c r="P179" s="39" t="s">
        <v>2851</v>
      </c>
    </row>
    <row r="180" ht="45.0" customHeight="1">
      <c r="A180" s="37" t="s">
        <v>810</v>
      </c>
      <c r="B180" s="47" t="str">
        <f>IMAGE("https://raw.githubusercontent.com/ltdimages/images/refs/heads/main/Treasure_Bill.png")</f>
        <v/>
      </c>
      <c r="C180" s="39" t="s">
        <v>2852</v>
      </c>
      <c r="D180" s="39" t="s">
        <v>2316</v>
      </c>
      <c r="E180" s="39" t="s">
        <v>2574</v>
      </c>
      <c r="F180" s="48">
        <v>0.0</v>
      </c>
      <c r="G180" s="48">
        <v>7.2</v>
      </c>
      <c r="H180" s="39" t="s">
        <v>45</v>
      </c>
      <c r="I180" s="39" t="s">
        <v>2327</v>
      </c>
      <c r="J180" s="39" t="s">
        <v>49</v>
      </c>
      <c r="K180" s="39" t="s">
        <v>49</v>
      </c>
      <c r="L180" s="39" t="s">
        <v>49</v>
      </c>
      <c r="M180" s="39" t="s">
        <v>49</v>
      </c>
      <c r="N180" s="39" t="s">
        <v>49</v>
      </c>
      <c r="O180" s="44" t="s">
        <v>2853</v>
      </c>
      <c r="P180" s="39" t="s">
        <v>2854</v>
      </c>
    </row>
    <row r="181" ht="45.0" customHeight="1">
      <c r="A181" s="37" t="s">
        <v>814</v>
      </c>
      <c r="B181" s="47" t="str">
        <f>IMAGE("https://raw.githubusercontent.com/ltdimages/images/refs/heads/main/Treasure_Pearl.png")</f>
        <v/>
      </c>
      <c r="C181" s="39" t="s">
        <v>2855</v>
      </c>
      <c r="D181" s="39" t="s">
        <v>2316</v>
      </c>
      <c r="E181" s="39" t="s">
        <v>2574</v>
      </c>
      <c r="F181" s="48">
        <v>0.0</v>
      </c>
      <c r="G181" s="48">
        <v>90.0</v>
      </c>
      <c r="H181" s="39" t="s">
        <v>45</v>
      </c>
      <c r="I181" s="39" t="s">
        <v>2327</v>
      </c>
      <c r="J181" s="39" t="s">
        <v>49</v>
      </c>
      <c r="K181" s="39" t="s">
        <v>49</v>
      </c>
      <c r="L181" s="39" t="s">
        <v>49</v>
      </c>
      <c r="M181" s="39" t="s">
        <v>49</v>
      </c>
      <c r="N181" s="39" t="s">
        <v>45</v>
      </c>
      <c r="O181" s="44" t="s">
        <v>2856</v>
      </c>
      <c r="P181" s="39" t="s">
        <v>2857</v>
      </c>
    </row>
    <row r="182" ht="45.0" customHeight="1">
      <c r="A182" s="37" t="s">
        <v>818</v>
      </c>
      <c r="B182" s="47" t="str">
        <f>IMAGE("https://raw.githubusercontent.com/ltdimages/images/refs/heads/main/Treasure_RadenAccessoryCase.png")</f>
        <v/>
      </c>
      <c r="C182" s="39" t="s">
        <v>2858</v>
      </c>
      <c r="D182" s="39" t="s">
        <v>2316</v>
      </c>
      <c r="E182" s="39" t="s">
        <v>2574</v>
      </c>
      <c r="F182" s="48">
        <v>0.0</v>
      </c>
      <c r="G182" s="48">
        <v>72.0</v>
      </c>
      <c r="H182" s="39" t="s">
        <v>45</v>
      </c>
      <c r="I182" s="39" t="s">
        <v>48</v>
      </c>
      <c r="J182" s="39" t="s">
        <v>45</v>
      </c>
      <c r="K182" s="39" t="s">
        <v>49</v>
      </c>
      <c r="L182" s="39" t="s">
        <v>49</v>
      </c>
      <c r="M182" s="39" t="s">
        <v>49</v>
      </c>
      <c r="N182" s="39" t="s">
        <v>45</v>
      </c>
      <c r="O182" s="44" t="s">
        <v>2859</v>
      </c>
      <c r="P182" s="39" t="s">
        <v>2860</v>
      </c>
    </row>
    <row r="183" ht="45.0" customHeight="1">
      <c r="A183" s="37" t="s">
        <v>822</v>
      </c>
      <c r="B183" s="47" t="str">
        <f>IMAGE("https://raw.githubusercontent.com/ltdimages/images/refs/heads/main/Treasure080.png")</f>
        <v/>
      </c>
      <c r="C183" s="39" t="s">
        <v>2861</v>
      </c>
      <c r="D183" s="39" t="s">
        <v>2316</v>
      </c>
      <c r="E183" s="39" t="s">
        <v>2574</v>
      </c>
      <c r="F183" s="48">
        <v>0.0</v>
      </c>
      <c r="G183" s="48">
        <v>0.1</v>
      </c>
      <c r="H183" s="39" t="s">
        <v>45</v>
      </c>
      <c r="I183" s="39" t="s">
        <v>2327</v>
      </c>
      <c r="J183" s="39" t="s">
        <v>49</v>
      </c>
      <c r="K183" s="39" t="s">
        <v>49</v>
      </c>
      <c r="L183" s="39" t="s">
        <v>49</v>
      </c>
      <c r="M183" s="39" t="s">
        <v>49</v>
      </c>
      <c r="N183" s="39" t="s">
        <v>49</v>
      </c>
      <c r="O183" s="44" t="s">
        <v>2862</v>
      </c>
      <c r="P183" s="39" t="s">
        <v>2863</v>
      </c>
    </row>
    <row r="184" ht="45.0" customHeight="1">
      <c r="A184" s="37" t="s">
        <v>826</v>
      </c>
      <c r="B184" s="47" t="str">
        <f>IMAGE("https://raw.githubusercontent.com/ltdimages/images/refs/heads/main/Treasure_Perfume.png")</f>
        <v/>
      </c>
      <c r="C184" s="39" t="s">
        <v>2864</v>
      </c>
      <c r="D184" s="39" t="s">
        <v>2316</v>
      </c>
      <c r="E184" s="39" t="s">
        <v>2574</v>
      </c>
      <c r="F184" s="48">
        <v>0.0</v>
      </c>
      <c r="G184" s="48">
        <v>51.0</v>
      </c>
      <c r="H184" s="39" t="s">
        <v>45</v>
      </c>
      <c r="I184" s="39" t="s">
        <v>2327</v>
      </c>
      <c r="J184" s="39" t="s">
        <v>49</v>
      </c>
      <c r="K184" s="39" t="s">
        <v>49</v>
      </c>
      <c r="L184" s="39" t="s">
        <v>49</v>
      </c>
      <c r="M184" s="39" t="s">
        <v>49</v>
      </c>
      <c r="N184" s="39" t="s">
        <v>49</v>
      </c>
      <c r="O184" s="44" t="s">
        <v>2865</v>
      </c>
      <c r="P184" s="39" t="s">
        <v>2866</v>
      </c>
    </row>
    <row r="185" ht="45.0" customHeight="1">
      <c r="A185" s="37" t="s">
        <v>830</v>
      </c>
      <c r="B185" s="47" t="str">
        <f>IMAGE("https://raw.githubusercontent.com/ltdimages/images/refs/heads/main/Treasure_PostcardSet.png")</f>
        <v/>
      </c>
      <c r="C185" s="39" t="s">
        <v>2867</v>
      </c>
      <c r="D185" s="39" t="s">
        <v>2316</v>
      </c>
      <c r="E185" s="39" t="s">
        <v>2574</v>
      </c>
      <c r="F185" s="48">
        <v>0.0</v>
      </c>
      <c r="G185" s="48">
        <v>18.0</v>
      </c>
      <c r="H185" s="39" t="s">
        <v>45</v>
      </c>
      <c r="I185" s="39" t="s">
        <v>2002</v>
      </c>
      <c r="J185" s="39" t="s">
        <v>49</v>
      </c>
      <c r="K185" s="39" t="s">
        <v>49</v>
      </c>
      <c r="L185" s="39" t="s">
        <v>49</v>
      </c>
      <c r="M185" s="39" t="s">
        <v>49</v>
      </c>
      <c r="N185" s="39" t="s">
        <v>49</v>
      </c>
      <c r="O185" s="44" t="s">
        <v>2868</v>
      </c>
      <c r="P185" s="39" t="s">
        <v>2869</v>
      </c>
    </row>
    <row r="186" ht="45.0" customHeight="1">
      <c r="A186" s="37" t="s">
        <v>835</v>
      </c>
      <c r="B186" s="47" t="str">
        <f>IMAGE("https://raw.githubusercontent.com/ltdimages/images/refs/heads/main/Treasure_PigPiggyBank.png")</f>
        <v/>
      </c>
      <c r="C186" s="39" t="s">
        <v>2870</v>
      </c>
      <c r="D186" s="39" t="s">
        <v>2316</v>
      </c>
      <c r="E186" s="39" t="s">
        <v>2574</v>
      </c>
      <c r="F186" s="48">
        <v>0.0</v>
      </c>
      <c r="G186" s="48">
        <v>12.0</v>
      </c>
      <c r="H186" s="39" t="s">
        <v>45</v>
      </c>
      <c r="I186" s="39" t="s">
        <v>48</v>
      </c>
      <c r="J186" s="39" t="s">
        <v>49</v>
      </c>
      <c r="K186" s="39" t="s">
        <v>49</v>
      </c>
      <c r="L186" s="39" t="s">
        <v>49</v>
      </c>
      <c r="M186" s="39" t="s">
        <v>49</v>
      </c>
      <c r="N186" s="39" t="s">
        <v>49</v>
      </c>
      <c r="O186" s="44" t="s">
        <v>2871</v>
      </c>
      <c r="P186" s="39" t="s">
        <v>2872</v>
      </c>
    </row>
    <row r="187" ht="45.0" customHeight="1">
      <c r="A187" s="37" t="s">
        <v>839</v>
      </c>
      <c r="B187" s="47" t="str">
        <f>IMAGE("https://raw.githubusercontent.com/ltdimages/images/refs/heads/main/Treasure_Document.png")</f>
        <v/>
      </c>
      <c r="C187" s="39" t="s">
        <v>2873</v>
      </c>
      <c r="D187" s="39" t="s">
        <v>2316</v>
      </c>
      <c r="E187" s="39" t="s">
        <v>2574</v>
      </c>
      <c r="F187" s="48">
        <v>0.0</v>
      </c>
      <c r="G187" s="48">
        <v>8.0</v>
      </c>
      <c r="H187" s="39" t="s">
        <v>45</v>
      </c>
      <c r="I187" s="39" t="s">
        <v>2350</v>
      </c>
      <c r="J187" s="39" t="s">
        <v>49</v>
      </c>
      <c r="K187" s="39" t="s">
        <v>49</v>
      </c>
      <c r="L187" s="39" t="s">
        <v>49</v>
      </c>
      <c r="M187" s="39" t="s">
        <v>49</v>
      </c>
      <c r="N187" s="39" t="s">
        <v>49</v>
      </c>
      <c r="O187" s="44" t="s">
        <v>2874</v>
      </c>
      <c r="P187" s="39" t="s">
        <v>2875</v>
      </c>
    </row>
    <row r="188" ht="45.0" customHeight="1">
      <c r="A188" s="37" t="s">
        <v>844</v>
      </c>
      <c r="B188" s="47" t="str">
        <f>IMAGE("https://raw.githubusercontent.com/ltdimages/images/refs/heads/main/Treasure_Pinata.png")</f>
        <v/>
      </c>
      <c r="C188" s="39" t="s">
        <v>2876</v>
      </c>
      <c r="D188" s="39" t="s">
        <v>2316</v>
      </c>
      <c r="E188" s="39" t="s">
        <v>2574</v>
      </c>
      <c r="F188" s="48">
        <v>0.0</v>
      </c>
      <c r="G188" s="48">
        <v>15.0</v>
      </c>
      <c r="H188" s="39" t="s">
        <v>45</v>
      </c>
      <c r="I188" s="39" t="s">
        <v>2350</v>
      </c>
      <c r="J188" s="39" t="s">
        <v>49</v>
      </c>
      <c r="K188" s="39" t="s">
        <v>45</v>
      </c>
      <c r="L188" s="39" t="s">
        <v>49</v>
      </c>
      <c r="M188" s="39" t="s">
        <v>45</v>
      </c>
      <c r="N188" s="39" t="s">
        <v>45</v>
      </c>
      <c r="O188" s="44" t="s">
        <v>2877</v>
      </c>
      <c r="P188" s="39" t="s">
        <v>2878</v>
      </c>
    </row>
    <row r="189" ht="45.0" customHeight="1">
      <c r="A189" s="37" t="s">
        <v>848</v>
      </c>
      <c r="B189" s="47" t="str">
        <f>IMAGE("https://raw.githubusercontent.com/ltdimages/images/refs/heads/main/Treasure094.png")</f>
        <v/>
      </c>
      <c r="C189" s="39" t="s">
        <v>2879</v>
      </c>
      <c r="D189" s="39" t="s">
        <v>2316</v>
      </c>
      <c r="E189" s="39" t="s">
        <v>2574</v>
      </c>
      <c r="F189" s="48">
        <v>0.0</v>
      </c>
      <c r="G189" s="48">
        <v>0.5</v>
      </c>
      <c r="H189" s="39" t="s">
        <v>45</v>
      </c>
      <c r="I189" s="39" t="s">
        <v>2327</v>
      </c>
      <c r="J189" s="39" t="s">
        <v>49</v>
      </c>
      <c r="K189" s="39" t="s">
        <v>49</v>
      </c>
      <c r="L189" s="39" t="s">
        <v>49</v>
      </c>
      <c r="M189" s="39" t="s">
        <v>49</v>
      </c>
      <c r="N189" s="39" t="s">
        <v>49</v>
      </c>
      <c r="O189" s="44" t="s">
        <v>2880</v>
      </c>
      <c r="P189" s="39" t="s">
        <v>2881</v>
      </c>
    </row>
    <row r="190" ht="45.0" customHeight="1">
      <c r="A190" s="37" t="s">
        <v>852</v>
      </c>
      <c r="B190" s="47" t="str">
        <f>IMAGE("https://raw.githubusercontent.com/ltdimages/images/refs/heads/main/Treasure_PlasticModelParts.png")</f>
        <v/>
      </c>
      <c r="C190" s="39" t="s">
        <v>2882</v>
      </c>
      <c r="D190" s="39" t="s">
        <v>2316</v>
      </c>
      <c r="E190" s="39" t="s">
        <v>2574</v>
      </c>
      <c r="F190" s="48">
        <v>0.0</v>
      </c>
      <c r="G190" s="48">
        <v>0.1</v>
      </c>
      <c r="H190" s="39" t="s">
        <v>45</v>
      </c>
      <c r="I190" s="39" t="s">
        <v>48</v>
      </c>
      <c r="J190" s="39" t="s">
        <v>49</v>
      </c>
      <c r="K190" s="39" t="s">
        <v>49</v>
      </c>
      <c r="L190" s="39" t="s">
        <v>49</v>
      </c>
      <c r="M190" s="39" t="s">
        <v>49</v>
      </c>
      <c r="N190" s="39" t="s">
        <v>49</v>
      </c>
      <c r="O190" s="44" t="s">
        <v>2883</v>
      </c>
      <c r="P190" s="39" t="s">
        <v>2884</v>
      </c>
    </row>
    <row r="191" ht="45.0" customHeight="1">
      <c r="A191" s="37" t="s">
        <v>856</v>
      </c>
      <c r="B191" s="47" t="str">
        <f>IMAGE("https://raw.githubusercontent.com/ltdimages/images/refs/heads/main/Treasure_StuffedToyBear.png")</f>
        <v/>
      </c>
      <c r="C191" s="39" t="s">
        <v>2885</v>
      </c>
      <c r="D191" s="39" t="s">
        <v>2316</v>
      </c>
      <c r="E191" s="39" t="s">
        <v>2574</v>
      </c>
      <c r="F191" s="48">
        <v>0.0</v>
      </c>
      <c r="G191" s="48">
        <v>39.0</v>
      </c>
      <c r="H191" s="39" t="s">
        <v>45</v>
      </c>
      <c r="I191" s="39" t="s">
        <v>48</v>
      </c>
      <c r="J191" s="39" t="s">
        <v>49</v>
      </c>
      <c r="K191" s="39" t="s">
        <v>49</v>
      </c>
      <c r="L191" s="39" t="s">
        <v>49</v>
      </c>
      <c r="M191" s="39" t="s">
        <v>49</v>
      </c>
      <c r="N191" s="39" t="s">
        <v>49</v>
      </c>
      <c r="O191" s="44" t="s">
        <v>2886</v>
      </c>
      <c r="P191" s="39" t="s">
        <v>2887</v>
      </c>
    </row>
    <row r="192" ht="45.0" customHeight="1">
      <c r="A192" s="37" t="s">
        <v>860</v>
      </c>
      <c r="B192" s="47" t="str">
        <f>IMAGE("https://raw.githubusercontent.com/ltdimages/images/refs/heads/main/Treasure045.png")</f>
        <v/>
      </c>
      <c r="C192" s="39" t="s">
        <v>2888</v>
      </c>
      <c r="D192" s="39" t="s">
        <v>2316</v>
      </c>
      <c r="E192" s="39" t="s">
        <v>2574</v>
      </c>
      <c r="F192" s="48">
        <v>0.0</v>
      </c>
      <c r="G192" s="48">
        <v>135.0</v>
      </c>
      <c r="H192" s="39" t="s">
        <v>45</v>
      </c>
      <c r="I192" s="39" t="s">
        <v>2327</v>
      </c>
      <c r="J192" s="39" t="s">
        <v>49</v>
      </c>
      <c r="K192" s="39" t="s">
        <v>49</v>
      </c>
      <c r="L192" s="39" t="s">
        <v>49</v>
      </c>
      <c r="M192" s="39" t="s">
        <v>49</v>
      </c>
      <c r="N192" s="39" t="s">
        <v>49</v>
      </c>
      <c r="O192" s="44" t="s">
        <v>2889</v>
      </c>
      <c r="P192" s="39" t="s">
        <v>2890</v>
      </c>
    </row>
    <row r="193" ht="45.0" customHeight="1">
      <c r="A193" s="37" t="s">
        <v>864</v>
      </c>
      <c r="B193" s="47" t="str">
        <f>IMAGE("https://raw.githubusercontent.com/ltdimages/images/refs/heads/main/Treasure_Receipt.png")</f>
        <v/>
      </c>
      <c r="C193" s="39" t="s">
        <v>2891</v>
      </c>
      <c r="D193" s="39" t="s">
        <v>2316</v>
      </c>
      <c r="E193" s="39" t="s">
        <v>2574</v>
      </c>
      <c r="F193" s="48">
        <v>0.0</v>
      </c>
      <c r="G193" s="48">
        <v>0.1</v>
      </c>
      <c r="H193" s="39" t="s">
        <v>45</v>
      </c>
      <c r="I193" s="39" t="s">
        <v>2327</v>
      </c>
      <c r="J193" s="39" t="s">
        <v>49</v>
      </c>
      <c r="K193" s="39" t="s">
        <v>49</v>
      </c>
      <c r="L193" s="39" t="s">
        <v>49</v>
      </c>
      <c r="M193" s="39" t="s">
        <v>49</v>
      </c>
      <c r="N193" s="39" t="s">
        <v>49</v>
      </c>
      <c r="O193" s="44" t="s">
        <v>2892</v>
      </c>
      <c r="P193" s="39" t="s">
        <v>2893</v>
      </c>
    </row>
    <row r="194" ht="45.0" customHeight="1">
      <c r="A194" s="37" t="s">
        <v>868</v>
      </c>
      <c r="B194" s="47" t="str">
        <f>IMAGE("https://raw.githubusercontent.com/ltdimages/images/refs/heads/main/Treasure_RestaurantMenu.png")</f>
        <v/>
      </c>
      <c r="C194" s="39" t="s">
        <v>2894</v>
      </c>
      <c r="D194" s="39" t="s">
        <v>2316</v>
      </c>
      <c r="E194" s="39" t="s">
        <v>2574</v>
      </c>
      <c r="F194" s="48">
        <v>0.0</v>
      </c>
      <c r="G194" s="48">
        <v>12.0</v>
      </c>
      <c r="H194" s="39" t="s">
        <v>45</v>
      </c>
      <c r="I194" s="39" t="s">
        <v>2002</v>
      </c>
      <c r="J194" s="39" t="s">
        <v>49</v>
      </c>
      <c r="K194" s="39" t="s">
        <v>49</v>
      </c>
      <c r="L194" s="39" t="s">
        <v>49</v>
      </c>
      <c r="M194" s="39" t="s">
        <v>49</v>
      </c>
      <c r="N194" s="39" t="s">
        <v>49</v>
      </c>
      <c r="O194" s="44" t="s">
        <v>2895</v>
      </c>
      <c r="P194" s="39" t="s">
        <v>2896</v>
      </c>
    </row>
    <row r="195" ht="45.0" customHeight="1">
      <c r="A195" s="37" t="s">
        <v>872</v>
      </c>
      <c r="B195" s="47" t="str">
        <f>IMAGE("https://raw.githubusercontent.com/ltdimages/images/refs/heads/main/Treasure_StoneSpecimen.png")</f>
        <v/>
      </c>
      <c r="C195" s="39" t="s">
        <v>2897</v>
      </c>
      <c r="D195" s="39" t="s">
        <v>2316</v>
      </c>
      <c r="E195" s="39" t="s">
        <v>2574</v>
      </c>
      <c r="F195" s="48">
        <v>0.0</v>
      </c>
      <c r="G195" s="48">
        <v>40.0</v>
      </c>
      <c r="H195" s="39" t="s">
        <v>45</v>
      </c>
      <c r="I195" s="39" t="s">
        <v>2002</v>
      </c>
      <c r="J195" s="39" t="s">
        <v>49</v>
      </c>
      <c r="K195" s="39" t="s">
        <v>49</v>
      </c>
      <c r="L195" s="39" t="s">
        <v>49</v>
      </c>
      <c r="M195" s="39" t="s">
        <v>49</v>
      </c>
      <c r="N195" s="39" t="s">
        <v>49</v>
      </c>
      <c r="O195" s="44" t="s">
        <v>2898</v>
      </c>
      <c r="P195" s="39" t="s">
        <v>2899</v>
      </c>
    </row>
    <row r="196" ht="45.0" customHeight="1">
      <c r="A196" s="37" t="s">
        <v>877</v>
      </c>
      <c r="B196" s="47" t="str">
        <f>IMAGE("https://raw.githubusercontent.com/ltdimages/images/refs/heads/main/Treasure_Tile.png")</f>
        <v/>
      </c>
      <c r="C196" s="39" t="s">
        <v>2900</v>
      </c>
      <c r="D196" s="39" t="s">
        <v>2316</v>
      </c>
      <c r="E196" s="39" t="s">
        <v>2574</v>
      </c>
      <c r="F196" s="48">
        <v>0.0</v>
      </c>
      <c r="G196" s="48">
        <v>7.0</v>
      </c>
      <c r="H196" s="39" t="s">
        <v>45</v>
      </c>
      <c r="I196" s="39" t="s">
        <v>2350</v>
      </c>
      <c r="J196" s="39" t="s">
        <v>45</v>
      </c>
      <c r="K196" s="39" t="s">
        <v>49</v>
      </c>
      <c r="L196" s="39" t="s">
        <v>49</v>
      </c>
      <c r="M196" s="39" t="s">
        <v>49</v>
      </c>
      <c r="N196" s="39" t="s">
        <v>45</v>
      </c>
      <c r="O196" s="44" t="s">
        <v>2901</v>
      </c>
      <c r="P196" s="39" t="s">
        <v>2902</v>
      </c>
    </row>
    <row r="197" ht="45.0" customHeight="1">
      <c r="A197" s="37" t="s">
        <v>881</v>
      </c>
      <c r="B197" s="47" t="str">
        <f>IMAGE("https://raw.githubusercontent.com/ltdimages/images/refs/heads/main/Treasure061.png")</f>
        <v/>
      </c>
      <c r="C197" s="39" t="s">
        <v>2903</v>
      </c>
      <c r="D197" s="39" t="s">
        <v>2316</v>
      </c>
      <c r="E197" s="39" t="s">
        <v>2574</v>
      </c>
      <c r="F197" s="48">
        <v>0.0</v>
      </c>
      <c r="G197" s="48">
        <v>10.0</v>
      </c>
      <c r="H197" s="39" t="s">
        <v>45</v>
      </c>
      <c r="I197" s="39" t="s">
        <v>48</v>
      </c>
      <c r="J197" s="39" t="s">
        <v>49</v>
      </c>
      <c r="K197" s="39" t="s">
        <v>49</v>
      </c>
      <c r="L197" s="39" t="s">
        <v>49</v>
      </c>
      <c r="M197" s="39" t="s">
        <v>49</v>
      </c>
      <c r="N197" s="39" t="s">
        <v>49</v>
      </c>
      <c r="O197" s="44" t="s">
        <v>2904</v>
      </c>
      <c r="P197" s="39" t="s">
        <v>2905</v>
      </c>
    </row>
    <row r="198" ht="45.0" customHeight="1">
      <c r="A198" s="37" t="s">
        <v>885</v>
      </c>
      <c r="B198" s="47" t="str">
        <f>IMAGE("https://raw.githubusercontent.com/ltdimages/images/refs/heads/main/Treasure040.png")</f>
        <v/>
      </c>
      <c r="C198" s="39" t="s">
        <v>2906</v>
      </c>
      <c r="D198" s="39" t="s">
        <v>2316</v>
      </c>
      <c r="E198" s="39" t="s">
        <v>2574</v>
      </c>
      <c r="F198" s="48">
        <v>0.0</v>
      </c>
      <c r="G198" s="48">
        <v>4.0</v>
      </c>
      <c r="H198" s="39" t="s">
        <v>45</v>
      </c>
      <c r="I198" s="39" t="s">
        <v>2327</v>
      </c>
      <c r="J198" s="39" t="s">
        <v>49</v>
      </c>
      <c r="K198" s="39" t="s">
        <v>49</v>
      </c>
      <c r="L198" s="39" t="s">
        <v>49</v>
      </c>
      <c r="M198" s="39" t="s">
        <v>49</v>
      </c>
      <c r="N198" s="39" t="s">
        <v>49</v>
      </c>
      <c r="O198" s="44" t="s">
        <v>2907</v>
      </c>
      <c r="P198" s="39" t="s">
        <v>2908</v>
      </c>
    </row>
    <row r="199" ht="45.0" customHeight="1">
      <c r="A199" s="37" t="s">
        <v>889</v>
      </c>
      <c r="B199" s="47" t="str">
        <f>IMAGE("https://raw.githubusercontent.com/ltdimages/images/refs/heads/main/Treasure_Ruby.png")</f>
        <v/>
      </c>
      <c r="C199" s="39" t="s">
        <v>2909</v>
      </c>
      <c r="D199" s="39" t="s">
        <v>2316</v>
      </c>
      <c r="E199" s="39" t="s">
        <v>2574</v>
      </c>
      <c r="F199" s="48">
        <v>0.0</v>
      </c>
      <c r="G199" s="48">
        <v>166.0</v>
      </c>
      <c r="H199" s="39" t="s">
        <v>45</v>
      </c>
      <c r="I199" s="39" t="s">
        <v>2327</v>
      </c>
      <c r="J199" s="39" t="s">
        <v>49</v>
      </c>
      <c r="K199" s="39" t="s">
        <v>49</v>
      </c>
      <c r="L199" s="39" t="s">
        <v>49</v>
      </c>
      <c r="M199" s="39" t="s">
        <v>49</v>
      </c>
      <c r="N199" s="39" t="s">
        <v>49</v>
      </c>
      <c r="O199" s="44" t="s">
        <v>2910</v>
      </c>
      <c r="P199" s="39" t="s">
        <v>2911</v>
      </c>
    </row>
    <row r="200" ht="45.0" customHeight="1">
      <c r="A200" s="37" t="s">
        <v>893</v>
      </c>
      <c r="B200" s="47" t="str">
        <f>IMAGE("https://raw.githubusercontent.com/ltdimages/images/refs/heads/main/Treasure_Cashbox.png")</f>
        <v/>
      </c>
      <c r="C200" s="39" t="s">
        <v>2912</v>
      </c>
      <c r="D200" s="39" t="s">
        <v>2316</v>
      </c>
      <c r="E200" s="39" t="s">
        <v>2574</v>
      </c>
      <c r="F200" s="48">
        <v>0.0</v>
      </c>
      <c r="G200" s="48">
        <v>29.8</v>
      </c>
      <c r="H200" s="39" t="s">
        <v>45</v>
      </c>
      <c r="I200" s="39" t="s">
        <v>2350</v>
      </c>
      <c r="J200" s="39" t="s">
        <v>49</v>
      </c>
      <c r="K200" s="39" t="s">
        <v>49</v>
      </c>
      <c r="L200" s="39" t="s">
        <v>49</v>
      </c>
      <c r="M200" s="39" t="s">
        <v>49</v>
      </c>
      <c r="N200" s="39" t="s">
        <v>49</v>
      </c>
      <c r="O200" s="44" t="s">
        <v>2913</v>
      </c>
      <c r="P200" s="39" t="s">
        <v>2914</v>
      </c>
    </row>
    <row r="201" ht="45.0" customHeight="1">
      <c r="A201" s="37" t="s">
        <v>897</v>
      </c>
      <c r="B201" s="47" t="str">
        <f>IMAGE("https://raw.githubusercontent.com/ltdimages/images/refs/heads/main/Treasure_Antenna.png")</f>
        <v/>
      </c>
      <c r="C201" s="39" t="s">
        <v>2915</v>
      </c>
      <c r="D201" s="39" t="s">
        <v>2316</v>
      </c>
      <c r="E201" s="39" t="s">
        <v>2574</v>
      </c>
      <c r="F201" s="48">
        <v>0.0</v>
      </c>
      <c r="G201" s="48">
        <v>47.0</v>
      </c>
      <c r="H201" s="39" t="s">
        <v>45</v>
      </c>
      <c r="I201" s="39" t="s">
        <v>2350</v>
      </c>
      <c r="J201" s="39" t="s">
        <v>49</v>
      </c>
      <c r="K201" s="39" t="s">
        <v>49</v>
      </c>
      <c r="L201" s="39" t="s">
        <v>49</v>
      </c>
      <c r="M201" s="39" t="s">
        <v>49</v>
      </c>
      <c r="N201" s="39" t="s">
        <v>49</v>
      </c>
      <c r="O201" s="44" t="s">
        <v>2916</v>
      </c>
      <c r="P201" s="39" t="s">
        <v>2917</v>
      </c>
    </row>
    <row r="202" ht="45.0" customHeight="1">
      <c r="A202" s="37" t="s">
        <v>901</v>
      </c>
      <c r="B202" s="47" t="str">
        <f>IMAGE("https://raw.githubusercontent.com/ltdimages/images/refs/heads/main/Treasure_Vihta.png")</f>
        <v/>
      </c>
      <c r="C202" s="39" t="s">
        <v>2918</v>
      </c>
      <c r="D202" s="39" t="s">
        <v>2316</v>
      </c>
      <c r="E202" s="39" t="s">
        <v>2574</v>
      </c>
      <c r="F202" s="48">
        <v>0.0</v>
      </c>
      <c r="G202" s="48">
        <v>34.0</v>
      </c>
      <c r="H202" s="39" t="s">
        <v>45</v>
      </c>
      <c r="I202" s="39" t="s">
        <v>2002</v>
      </c>
      <c r="J202" s="39" t="s">
        <v>49</v>
      </c>
      <c r="K202" s="39" t="s">
        <v>49</v>
      </c>
      <c r="L202" s="39" t="s">
        <v>49</v>
      </c>
      <c r="M202" s="39" t="s">
        <v>49</v>
      </c>
      <c r="N202" s="39" t="s">
        <v>49</v>
      </c>
      <c r="O202" s="44" t="s">
        <v>2919</v>
      </c>
      <c r="P202" s="39" t="s">
        <v>2920</v>
      </c>
    </row>
    <row r="203" ht="45.0" customHeight="1">
      <c r="A203" s="37" t="s">
        <v>905</v>
      </c>
      <c r="B203" s="47" t="str">
        <f>IMAGE("https://raw.githubusercontent.com/ltdimages/images/refs/heads/main/Treasure085.png")</f>
        <v/>
      </c>
      <c r="C203" s="39" t="s">
        <v>2921</v>
      </c>
      <c r="D203" s="39" t="s">
        <v>2316</v>
      </c>
      <c r="E203" s="39" t="s">
        <v>2574</v>
      </c>
      <c r="F203" s="48">
        <v>0.0</v>
      </c>
      <c r="G203" s="48">
        <v>3.0</v>
      </c>
      <c r="H203" s="39" t="s">
        <v>45</v>
      </c>
      <c r="I203" s="39" t="s">
        <v>2327</v>
      </c>
      <c r="J203" s="39" t="s">
        <v>49</v>
      </c>
      <c r="K203" s="39" t="s">
        <v>49</v>
      </c>
      <c r="L203" s="39" t="s">
        <v>49</v>
      </c>
      <c r="M203" s="39" t="s">
        <v>49</v>
      </c>
      <c r="N203" s="39" t="s">
        <v>49</v>
      </c>
      <c r="O203" s="44" t="s">
        <v>2922</v>
      </c>
      <c r="P203" s="44" t="s">
        <v>2923</v>
      </c>
    </row>
    <row r="204" ht="45.0" customHeight="1">
      <c r="A204" s="37" t="s">
        <v>909</v>
      </c>
      <c r="B204" s="47" t="str">
        <f>IMAGE("https://raw.githubusercontent.com/ltdimages/images/refs/heads/main/Treasure015.png")</f>
        <v/>
      </c>
      <c r="C204" s="39" t="s">
        <v>2924</v>
      </c>
      <c r="D204" s="39" t="s">
        <v>2316</v>
      </c>
      <c r="E204" s="39" t="s">
        <v>2574</v>
      </c>
      <c r="F204" s="48">
        <v>0.0</v>
      </c>
      <c r="G204" s="48">
        <v>0.1</v>
      </c>
      <c r="H204" s="39" t="s">
        <v>45</v>
      </c>
      <c r="I204" s="39" t="s">
        <v>2327</v>
      </c>
      <c r="J204" s="39" t="s">
        <v>49</v>
      </c>
      <c r="K204" s="39" t="s">
        <v>49</v>
      </c>
      <c r="L204" s="39" t="s">
        <v>49</v>
      </c>
      <c r="M204" s="39" t="s">
        <v>49</v>
      </c>
      <c r="N204" s="39" t="s">
        <v>49</v>
      </c>
      <c r="O204" s="44" t="s">
        <v>2925</v>
      </c>
      <c r="P204" s="39" t="s">
        <v>2926</v>
      </c>
    </row>
    <row r="205" ht="45.0" customHeight="1">
      <c r="A205" s="37" t="s">
        <v>913</v>
      </c>
      <c r="B205" s="47" t="str">
        <f>IMAGE("https://raw.githubusercontent.com/ltdimages/images/refs/heads/main/Treasure013.png")</f>
        <v/>
      </c>
      <c r="C205" s="39" t="s">
        <v>2927</v>
      </c>
      <c r="D205" s="39" t="s">
        <v>2316</v>
      </c>
      <c r="E205" s="39" t="s">
        <v>2574</v>
      </c>
      <c r="F205" s="48">
        <v>0.0</v>
      </c>
      <c r="G205" s="48">
        <v>0.7</v>
      </c>
      <c r="H205" s="39" t="s">
        <v>45</v>
      </c>
      <c r="I205" s="39" t="s">
        <v>2327</v>
      </c>
      <c r="J205" s="39" t="s">
        <v>49</v>
      </c>
      <c r="K205" s="39" t="s">
        <v>49</v>
      </c>
      <c r="L205" s="39" t="s">
        <v>49</v>
      </c>
      <c r="M205" s="39" t="s">
        <v>49</v>
      </c>
      <c r="N205" s="39" t="s">
        <v>49</v>
      </c>
      <c r="O205" s="44" t="s">
        <v>2928</v>
      </c>
      <c r="P205" s="39" t="s">
        <v>2929</v>
      </c>
    </row>
    <row r="206" ht="45.0" customHeight="1">
      <c r="A206" s="37" t="s">
        <v>917</v>
      </c>
      <c r="B206" s="47" t="str">
        <f>IMAGE("https://raw.githubusercontent.com/ltdimages/images/refs/heads/main/Treasure_SeaUrchinBone.png")</f>
        <v/>
      </c>
      <c r="C206" s="39" t="s">
        <v>2930</v>
      </c>
      <c r="D206" s="39" t="s">
        <v>2316</v>
      </c>
      <c r="E206" s="39" t="s">
        <v>2574</v>
      </c>
      <c r="F206" s="48">
        <v>0.0</v>
      </c>
      <c r="G206" s="48">
        <v>0.1</v>
      </c>
      <c r="H206" s="39" t="s">
        <v>45</v>
      </c>
      <c r="I206" s="39" t="s">
        <v>2327</v>
      </c>
      <c r="J206" s="39" t="s">
        <v>49</v>
      </c>
      <c r="K206" s="39" t="s">
        <v>49</v>
      </c>
      <c r="L206" s="39" t="s">
        <v>49</v>
      </c>
      <c r="M206" s="39" t="s">
        <v>49</v>
      </c>
      <c r="N206" s="39" t="s">
        <v>49</v>
      </c>
      <c r="O206" s="44" t="s">
        <v>2931</v>
      </c>
      <c r="P206" s="39" t="s">
        <v>2932</v>
      </c>
    </row>
    <row r="207" ht="45.0" customHeight="1">
      <c r="A207" s="37" t="s">
        <v>921</v>
      </c>
      <c r="B207" s="47" t="str">
        <f>IMAGE("https://raw.githubusercontent.com/ltdimages/images/refs/heads/main/Treasure118.png")</f>
        <v/>
      </c>
      <c r="C207" s="39" t="s">
        <v>2933</v>
      </c>
      <c r="D207" s="39" t="s">
        <v>2316</v>
      </c>
      <c r="E207" s="39" t="s">
        <v>2574</v>
      </c>
      <c r="F207" s="48">
        <v>0.0</v>
      </c>
      <c r="G207" s="48">
        <v>75.0</v>
      </c>
      <c r="H207" s="39" t="s">
        <v>45</v>
      </c>
      <c r="I207" s="39" t="s">
        <v>2350</v>
      </c>
      <c r="J207" s="39" t="s">
        <v>49</v>
      </c>
      <c r="K207" s="39" t="s">
        <v>49</v>
      </c>
      <c r="L207" s="39" t="s">
        <v>49</v>
      </c>
      <c r="M207" s="39" t="s">
        <v>49</v>
      </c>
      <c r="N207" s="39" t="s">
        <v>49</v>
      </c>
      <c r="O207" s="44" t="s">
        <v>2934</v>
      </c>
      <c r="P207" s="39" t="s">
        <v>2935</v>
      </c>
    </row>
    <row r="208" ht="45.0" customHeight="1">
      <c r="A208" s="37" t="s">
        <v>925</v>
      </c>
      <c r="B208" s="47" t="str">
        <f>IMAGE("https://raw.githubusercontent.com/ltdimages/images/refs/heads/main/Treasure_GlitterBeads.png")</f>
        <v/>
      </c>
      <c r="C208" s="39" t="s">
        <v>2936</v>
      </c>
      <c r="D208" s="39" t="s">
        <v>2316</v>
      </c>
      <c r="E208" s="39" t="s">
        <v>2574</v>
      </c>
      <c r="F208" s="48">
        <v>0.0</v>
      </c>
      <c r="G208" s="48">
        <v>3.5</v>
      </c>
      <c r="H208" s="39" t="s">
        <v>45</v>
      </c>
      <c r="I208" s="39" t="s">
        <v>2327</v>
      </c>
      <c r="J208" s="39" t="s">
        <v>49</v>
      </c>
      <c r="K208" s="39" t="s">
        <v>49</v>
      </c>
      <c r="L208" s="39" t="s">
        <v>49</v>
      </c>
      <c r="M208" s="39" t="s">
        <v>49</v>
      </c>
      <c r="N208" s="39" t="s">
        <v>49</v>
      </c>
      <c r="O208" s="44" t="s">
        <v>2937</v>
      </c>
      <c r="P208" s="39" t="s">
        <v>2938</v>
      </c>
    </row>
    <row r="209" ht="45.0" customHeight="1">
      <c r="A209" s="37" t="s">
        <v>929</v>
      </c>
      <c r="B209" s="47" t="str">
        <f>IMAGE("https://raw.githubusercontent.com/ltdimages/images/refs/heads/main/Treasure_BottleShip.png")</f>
        <v/>
      </c>
      <c r="C209" s="39" t="s">
        <v>2939</v>
      </c>
      <c r="D209" s="39" t="s">
        <v>2316</v>
      </c>
      <c r="E209" s="39" t="s">
        <v>2574</v>
      </c>
      <c r="F209" s="48">
        <v>0.0</v>
      </c>
      <c r="G209" s="48">
        <v>45.0</v>
      </c>
      <c r="H209" s="39" t="s">
        <v>45</v>
      </c>
      <c r="I209" s="39" t="s">
        <v>2350</v>
      </c>
      <c r="J209" s="39" t="s">
        <v>49</v>
      </c>
      <c r="K209" s="39" t="s">
        <v>49</v>
      </c>
      <c r="L209" s="39" t="s">
        <v>49</v>
      </c>
      <c r="M209" s="39" t="s">
        <v>49</v>
      </c>
      <c r="N209" s="39" t="s">
        <v>49</v>
      </c>
      <c r="O209" s="44" t="s">
        <v>2940</v>
      </c>
      <c r="P209" s="39" t="s">
        <v>2941</v>
      </c>
    </row>
    <row r="210" ht="45.0" customHeight="1">
      <c r="A210" s="37" t="s">
        <v>933</v>
      </c>
      <c r="B210" s="47" t="str">
        <f>IMAGE("https://raw.githubusercontent.com/ltdimages/images/refs/heads/main/Treasure055.png")</f>
        <v/>
      </c>
      <c r="C210" s="39" t="s">
        <v>2942</v>
      </c>
      <c r="D210" s="39" t="s">
        <v>2316</v>
      </c>
      <c r="E210" s="39" t="s">
        <v>2574</v>
      </c>
      <c r="F210" s="48">
        <v>0.0</v>
      </c>
      <c r="G210" s="48">
        <v>15.0</v>
      </c>
      <c r="H210" s="39" t="s">
        <v>45</v>
      </c>
      <c r="I210" s="39" t="s">
        <v>2350</v>
      </c>
      <c r="J210" s="39" t="s">
        <v>49</v>
      </c>
      <c r="K210" s="39" t="s">
        <v>49</v>
      </c>
      <c r="L210" s="39" t="s">
        <v>45</v>
      </c>
      <c r="M210" s="39" t="s">
        <v>49</v>
      </c>
      <c r="N210" s="39" t="s">
        <v>45</v>
      </c>
      <c r="O210" s="44" t="s">
        <v>2943</v>
      </c>
      <c r="P210" s="39" t="s">
        <v>2944</v>
      </c>
    </row>
    <row r="211" ht="45.0" customHeight="1">
      <c r="A211" s="37" t="s">
        <v>937</v>
      </c>
      <c r="B211" s="47" t="str">
        <f>IMAGE("https://raw.githubusercontent.com/ltdimages/images/refs/heads/main/Treasure_Slime.png")</f>
        <v/>
      </c>
      <c r="C211" s="39" t="s">
        <v>2945</v>
      </c>
      <c r="D211" s="39" t="s">
        <v>2316</v>
      </c>
      <c r="E211" s="39" t="s">
        <v>2574</v>
      </c>
      <c r="F211" s="48">
        <v>0.0</v>
      </c>
      <c r="G211" s="48">
        <v>0.4</v>
      </c>
      <c r="H211" s="39" t="s">
        <v>45</v>
      </c>
      <c r="I211" s="39" t="s">
        <v>2327</v>
      </c>
      <c r="J211" s="39" t="s">
        <v>49</v>
      </c>
      <c r="K211" s="39" t="s">
        <v>49</v>
      </c>
      <c r="L211" s="39" t="s">
        <v>49</v>
      </c>
      <c r="M211" s="39" t="s">
        <v>49</v>
      </c>
      <c r="N211" s="39" t="s">
        <v>49</v>
      </c>
      <c r="O211" s="44" t="s">
        <v>2946</v>
      </c>
      <c r="P211" s="39" t="s">
        <v>2947</v>
      </c>
    </row>
    <row r="212" ht="45.0" customHeight="1">
      <c r="A212" s="37" t="s">
        <v>941</v>
      </c>
      <c r="B212" s="47" t="str">
        <f>IMAGE("https://raw.githubusercontent.com/ltdimages/images/refs/heads/main/Treasure138.png")</f>
        <v/>
      </c>
      <c r="C212" s="39" t="s">
        <v>2948</v>
      </c>
      <c r="D212" s="39" t="s">
        <v>2316</v>
      </c>
      <c r="E212" s="39" t="s">
        <v>2574</v>
      </c>
      <c r="F212" s="48">
        <v>0.0</v>
      </c>
      <c r="G212" s="48">
        <v>150.0</v>
      </c>
      <c r="H212" s="39" t="s">
        <v>45</v>
      </c>
      <c r="I212" s="39" t="s">
        <v>2350</v>
      </c>
      <c r="J212" s="39" t="s">
        <v>49</v>
      </c>
      <c r="K212" s="39" t="s">
        <v>49</v>
      </c>
      <c r="L212" s="39" t="s">
        <v>49</v>
      </c>
      <c r="M212" s="39" t="s">
        <v>49</v>
      </c>
      <c r="N212" s="39" t="s">
        <v>49</v>
      </c>
      <c r="O212" s="44" t="s">
        <v>2949</v>
      </c>
      <c r="P212" s="39" t="s">
        <v>2950</v>
      </c>
    </row>
    <row r="213" ht="45.0" customHeight="1">
      <c r="A213" s="37" t="s">
        <v>945</v>
      </c>
      <c r="B213" s="47" t="str">
        <f>IMAGE("https://raw.githubusercontent.com/ltdimages/images/refs/heads/main/Treasure_GoldCup.png")</f>
        <v/>
      </c>
      <c r="C213" s="39" t="s">
        <v>2951</v>
      </c>
      <c r="D213" s="39" t="s">
        <v>2316</v>
      </c>
      <c r="E213" s="39" t="s">
        <v>2574</v>
      </c>
      <c r="F213" s="48">
        <v>0.0</v>
      </c>
      <c r="G213" s="48">
        <v>850.0</v>
      </c>
      <c r="H213" s="39" t="s">
        <v>45</v>
      </c>
      <c r="I213" s="39" t="s">
        <v>2350</v>
      </c>
      <c r="J213" s="39" t="s">
        <v>45</v>
      </c>
      <c r="K213" s="39" t="s">
        <v>49</v>
      </c>
      <c r="L213" s="39" t="s">
        <v>49</v>
      </c>
      <c r="M213" s="39" t="s">
        <v>49</v>
      </c>
      <c r="N213" s="39" t="s">
        <v>45</v>
      </c>
      <c r="O213" s="44" t="s">
        <v>2952</v>
      </c>
      <c r="P213" s="39" t="s">
        <v>2953</v>
      </c>
    </row>
    <row r="214" ht="45.0" customHeight="1">
      <c r="A214" s="37" t="s">
        <v>949</v>
      </c>
      <c r="B214" s="47" t="str">
        <f>IMAGE("https://raw.githubusercontent.com/ltdimages/images/refs/heads/main/Treasure031.png")</f>
        <v/>
      </c>
      <c r="C214" s="39" t="s">
        <v>2954</v>
      </c>
      <c r="D214" s="39" t="s">
        <v>2316</v>
      </c>
      <c r="E214" s="39" t="s">
        <v>2574</v>
      </c>
      <c r="F214" s="48">
        <v>0.0</v>
      </c>
      <c r="G214" s="48">
        <v>7.0</v>
      </c>
      <c r="H214" s="39" t="s">
        <v>45</v>
      </c>
      <c r="I214" s="39" t="s">
        <v>2002</v>
      </c>
      <c r="J214" s="39" t="s">
        <v>49</v>
      </c>
      <c r="K214" s="39" t="s">
        <v>49</v>
      </c>
      <c r="L214" s="39" t="s">
        <v>49</v>
      </c>
      <c r="M214" s="39" t="s">
        <v>49</v>
      </c>
      <c r="N214" s="39" t="s">
        <v>49</v>
      </c>
      <c r="O214" s="44" t="s">
        <v>2955</v>
      </c>
      <c r="P214" s="39" t="s">
        <v>2956</v>
      </c>
    </row>
    <row r="215" ht="45.0" customHeight="1">
      <c r="A215" s="37" t="s">
        <v>954</v>
      </c>
      <c r="B215" s="47" t="str">
        <f>IMAGE("https://raw.githubusercontent.com/ltdimages/images/refs/heads/main/Treasure_SatueOfLiberty.png")</f>
        <v/>
      </c>
      <c r="C215" s="39" t="s">
        <v>2957</v>
      </c>
      <c r="D215" s="39" t="s">
        <v>2316</v>
      </c>
      <c r="E215" s="39" t="s">
        <v>2574</v>
      </c>
      <c r="F215" s="48">
        <v>0.0</v>
      </c>
      <c r="G215" s="48">
        <v>34.0</v>
      </c>
      <c r="H215" s="39" t="s">
        <v>45</v>
      </c>
      <c r="I215" s="39" t="s">
        <v>2002</v>
      </c>
      <c r="J215" s="39" t="s">
        <v>49</v>
      </c>
      <c r="K215" s="39" t="s">
        <v>49</v>
      </c>
      <c r="L215" s="39" t="s">
        <v>49</v>
      </c>
      <c r="M215" s="39" t="s">
        <v>49</v>
      </c>
      <c r="N215" s="39" t="s">
        <v>49</v>
      </c>
      <c r="O215" s="44" t="s">
        <v>2958</v>
      </c>
      <c r="P215" s="39" t="s">
        <v>2959</v>
      </c>
    </row>
    <row r="216" ht="45.0" customHeight="1">
      <c r="A216" s="37" t="s">
        <v>958</v>
      </c>
      <c r="B216" s="47" t="str">
        <f>IMAGE("https://raw.githubusercontent.com/ltdimages/images/refs/heads/main/Treasure_Stopwatch.png")</f>
        <v/>
      </c>
      <c r="C216" s="39" t="s">
        <v>2960</v>
      </c>
      <c r="D216" s="39" t="s">
        <v>2316</v>
      </c>
      <c r="E216" s="39" t="s">
        <v>2574</v>
      </c>
      <c r="F216" s="48">
        <v>0.0</v>
      </c>
      <c r="G216" s="48">
        <v>16.0</v>
      </c>
      <c r="H216" s="39" t="s">
        <v>45</v>
      </c>
      <c r="I216" s="39" t="s">
        <v>2002</v>
      </c>
      <c r="J216" s="39" t="s">
        <v>49</v>
      </c>
      <c r="K216" s="39" t="s">
        <v>49</v>
      </c>
      <c r="L216" s="39" t="s">
        <v>49</v>
      </c>
      <c r="M216" s="39" t="s">
        <v>49</v>
      </c>
      <c r="N216" s="39" t="s">
        <v>49</v>
      </c>
      <c r="O216" s="44" t="s">
        <v>2961</v>
      </c>
      <c r="P216" s="39" t="s">
        <v>2962</v>
      </c>
    </row>
    <row r="217" ht="45.0" customHeight="1">
      <c r="A217" s="37" t="s">
        <v>962</v>
      </c>
      <c r="B217" s="47" t="str">
        <f>IMAGE("https://raw.githubusercontent.com/ltdimages/images/refs/heads/main/Treasure_Superscope.png")</f>
        <v/>
      </c>
      <c r="C217" s="39" t="s">
        <v>2963</v>
      </c>
      <c r="D217" s="39" t="s">
        <v>2316</v>
      </c>
      <c r="E217" s="39" t="s">
        <v>2574</v>
      </c>
      <c r="F217" s="48">
        <v>0.0</v>
      </c>
      <c r="G217" s="48">
        <v>95.0</v>
      </c>
      <c r="H217" s="39" t="s">
        <v>45</v>
      </c>
      <c r="I217" s="39" t="s">
        <v>2350</v>
      </c>
      <c r="J217" s="39" t="s">
        <v>49</v>
      </c>
      <c r="K217" s="39" t="s">
        <v>49</v>
      </c>
      <c r="L217" s="39" t="s">
        <v>49</v>
      </c>
      <c r="M217" s="39" t="s">
        <v>49</v>
      </c>
      <c r="N217" s="39" t="s">
        <v>49</v>
      </c>
      <c r="O217" s="44" t="s">
        <v>2964</v>
      </c>
      <c r="P217" s="39" t="s">
        <v>2965</v>
      </c>
    </row>
    <row r="218" ht="45.0" customHeight="1">
      <c r="A218" s="37" t="s">
        <v>966</v>
      </c>
      <c r="B218" s="47" t="str">
        <f>IMAGE("https://raw.githubusercontent.com/ltdimages/images/refs/heads/main/Treasure_SuspiciousSwitch.png")</f>
        <v/>
      </c>
      <c r="C218" s="39" t="s">
        <v>2966</v>
      </c>
      <c r="D218" s="39" t="s">
        <v>2316</v>
      </c>
      <c r="E218" s="39" t="s">
        <v>2574</v>
      </c>
      <c r="F218" s="48">
        <v>0.0</v>
      </c>
      <c r="G218" s="48">
        <v>7.7</v>
      </c>
      <c r="H218" s="39" t="s">
        <v>45</v>
      </c>
      <c r="I218" s="39" t="s">
        <v>48</v>
      </c>
      <c r="J218" s="39" t="s">
        <v>49</v>
      </c>
      <c r="K218" s="39" t="s">
        <v>49</v>
      </c>
      <c r="L218" s="39" t="s">
        <v>49</v>
      </c>
      <c r="M218" s="39" t="s">
        <v>49</v>
      </c>
      <c r="N218" s="39" t="s">
        <v>49</v>
      </c>
      <c r="O218" s="44" t="s">
        <v>2967</v>
      </c>
      <c r="P218" s="39" t="s">
        <v>2968</v>
      </c>
    </row>
    <row r="219" ht="45.0" customHeight="1">
      <c r="A219" s="37" t="s">
        <v>970</v>
      </c>
      <c r="B219" s="47" t="str">
        <f>IMAGE("https://raw.githubusercontent.com/ltdimages/images/refs/heads/main/Treasure_MoodLight.png")</f>
        <v/>
      </c>
      <c r="C219" s="39" t="s">
        <v>2969</v>
      </c>
      <c r="D219" s="39" t="s">
        <v>2316</v>
      </c>
      <c r="E219" s="39" t="s">
        <v>2574</v>
      </c>
      <c r="F219" s="48">
        <v>0.0</v>
      </c>
      <c r="G219" s="48">
        <v>19.0</v>
      </c>
      <c r="H219" s="39" t="s">
        <v>45</v>
      </c>
      <c r="I219" s="39" t="s">
        <v>48</v>
      </c>
      <c r="J219" s="39" t="s">
        <v>49</v>
      </c>
      <c r="K219" s="39" t="s">
        <v>49</v>
      </c>
      <c r="L219" s="39" t="s">
        <v>49</v>
      </c>
      <c r="M219" s="39" t="s">
        <v>49</v>
      </c>
      <c r="N219" s="39" t="s">
        <v>49</v>
      </c>
      <c r="O219" s="44" t="s">
        <v>2970</v>
      </c>
      <c r="P219" s="39" t="s">
        <v>2971</v>
      </c>
    </row>
    <row r="220" ht="45.0" customHeight="1">
      <c r="A220" s="37" t="s">
        <v>974</v>
      </c>
      <c r="B220" s="47" t="str">
        <f>IMAGE("https://raw.githubusercontent.com/ltdimages/images/refs/heads/main/Treasure091.png")</f>
        <v/>
      </c>
      <c r="C220" s="39" t="s">
        <v>2972</v>
      </c>
      <c r="D220" s="39" t="s">
        <v>2316</v>
      </c>
      <c r="E220" s="39" t="s">
        <v>2574</v>
      </c>
      <c r="F220" s="48">
        <v>0.0</v>
      </c>
      <c r="G220" s="48">
        <v>30.0</v>
      </c>
      <c r="H220" s="39" t="s">
        <v>45</v>
      </c>
      <c r="I220" s="39" t="s">
        <v>2350</v>
      </c>
      <c r="J220" s="39" t="s">
        <v>45</v>
      </c>
      <c r="K220" s="39" t="s">
        <v>49</v>
      </c>
      <c r="L220" s="39" t="s">
        <v>45</v>
      </c>
      <c r="M220" s="39" t="s">
        <v>49</v>
      </c>
      <c r="N220" s="39" t="s">
        <v>45</v>
      </c>
      <c r="O220" s="44" t="s">
        <v>2973</v>
      </c>
      <c r="P220" s="39" t="s">
        <v>2974</v>
      </c>
    </row>
    <row r="221" ht="45.0" customHeight="1">
      <c r="A221" s="37" t="s">
        <v>977</v>
      </c>
      <c r="B221" s="47" t="str">
        <f>IMAGE("https://raw.githubusercontent.com/ltdimages/images/refs/heads/main/Treasure096.png")</f>
        <v/>
      </c>
      <c r="C221" s="39" t="s">
        <v>2975</v>
      </c>
      <c r="D221" s="39" t="s">
        <v>2316</v>
      </c>
      <c r="E221" s="39" t="s">
        <v>2574</v>
      </c>
      <c r="F221" s="48">
        <v>0.0</v>
      </c>
      <c r="G221" s="48">
        <v>1.0</v>
      </c>
      <c r="H221" s="39" t="s">
        <v>45</v>
      </c>
      <c r="I221" s="39" t="s">
        <v>2327</v>
      </c>
      <c r="J221" s="39" t="s">
        <v>45</v>
      </c>
      <c r="K221" s="39" t="s">
        <v>49</v>
      </c>
      <c r="L221" s="39" t="s">
        <v>45</v>
      </c>
      <c r="M221" s="39" t="s">
        <v>49</v>
      </c>
      <c r="N221" s="39" t="s">
        <v>49</v>
      </c>
      <c r="O221" s="44" t="s">
        <v>2976</v>
      </c>
      <c r="P221" s="39" t="s">
        <v>2977</v>
      </c>
    </row>
    <row r="222" ht="45.0" customHeight="1">
      <c r="A222" s="37" t="s">
        <v>981</v>
      </c>
      <c r="B222" s="47" t="str">
        <f>IMAGE("https://raw.githubusercontent.com/ltdimages/images/refs/heads/main/Treasure_MiniTerrarium.png")</f>
        <v/>
      </c>
      <c r="C222" s="39" t="s">
        <v>2978</v>
      </c>
      <c r="D222" s="39" t="s">
        <v>2316</v>
      </c>
      <c r="E222" s="39" t="s">
        <v>2574</v>
      </c>
      <c r="F222" s="48">
        <v>0.0</v>
      </c>
      <c r="G222" s="48">
        <v>75.0</v>
      </c>
      <c r="H222" s="39" t="s">
        <v>45</v>
      </c>
      <c r="I222" s="39" t="s">
        <v>48</v>
      </c>
      <c r="J222" s="39" t="s">
        <v>49</v>
      </c>
      <c r="K222" s="39" t="s">
        <v>49</v>
      </c>
      <c r="L222" s="39" t="s">
        <v>49</v>
      </c>
      <c r="M222" s="39" t="s">
        <v>49</v>
      </c>
      <c r="N222" s="39" t="s">
        <v>49</v>
      </c>
      <c r="O222" s="44" t="s">
        <v>2979</v>
      </c>
      <c r="P222" s="39" t="s">
        <v>2980</v>
      </c>
    </row>
    <row r="223" ht="45.0" customHeight="1">
      <c r="A223" s="37" t="s">
        <v>985</v>
      </c>
      <c r="B223" s="47" t="str">
        <f>IMAGE("https://raw.githubusercontent.com/ltdimages/images/refs/heads/main/Treasure003.png")</f>
        <v/>
      </c>
      <c r="C223" s="39" t="s">
        <v>2981</v>
      </c>
      <c r="D223" s="39" t="s">
        <v>2316</v>
      </c>
      <c r="E223" s="39" t="s">
        <v>2574</v>
      </c>
      <c r="F223" s="48">
        <v>0.0</v>
      </c>
      <c r="G223" s="48">
        <v>1.0</v>
      </c>
      <c r="H223" s="39" t="s">
        <v>45</v>
      </c>
      <c r="I223" s="39" t="s">
        <v>2002</v>
      </c>
      <c r="J223" s="39" t="s">
        <v>49</v>
      </c>
      <c r="K223" s="39" t="s">
        <v>49</v>
      </c>
      <c r="L223" s="39" t="s">
        <v>49</v>
      </c>
      <c r="M223" s="39" t="s">
        <v>49</v>
      </c>
      <c r="N223" s="39" t="s">
        <v>49</v>
      </c>
      <c r="O223" s="44" t="s">
        <v>2982</v>
      </c>
      <c r="P223" s="44" t="s">
        <v>2983</v>
      </c>
    </row>
    <row r="224" ht="45.0" customHeight="1">
      <c r="A224" s="37" t="s">
        <v>989</v>
      </c>
      <c r="B224" s="47" t="str">
        <f>IMAGE("https://raw.githubusercontent.com/ltdimages/images/refs/heads/main/Treasure022.png")</f>
        <v/>
      </c>
      <c r="C224" s="39" t="s">
        <v>2984</v>
      </c>
      <c r="D224" s="39" t="s">
        <v>2316</v>
      </c>
      <c r="E224" s="39" t="s">
        <v>2574</v>
      </c>
      <c r="F224" s="48">
        <v>0.0</v>
      </c>
      <c r="G224" s="48">
        <v>11.0</v>
      </c>
      <c r="H224" s="39" t="s">
        <v>45</v>
      </c>
      <c r="I224" s="39" t="s">
        <v>48</v>
      </c>
      <c r="J224" s="39" t="s">
        <v>49</v>
      </c>
      <c r="K224" s="39" t="s">
        <v>49</v>
      </c>
      <c r="L224" s="39" t="s">
        <v>49</v>
      </c>
      <c r="M224" s="39" t="s">
        <v>49</v>
      </c>
      <c r="N224" s="39" t="s">
        <v>49</v>
      </c>
      <c r="O224" s="39" t="s">
        <v>2985</v>
      </c>
      <c r="P224" s="39" t="s">
        <v>2986</v>
      </c>
    </row>
    <row r="225" ht="45.0" customHeight="1">
      <c r="A225" s="37" t="s">
        <v>993</v>
      </c>
      <c r="B225" s="47" t="str">
        <f>IMAGE("https://raw.githubusercontent.com/ltdimages/images/refs/heads/main/Treasure_TreasureMap.png")</f>
        <v/>
      </c>
      <c r="C225" s="39" t="s">
        <v>2987</v>
      </c>
      <c r="D225" s="39" t="s">
        <v>2316</v>
      </c>
      <c r="E225" s="39" t="s">
        <v>2574</v>
      </c>
      <c r="F225" s="48">
        <v>0.0</v>
      </c>
      <c r="G225" s="48">
        <v>99.0</v>
      </c>
      <c r="H225" s="39" t="s">
        <v>45</v>
      </c>
      <c r="I225" s="39" t="s">
        <v>48</v>
      </c>
      <c r="J225" s="39" t="s">
        <v>49</v>
      </c>
      <c r="K225" s="39" t="s">
        <v>49</v>
      </c>
      <c r="L225" s="39" t="s">
        <v>49</v>
      </c>
      <c r="M225" s="39" t="s">
        <v>49</v>
      </c>
      <c r="N225" s="39" t="s">
        <v>49</v>
      </c>
      <c r="O225" s="39" t="s">
        <v>2988</v>
      </c>
      <c r="P225" s="39" t="s">
        <v>2989</v>
      </c>
    </row>
    <row r="226" ht="45.0" customHeight="1">
      <c r="A226" s="37" t="s">
        <v>997</v>
      </c>
      <c r="B226" s="47" t="str">
        <f>IMAGE("https://raw.githubusercontent.com/ltdimages/images/refs/heads/main/Treasure_TreeBranch.png")</f>
        <v/>
      </c>
      <c r="C226" s="39" t="s">
        <v>2990</v>
      </c>
      <c r="D226" s="39" t="s">
        <v>2316</v>
      </c>
      <c r="E226" s="39" t="s">
        <v>2574</v>
      </c>
      <c r="F226" s="48">
        <v>0.0</v>
      </c>
      <c r="G226" s="48">
        <v>0.3</v>
      </c>
      <c r="H226" s="39" t="s">
        <v>45</v>
      </c>
      <c r="I226" s="39" t="s">
        <v>2350</v>
      </c>
      <c r="J226" s="39" t="s">
        <v>49</v>
      </c>
      <c r="K226" s="39" t="s">
        <v>49</v>
      </c>
      <c r="L226" s="39" t="s">
        <v>49</v>
      </c>
      <c r="M226" s="39" t="s">
        <v>49</v>
      </c>
      <c r="N226" s="39" t="s">
        <v>49</v>
      </c>
      <c r="O226" s="44" t="s">
        <v>2991</v>
      </c>
      <c r="P226" s="39" t="s">
        <v>2992</v>
      </c>
    </row>
    <row r="227" ht="45.0" customHeight="1">
      <c r="A227" s="37" t="s">
        <v>1002</v>
      </c>
      <c r="B227" s="47" t="str">
        <f>IMAGE("https://raw.githubusercontent.com/ltdimages/images/refs/heads/main/Treasure_VacuumTube.png")</f>
        <v/>
      </c>
      <c r="C227" s="39" t="s">
        <v>2993</v>
      </c>
      <c r="D227" s="39" t="s">
        <v>2316</v>
      </c>
      <c r="E227" s="39" t="s">
        <v>2574</v>
      </c>
      <c r="F227" s="48">
        <v>0.0</v>
      </c>
      <c r="G227" s="48">
        <v>18.0</v>
      </c>
      <c r="H227" s="39" t="s">
        <v>45</v>
      </c>
      <c r="I227" s="39" t="s">
        <v>48</v>
      </c>
      <c r="J227" s="39" t="s">
        <v>49</v>
      </c>
      <c r="K227" s="39" t="s">
        <v>49</v>
      </c>
      <c r="L227" s="39" t="s">
        <v>49</v>
      </c>
      <c r="M227" s="39" t="s">
        <v>49</v>
      </c>
      <c r="N227" s="39" t="s">
        <v>49</v>
      </c>
      <c r="O227" s="44" t="s">
        <v>2994</v>
      </c>
      <c r="P227" s="39" t="s">
        <v>2995</v>
      </c>
    </row>
    <row r="228" ht="45.0" customHeight="1">
      <c r="A228" s="37" t="s">
        <v>1007</v>
      </c>
      <c r="B228" s="47" t="str">
        <f>IMAGE("https://raw.githubusercontent.com/ltdimages/images/refs/heads/main/Treasure_VenetianGlass.png")</f>
        <v/>
      </c>
      <c r="C228" s="39" t="s">
        <v>2996</v>
      </c>
      <c r="D228" s="39" t="s">
        <v>2316</v>
      </c>
      <c r="E228" s="39" t="s">
        <v>2574</v>
      </c>
      <c r="F228" s="48">
        <v>0.0</v>
      </c>
      <c r="G228" s="48">
        <v>100.0</v>
      </c>
      <c r="H228" s="39" t="s">
        <v>45</v>
      </c>
      <c r="I228" s="39" t="s">
        <v>48</v>
      </c>
      <c r="J228" s="39" t="s">
        <v>49</v>
      </c>
      <c r="K228" s="39" t="s">
        <v>49</v>
      </c>
      <c r="L228" s="39" t="s">
        <v>49</v>
      </c>
      <c r="M228" s="39" t="s">
        <v>49</v>
      </c>
      <c r="N228" s="39" t="s">
        <v>49</v>
      </c>
      <c r="O228" s="44" t="s">
        <v>2997</v>
      </c>
      <c r="P228" s="39" t="s">
        <v>2998</v>
      </c>
    </row>
    <row r="229" ht="45.0" customHeight="1">
      <c r="A229" s="37" t="s">
        <v>1011</v>
      </c>
      <c r="B229" s="47" t="str">
        <f>IMAGE("https://raw.githubusercontent.com/ltdimages/images/refs/heads/main/Treasure_VirtualBoy.png")</f>
        <v/>
      </c>
      <c r="C229" s="39" t="s">
        <v>2999</v>
      </c>
      <c r="D229" s="39" t="s">
        <v>2316</v>
      </c>
      <c r="E229" s="39" t="s">
        <v>2574</v>
      </c>
      <c r="F229" s="48">
        <v>0.0</v>
      </c>
      <c r="G229" s="48">
        <v>150.0</v>
      </c>
      <c r="H229" s="39" t="s">
        <v>45</v>
      </c>
      <c r="I229" s="39" t="s">
        <v>2350</v>
      </c>
      <c r="J229" s="39" t="s">
        <v>49</v>
      </c>
      <c r="K229" s="39" t="s">
        <v>49</v>
      </c>
      <c r="L229" s="39" t="s">
        <v>49</v>
      </c>
      <c r="M229" s="39" t="s">
        <v>49</v>
      </c>
      <c r="N229" s="39" t="s">
        <v>49</v>
      </c>
      <c r="O229" s="44" t="s">
        <v>3000</v>
      </c>
      <c r="P229" s="39" t="s">
        <v>3001</v>
      </c>
    </row>
    <row r="230" ht="45.0" customHeight="1">
      <c r="A230" s="37" t="s">
        <v>1015</v>
      </c>
      <c r="B230" s="47" t="str">
        <f>IMAGE("https://raw.githubusercontent.com/ltdimages/images/refs/heads/main/Treasure_RubberString.png")</f>
        <v/>
      </c>
      <c r="C230" s="39" t="s">
        <v>3002</v>
      </c>
      <c r="D230" s="39" t="s">
        <v>2316</v>
      </c>
      <c r="E230" s="39" t="s">
        <v>2574</v>
      </c>
      <c r="F230" s="48">
        <v>0.0</v>
      </c>
      <c r="G230" s="48">
        <v>1.0</v>
      </c>
      <c r="H230" s="39" t="s">
        <v>45</v>
      </c>
      <c r="I230" s="39" t="s">
        <v>2002</v>
      </c>
      <c r="J230" s="39" t="s">
        <v>49</v>
      </c>
      <c r="K230" s="39" t="s">
        <v>49</v>
      </c>
      <c r="L230" s="39" t="s">
        <v>49</v>
      </c>
      <c r="M230" s="39" t="s">
        <v>49</v>
      </c>
      <c r="N230" s="39" t="s">
        <v>49</v>
      </c>
      <c r="O230" s="44" t="s">
        <v>3003</v>
      </c>
      <c r="P230" s="39" t="s">
        <v>3004</v>
      </c>
    </row>
    <row r="231" ht="45.0" customHeight="1">
      <c r="A231" s="37" t="s">
        <v>1020</v>
      </c>
      <c r="B231" s="47" t="str">
        <f>IMAGE("https://raw.githubusercontent.com/ltdimages/images/refs/heads/main/Treasure175.png")</f>
        <v/>
      </c>
      <c r="C231" s="39" t="s">
        <v>3005</v>
      </c>
      <c r="D231" s="39" t="s">
        <v>2316</v>
      </c>
      <c r="E231" s="39" t="s">
        <v>2574</v>
      </c>
      <c r="F231" s="48">
        <v>0.0</v>
      </c>
      <c r="G231" s="48">
        <v>12.0</v>
      </c>
      <c r="H231" s="39" t="s">
        <v>45</v>
      </c>
      <c r="I231" s="39" t="s">
        <v>48</v>
      </c>
      <c r="J231" s="39" t="s">
        <v>49</v>
      </c>
      <c r="K231" s="39" t="s">
        <v>49</v>
      </c>
      <c r="L231" s="39" t="s">
        <v>49</v>
      </c>
      <c r="M231" s="39" t="s">
        <v>49</v>
      </c>
      <c r="N231" s="39" t="s">
        <v>49</v>
      </c>
      <c r="O231" s="44" t="s">
        <v>3006</v>
      </c>
      <c r="P231" s="39" t="s">
        <v>3007</v>
      </c>
    </row>
    <row r="232" ht="45.0" customHeight="1">
      <c r="A232" s="31" t="s">
        <v>1024</v>
      </c>
      <c r="B232" s="49" t="str">
        <f>IMAGE("https://raw.githubusercontent.com/ltdimages/images/refs/heads/main/Treasure_CircleOfWisdom.png")</f>
        <v/>
      </c>
      <c r="C232" s="43" t="s">
        <v>3008</v>
      </c>
      <c r="D232" s="43" t="s">
        <v>2316</v>
      </c>
      <c r="E232" s="43" t="s">
        <v>2574</v>
      </c>
      <c r="F232" s="50">
        <v>0.0</v>
      </c>
      <c r="G232" s="50">
        <v>9.8</v>
      </c>
      <c r="H232" s="43" t="s">
        <v>45</v>
      </c>
      <c r="I232" s="43" t="s">
        <v>2327</v>
      </c>
      <c r="J232" s="43" t="s">
        <v>49</v>
      </c>
      <c r="K232" s="43" t="s">
        <v>49</v>
      </c>
      <c r="L232" s="43" t="s">
        <v>49</v>
      </c>
      <c r="M232" s="43" t="s">
        <v>49</v>
      </c>
      <c r="N232" s="43" t="s">
        <v>49</v>
      </c>
      <c r="O232" s="43" t="s">
        <v>3009</v>
      </c>
      <c r="P232" s="43" t="s">
        <v>3010</v>
      </c>
    </row>
    <row r="233" ht="45.0" customHeight="1">
      <c r="A233" s="37" t="s">
        <v>1028</v>
      </c>
      <c r="B233" s="47" t="str">
        <f>IMAGE("https://raw.githubusercontent.com/ltdimages/images/refs/heads/main/Treasure_WoodenCarvingBear.png")</f>
        <v/>
      </c>
      <c r="C233" s="39" t="s">
        <v>3011</v>
      </c>
      <c r="D233" s="39" t="s">
        <v>2316</v>
      </c>
      <c r="E233" s="39" t="s">
        <v>2574</v>
      </c>
      <c r="F233" s="48">
        <v>0.0</v>
      </c>
      <c r="G233" s="48">
        <v>95.0</v>
      </c>
      <c r="H233" s="39" t="s">
        <v>45</v>
      </c>
      <c r="I233" s="39" t="s">
        <v>2350</v>
      </c>
      <c r="J233" s="39" t="s">
        <v>49</v>
      </c>
      <c r="K233" s="39" t="s">
        <v>49</v>
      </c>
      <c r="L233" s="39" t="s">
        <v>49</v>
      </c>
      <c r="M233" s="39" t="s">
        <v>49</v>
      </c>
      <c r="N233" s="39" t="s">
        <v>49</v>
      </c>
      <c r="O233" s="44" t="s">
        <v>3012</v>
      </c>
      <c r="P233" s="39" t="s">
        <v>3013</v>
      </c>
    </row>
    <row r="234" ht="45.0" customHeight="1">
      <c r="A234" s="37" t="s">
        <v>1032</v>
      </c>
      <c r="B234" s="47" t="str">
        <f>IMAGE("https://raw.githubusercontent.com/ltdimages/images/refs/heads/main/Treasure_WoolFelt.png")</f>
        <v/>
      </c>
      <c r="C234" s="39" t="s">
        <v>3014</v>
      </c>
      <c r="D234" s="39" t="s">
        <v>2316</v>
      </c>
      <c r="E234" s="39" t="s">
        <v>2574</v>
      </c>
      <c r="F234" s="48">
        <v>0.0</v>
      </c>
      <c r="G234" s="48">
        <v>2.8</v>
      </c>
      <c r="H234" s="39" t="s">
        <v>45</v>
      </c>
      <c r="I234" s="39" t="s">
        <v>2327</v>
      </c>
      <c r="J234" s="39" t="s">
        <v>49</v>
      </c>
      <c r="K234" s="39" t="s">
        <v>49</v>
      </c>
      <c r="L234" s="39" t="s">
        <v>49</v>
      </c>
      <c r="M234" s="39" t="s">
        <v>49</v>
      </c>
      <c r="N234" s="39" t="s">
        <v>49</v>
      </c>
      <c r="O234" s="44" t="s">
        <v>3015</v>
      </c>
      <c r="P234" s="39" t="s">
        <v>3016</v>
      </c>
    </row>
    <row r="235" ht="45.0" customHeight="1">
      <c r="A235" s="37" t="s">
        <v>1036</v>
      </c>
      <c r="B235" s="47" t="str">
        <f>IMAGE("https://raw.githubusercontent.com/ltdimages/images/refs/heads/main/Treasure_CoinSilver.png")</f>
        <v/>
      </c>
      <c r="C235" s="39" t="s">
        <v>3017</v>
      </c>
      <c r="D235" s="39" t="s">
        <v>2316</v>
      </c>
      <c r="E235" s="39" t="s">
        <v>2574</v>
      </c>
      <c r="F235" s="48">
        <v>0.0</v>
      </c>
      <c r="G235" s="48">
        <v>100.0</v>
      </c>
      <c r="H235" s="39" t="s">
        <v>45</v>
      </c>
      <c r="I235" s="39" t="s">
        <v>2002</v>
      </c>
      <c r="J235" s="39" t="s">
        <v>49</v>
      </c>
      <c r="K235" s="39" t="s">
        <v>49</v>
      </c>
      <c r="L235" s="39" t="s">
        <v>49</v>
      </c>
      <c r="M235" s="39" t="s">
        <v>49</v>
      </c>
      <c r="N235" s="39" t="s">
        <v>49</v>
      </c>
      <c r="O235" s="44" t="s">
        <v>3018</v>
      </c>
      <c r="P235" s="39" t="s">
        <v>3019</v>
      </c>
    </row>
    <row r="236" ht="45.0" customHeight="1">
      <c r="A236" s="37" t="s">
        <v>1040</v>
      </c>
      <c r="B236" s="47" t="str">
        <f>IMAGE("https://raw.githubusercontent.com/ltdimages/images/refs/heads/main/Treasure_CoinGold.png")</f>
        <v/>
      </c>
      <c r="C236" s="39" t="s">
        <v>3020</v>
      </c>
      <c r="D236" s="39" t="s">
        <v>2316</v>
      </c>
      <c r="E236" s="39" t="s">
        <v>2574</v>
      </c>
      <c r="F236" s="48">
        <v>0.0</v>
      </c>
      <c r="G236" s="48">
        <v>200.0</v>
      </c>
      <c r="H236" s="39" t="s">
        <v>45</v>
      </c>
      <c r="I236" s="39" t="s">
        <v>2002</v>
      </c>
      <c r="J236" s="39" t="s">
        <v>49</v>
      </c>
      <c r="K236" s="39" t="s">
        <v>49</v>
      </c>
      <c r="L236" s="39" t="s">
        <v>49</v>
      </c>
      <c r="M236" s="39" t="s">
        <v>49</v>
      </c>
      <c r="N236" s="39" t="s">
        <v>49</v>
      </c>
      <c r="O236" s="44" t="s">
        <v>3021</v>
      </c>
      <c r="P236" s="44" t="s">
        <v>3022</v>
      </c>
    </row>
    <row r="237" ht="45.0" customHeight="1">
      <c r="A237" s="37" t="s">
        <v>1044</v>
      </c>
      <c r="B237" s="47" t="str">
        <f>IMAGE("https://raw.githubusercontent.com/ltdimages/images/refs/heads/main/Treasure032.png")</f>
        <v/>
      </c>
      <c r="C237" s="39" t="s">
        <v>3023</v>
      </c>
      <c r="D237" s="39" t="s">
        <v>2316</v>
      </c>
      <c r="E237" s="39" t="s">
        <v>2574</v>
      </c>
      <c r="F237" s="48">
        <v>0.0</v>
      </c>
      <c r="G237" s="48">
        <v>0.0</v>
      </c>
      <c r="H237" s="39" t="s">
        <v>45</v>
      </c>
      <c r="I237" s="39" t="s">
        <v>2002</v>
      </c>
      <c r="J237" s="39" t="s">
        <v>49</v>
      </c>
      <c r="K237" s="39" t="s">
        <v>49</v>
      </c>
      <c r="L237" s="39" t="s">
        <v>49</v>
      </c>
      <c r="M237" s="39" t="s">
        <v>49</v>
      </c>
      <c r="N237" s="39" t="s">
        <v>49</v>
      </c>
      <c r="O237" s="44" t="s">
        <v>3024</v>
      </c>
      <c r="P237" s="39" t="s">
        <v>3025</v>
      </c>
    </row>
    <row r="238" ht="45.0" customHeight="1">
      <c r="A238" s="37" t="s">
        <v>1048</v>
      </c>
      <c r="B238" s="47" t="str">
        <f>IMAGE("https://raw.githubusercontent.com/ltdimages/images/refs/heads/main/Treasure033.png")</f>
        <v/>
      </c>
      <c r="C238" s="39" t="s">
        <v>3026</v>
      </c>
      <c r="D238" s="39" t="s">
        <v>2316</v>
      </c>
      <c r="E238" s="39" t="s">
        <v>2574</v>
      </c>
      <c r="F238" s="48">
        <v>0.0</v>
      </c>
      <c r="G238" s="48">
        <v>0.0</v>
      </c>
      <c r="H238" s="39" t="s">
        <v>45</v>
      </c>
      <c r="I238" s="39" t="s">
        <v>2002</v>
      </c>
      <c r="J238" s="39" t="s">
        <v>49</v>
      </c>
      <c r="K238" s="39" t="s">
        <v>49</v>
      </c>
      <c r="L238" s="39" t="s">
        <v>49</v>
      </c>
      <c r="M238" s="39" t="s">
        <v>49</v>
      </c>
      <c r="N238" s="39" t="s">
        <v>49</v>
      </c>
      <c r="O238" s="44" t="s">
        <v>3027</v>
      </c>
      <c r="P238" s="39" t="s">
        <v>3028</v>
      </c>
    </row>
    <row r="239" ht="45.0" customHeight="1">
      <c r="A239" s="37" t="s">
        <v>1052</v>
      </c>
      <c r="B239" s="47" t="str">
        <f>IMAGE("https://raw.githubusercontent.com/ltdimages/images/refs/heads/main/Treasure034.png")</f>
        <v/>
      </c>
      <c r="C239" s="39" t="s">
        <v>3029</v>
      </c>
      <c r="D239" s="39" t="s">
        <v>2316</v>
      </c>
      <c r="E239" s="39" t="s">
        <v>2574</v>
      </c>
      <c r="F239" s="48">
        <v>0.0</v>
      </c>
      <c r="G239" s="48">
        <v>0.0</v>
      </c>
      <c r="H239" s="39" t="s">
        <v>45</v>
      </c>
      <c r="I239" s="39" t="s">
        <v>2002</v>
      </c>
      <c r="J239" s="39" t="s">
        <v>49</v>
      </c>
      <c r="K239" s="39" t="s">
        <v>49</v>
      </c>
      <c r="L239" s="39" t="s">
        <v>49</v>
      </c>
      <c r="M239" s="39" t="s">
        <v>49</v>
      </c>
      <c r="N239" s="39" t="s">
        <v>49</v>
      </c>
      <c r="O239" s="44" t="s">
        <v>3030</v>
      </c>
      <c r="P239" s="39" t="s">
        <v>3031</v>
      </c>
    </row>
    <row r="240" ht="45.0" customHeight="1">
      <c r="A240" s="37" t="s">
        <v>1056</v>
      </c>
      <c r="B240" s="47" t="str">
        <f>IMAGE("https://raw.githubusercontent.com/ltdimages/images/refs/heads/main/Treasure035.png")</f>
        <v/>
      </c>
      <c r="C240" s="39" t="s">
        <v>3032</v>
      </c>
      <c r="D240" s="39" t="s">
        <v>2316</v>
      </c>
      <c r="E240" s="39" t="s">
        <v>2574</v>
      </c>
      <c r="F240" s="48">
        <v>0.0</v>
      </c>
      <c r="G240" s="48">
        <v>0.0</v>
      </c>
      <c r="H240" s="39" t="s">
        <v>45</v>
      </c>
      <c r="I240" s="39" t="s">
        <v>2002</v>
      </c>
      <c r="J240" s="39" t="s">
        <v>49</v>
      </c>
      <c r="K240" s="39" t="s">
        <v>49</v>
      </c>
      <c r="L240" s="39" t="s">
        <v>49</v>
      </c>
      <c r="M240" s="39" t="s">
        <v>49</v>
      </c>
      <c r="N240" s="39" t="s">
        <v>49</v>
      </c>
      <c r="O240" s="44" t="s">
        <v>3033</v>
      </c>
      <c r="P240" s="39" t="s">
        <v>3034</v>
      </c>
    </row>
    <row r="241" ht="45.0" customHeight="1">
      <c r="A241" s="37" t="s">
        <v>1060</v>
      </c>
      <c r="B241" s="47" t="str">
        <f>IMAGE("https://raw.githubusercontent.com/ltdimages/images/refs/heads/main/Treasure_SpeechBubbleBronze.png")</f>
        <v/>
      </c>
      <c r="C241" s="39" t="s">
        <v>3035</v>
      </c>
      <c r="D241" s="39" t="s">
        <v>2316</v>
      </c>
      <c r="E241" s="39" t="s">
        <v>2574</v>
      </c>
      <c r="F241" s="48">
        <v>0.0</v>
      </c>
      <c r="G241" s="48">
        <v>0.0</v>
      </c>
      <c r="H241" s="39" t="s">
        <v>45</v>
      </c>
      <c r="I241" s="39" t="s">
        <v>2002</v>
      </c>
      <c r="J241" s="39" t="s">
        <v>49</v>
      </c>
      <c r="K241" s="39" t="s">
        <v>49</v>
      </c>
      <c r="L241" s="39" t="s">
        <v>49</v>
      </c>
      <c r="M241" s="39" t="s">
        <v>49</v>
      </c>
      <c r="N241" s="39" t="s">
        <v>49</v>
      </c>
      <c r="O241" s="44" t="s">
        <v>3036</v>
      </c>
      <c r="P241" s="39" t="s">
        <v>3037</v>
      </c>
    </row>
    <row r="242" ht="45.0" customHeight="1">
      <c r="A242" s="37" t="s">
        <v>1065</v>
      </c>
      <c r="B242" s="47" t="str">
        <f>IMAGE("https://raw.githubusercontent.com/ltdimages/images/refs/heads/main/Treasure_SpeechBubbleSilver.png")</f>
        <v/>
      </c>
      <c r="C242" s="39" t="s">
        <v>3038</v>
      </c>
      <c r="D242" s="39" t="s">
        <v>2316</v>
      </c>
      <c r="E242" s="39" t="s">
        <v>2574</v>
      </c>
      <c r="F242" s="48">
        <v>0.0</v>
      </c>
      <c r="G242" s="48">
        <v>0.0</v>
      </c>
      <c r="H242" s="39" t="s">
        <v>45</v>
      </c>
      <c r="I242" s="39" t="s">
        <v>2002</v>
      </c>
      <c r="J242" s="39" t="s">
        <v>49</v>
      </c>
      <c r="K242" s="39" t="s">
        <v>49</v>
      </c>
      <c r="L242" s="39" t="s">
        <v>49</v>
      </c>
      <c r="M242" s="39" t="s">
        <v>49</v>
      </c>
      <c r="N242" s="39" t="s">
        <v>49</v>
      </c>
      <c r="O242" s="44" t="s">
        <v>3039</v>
      </c>
      <c r="P242" s="39" t="s">
        <v>3040</v>
      </c>
    </row>
    <row r="243" ht="45.0" customHeight="1">
      <c r="A243" s="37" t="s">
        <v>1069</v>
      </c>
      <c r="B243" s="47" t="str">
        <f>IMAGE("https://raw.githubusercontent.com/ltdimages/images/refs/heads/main/Treasure_SpeechBubbleGold.png")</f>
        <v/>
      </c>
      <c r="C243" s="39" t="s">
        <v>3041</v>
      </c>
      <c r="D243" s="39" t="s">
        <v>2316</v>
      </c>
      <c r="E243" s="39" t="s">
        <v>2574</v>
      </c>
      <c r="F243" s="48">
        <v>0.0</v>
      </c>
      <c r="G243" s="48">
        <v>0.0</v>
      </c>
      <c r="H243" s="39" t="s">
        <v>45</v>
      </c>
      <c r="I243" s="39" t="s">
        <v>2002</v>
      </c>
      <c r="J243" s="39" t="s">
        <v>49</v>
      </c>
      <c r="K243" s="39" t="s">
        <v>49</v>
      </c>
      <c r="L243" s="39" t="s">
        <v>49</v>
      </c>
      <c r="M243" s="39" t="s">
        <v>49</v>
      </c>
      <c r="N243" s="39" t="s">
        <v>49</v>
      </c>
      <c r="O243" s="44" t="s">
        <v>3042</v>
      </c>
      <c r="P243" s="39" t="s">
        <v>3043</v>
      </c>
    </row>
    <row r="244" ht="45.0" customHeight="1">
      <c r="A244" s="37" t="s">
        <v>1073</v>
      </c>
      <c r="B244" s="47" t="str">
        <f>IMAGE("https://raw.githubusercontent.com/ltdimages/images/refs/heads/main/Treasure_SpeechBubblePlatinum.png")</f>
        <v/>
      </c>
      <c r="C244" s="39" t="s">
        <v>3044</v>
      </c>
      <c r="D244" s="39" t="s">
        <v>2316</v>
      </c>
      <c r="E244" s="39" t="s">
        <v>2574</v>
      </c>
      <c r="F244" s="48">
        <v>0.0</v>
      </c>
      <c r="G244" s="48">
        <v>0.0</v>
      </c>
      <c r="H244" s="44" t="s">
        <v>45</v>
      </c>
      <c r="I244" s="39" t="s">
        <v>2002</v>
      </c>
      <c r="J244" s="39" t="s">
        <v>49</v>
      </c>
      <c r="K244" s="39" t="s">
        <v>49</v>
      </c>
      <c r="L244" s="39" t="s">
        <v>49</v>
      </c>
      <c r="M244" s="39" t="s">
        <v>49</v>
      </c>
      <c r="N244" s="39" t="s">
        <v>49</v>
      </c>
      <c r="O244" s="44" t="s">
        <v>3045</v>
      </c>
      <c r="P244" s="39" t="s">
        <v>3046</v>
      </c>
    </row>
    <row r="245" ht="45.0" customHeight="1">
      <c r="A245" s="37" t="s">
        <v>1077</v>
      </c>
      <c r="B245" s="47" t="str">
        <f>IMAGE("https://raw.githubusercontent.com/ltdimages/images/refs/heads/main/Treasure_BrushBronze.png")</f>
        <v/>
      </c>
      <c r="C245" s="39" t="s">
        <v>3047</v>
      </c>
      <c r="D245" s="39" t="s">
        <v>2316</v>
      </c>
      <c r="E245" s="39" t="s">
        <v>2574</v>
      </c>
      <c r="F245" s="48">
        <v>0.0</v>
      </c>
      <c r="G245" s="48">
        <v>0.0</v>
      </c>
      <c r="H245" s="39" t="s">
        <v>45</v>
      </c>
      <c r="I245" s="39" t="s">
        <v>2002</v>
      </c>
      <c r="J245" s="39" t="s">
        <v>49</v>
      </c>
      <c r="K245" s="39" t="s">
        <v>49</v>
      </c>
      <c r="L245" s="39" t="s">
        <v>49</v>
      </c>
      <c r="M245" s="39" t="s">
        <v>49</v>
      </c>
      <c r="N245" s="39" t="s">
        <v>49</v>
      </c>
      <c r="O245" s="44" t="s">
        <v>3048</v>
      </c>
      <c r="P245" s="39" t="s">
        <v>3049</v>
      </c>
    </row>
    <row r="246" ht="45.0" customHeight="1">
      <c r="A246" s="37" t="s">
        <v>1081</v>
      </c>
      <c r="B246" s="47" t="str">
        <f>IMAGE("https://raw.githubusercontent.com/ltdimages/images/refs/heads/main/Treasure_BrushSilver.png")</f>
        <v/>
      </c>
      <c r="C246" s="39" t="s">
        <v>3050</v>
      </c>
      <c r="D246" s="39" t="s">
        <v>2316</v>
      </c>
      <c r="E246" s="39" t="s">
        <v>2574</v>
      </c>
      <c r="F246" s="48">
        <v>0.0</v>
      </c>
      <c r="G246" s="48">
        <v>0.0</v>
      </c>
      <c r="H246" s="39" t="s">
        <v>45</v>
      </c>
      <c r="I246" s="39" t="s">
        <v>2002</v>
      </c>
      <c r="J246" s="39" t="s">
        <v>49</v>
      </c>
      <c r="K246" s="39" t="s">
        <v>49</v>
      </c>
      <c r="L246" s="39" t="s">
        <v>49</v>
      </c>
      <c r="M246" s="39" t="s">
        <v>49</v>
      </c>
      <c r="N246" s="39" t="s">
        <v>49</v>
      </c>
      <c r="O246" s="44" t="s">
        <v>3051</v>
      </c>
      <c r="P246" s="39" t="s">
        <v>3052</v>
      </c>
    </row>
    <row r="247" ht="45.0" customHeight="1">
      <c r="A247" s="37" t="s">
        <v>1085</v>
      </c>
      <c r="B247" s="47" t="str">
        <f>IMAGE("https://raw.githubusercontent.com/ltdimages/images/refs/heads/main/Treasure_BrushGold.png")</f>
        <v/>
      </c>
      <c r="C247" s="39" t="s">
        <v>3053</v>
      </c>
      <c r="D247" s="39" t="s">
        <v>2316</v>
      </c>
      <c r="E247" s="39" t="s">
        <v>2574</v>
      </c>
      <c r="F247" s="48">
        <v>0.0</v>
      </c>
      <c r="G247" s="48">
        <v>0.0</v>
      </c>
      <c r="H247" s="39" t="s">
        <v>45</v>
      </c>
      <c r="I247" s="39" t="s">
        <v>2002</v>
      </c>
      <c r="J247" s="39" t="s">
        <v>49</v>
      </c>
      <c r="K247" s="39" t="s">
        <v>49</v>
      </c>
      <c r="L247" s="39" t="s">
        <v>49</v>
      </c>
      <c r="M247" s="39" t="s">
        <v>49</v>
      </c>
      <c r="N247" s="39" t="s">
        <v>49</v>
      </c>
      <c r="O247" s="44" t="s">
        <v>3054</v>
      </c>
      <c r="P247" s="39" t="s">
        <v>3055</v>
      </c>
    </row>
    <row r="248" ht="45.0" customHeight="1">
      <c r="A248" s="37" t="s">
        <v>1089</v>
      </c>
      <c r="B248" s="47" t="str">
        <f>IMAGE("https://raw.githubusercontent.com/ltdimages/images/refs/heads/main/Treasure_BrushPlatinum.png")</f>
        <v/>
      </c>
      <c r="C248" s="39" t="s">
        <v>3056</v>
      </c>
      <c r="D248" s="39" t="s">
        <v>2316</v>
      </c>
      <c r="E248" s="39" t="s">
        <v>2574</v>
      </c>
      <c r="F248" s="48">
        <v>0.0</v>
      </c>
      <c r="G248" s="48">
        <v>0.0</v>
      </c>
      <c r="H248" s="39" t="s">
        <v>45</v>
      </c>
      <c r="I248" s="39" t="s">
        <v>2002</v>
      </c>
      <c r="J248" s="39" t="s">
        <v>49</v>
      </c>
      <c r="K248" s="39" t="s">
        <v>49</v>
      </c>
      <c r="L248" s="39" t="s">
        <v>49</v>
      </c>
      <c r="M248" s="39" t="s">
        <v>49</v>
      </c>
      <c r="N248" s="39" t="s">
        <v>49</v>
      </c>
      <c r="O248" s="44" t="s">
        <v>3057</v>
      </c>
      <c r="P248" s="39" t="s">
        <v>3058</v>
      </c>
    </row>
  </sheetData>
  <autoFilter ref="$A$1:$P$248">
    <sortState ref="A1:P248">
      <sortCondition ref="A1:A248"/>
      <sortCondition ref="C1:C248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88"/>
    <col customWidth="1" min="2" max="2" width="23.0"/>
    <col customWidth="1" min="3" max="10" width="7.63"/>
    <col customWidth="1" min="11" max="11" width="14.25"/>
    <col customWidth="1" min="12" max="12" width="9.5"/>
    <col customWidth="1" min="13" max="13" width="12.25"/>
    <col customWidth="1" min="14" max="14" width="11.75"/>
    <col customWidth="1" min="15" max="15" width="8.88"/>
    <col customWidth="1" min="16" max="16" width="7.25"/>
    <col customWidth="1" min="17" max="17" width="12.25"/>
    <col customWidth="1" min="18" max="18" width="8.5"/>
    <col customWidth="1" min="19" max="19" width="12.25"/>
    <col customWidth="1" min="20" max="20" width="9.75"/>
    <col customWidth="1" min="21" max="28" width="16.38"/>
    <col customWidth="1" min="29" max="29" width="12.63"/>
    <col customWidth="1" min="30" max="30" width="15.88"/>
    <col customWidth="1" min="31" max="39" width="7.63"/>
  </cols>
  <sheetData>
    <row r="1" ht="31.5" customHeight="1">
      <c r="A1" s="51" t="s">
        <v>23</v>
      </c>
      <c r="B1" s="51" t="s">
        <v>25</v>
      </c>
      <c r="C1" s="52" t="s">
        <v>3059</v>
      </c>
      <c r="D1" s="52" t="s">
        <v>3060</v>
      </c>
      <c r="E1" s="52" t="s">
        <v>3061</v>
      </c>
      <c r="F1" s="52" t="s">
        <v>3062</v>
      </c>
      <c r="G1" s="52" t="s">
        <v>3063</v>
      </c>
      <c r="H1" s="52" t="s">
        <v>3064</v>
      </c>
      <c r="I1" s="52" t="s">
        <v>3065</v>
      </c>
      <c r="J1" s="52" t="s">
        <v>3066</v>
      </c>
      <c r="K1" s="53" t="s">
        <v>29</v>
      </c>
      <c r="L1" s="53" t="s">
        <v>3067</v>
      </c>
      <c r="M1" s="51" t="s">
        <v>3068</v>
      </c>
      <c r="N1" s="51" t="s">
        <v>3069</v>
      </c>
      <c r="O1" s="51" t="s">
        <v>3070</v>
      </c>
      <c r="P1" s="51" t="s">
        <v>3071</v>
      </c>
      <c r="Q1" s="51" t="s">
        <v>3072</v>
      </c>
      <c r="R1" s="51" t="s">
        <v>3073</v>
      </c>
      <c r="S1" s="51" t="s">
        <v>3074</v>
      </c>
      <c r="T1" s="51" t="s">
        <v>3075</v>
      </c>
      <c r="U1" s="51" t="s">
        <v>3076</v>
      </c>
      <c r="V1" s="51" t="s">
        <v>3077</v>
      </c>
      <c r="W1" s="51" t="s">
        <v>3078</v>
      </c>
      <c r="X1" s="51" t="s">
        <v>3079</v>
      </c>
      <c r="Y1" s="51" t="s">
        <v>3080</v>
      </c>
      <c r="Z1" s="51" t="s">
        <v>3081</v>
      </c>
      <c r="AA1" s="51" t="s">
        <v>3082</v>
      </c>
      <c r="AB1" s="51" t="s">
        <v>3083</v>
      </c>
      <c r="AC1" s="51" t="s">
        <v>3084</v>
      </c>
      <c r="AD1" s="51" t="s">
        <v>40</v>
      </c>
      <c r="AE1" s="52" t="s">
        <v>3085</v>
      </c>
      <c r="AF1" s="54" t="s">
        <v>3086</v>
      </c>
      <c r="AG1" s="54" t="s">
        <v>3087</v>
      </c>
      <c r="AH1" s="54" t="s">
        <v>3088</v>
      </c>
      <c r="AI1" s="54" t="s">
        <v>3089</v>
      </c>
      <c r="AJ1" s="54" t="s">
        <v>3090</v>
      </c>
      <c r="AK1" s="54" t="s">
        <v>3091</v>
      </c>
      <c r="AL1" s="54" t="s">
        <v>3092</v>
      </c>
      <c r="AM1" s="54" t="s">
        <v>3093</v>
      </c>
    </row>
    <row r="2" ht="45.0" customHeight="1">
      <c r="A2" s="55" t="s">
        <v>41</v>
      </c>
      <c r="B2" s="55" t="s">
        <v>3094</v>
      </c>
      <c r="C2" s="55" t="str">
        <f>IMAGE("https://raw.githubusercontent.com/ltdimages/images/refs/heads/main/Coordinate0166_00.png")</f>
        <v/>
      </c>
      <c r="D2" s="55" t="str">
        <f>IMAGE("https://raw.githubusercontent.com/ltdimages/images/refs/heads/main/Coordinate0166_01.png")</f>
        <v/>
      </c>
      <c r="E2" s="55" t="str">
        <f>IMAGE("https://raw.githubusercontent.com/ltdimages/images/refs/heads/main/Coordinate0166_02.png")</f>
        <v/>
      </c>
      <c r="F2" s="55" t="str">
        <f>IMAGE("https://raw.githubusercontent.com/ltdimages/images/refs/heads/main/Coordinate0166_03.png")</f>
        <v/>
      </c>
      <c r="G2" s="55" t="str">
        <f>IMAGE("https://raw.githubusercontent.com/ltdimages/images/refs/heads/main/Coordinate0166_04.png")</f>
        <v/>
      </c>
      <c r="H2" s="55" t="str">
        <f>IMAGE("https://raw.githubusercontent.com/ltdimages/images/refs/heads/main/Coordinate0166_05.png")</f>
        <v/>
      </c>
      <c r="I2" s="56" t="s">
        <v>3095</v>
      </c>
      <c r="J2" s="55" t="s">
        <v>3095</v>
      </c>
      <c r="K2" s="20" t="s">
        <v>3096</v>
      </c>
      <c r="L2" s="20" t="s">
        <v>3097</v>
      </c>
      <c r="M2" s="55" t="s">
        <v>3098</v>
      </c>
      <c r="N2" s="55" t="s">
        <v>3099</v>
      </c>
      <c r="O2" s="55" t="s">
        <v>45</v>
      </c>
      <c r="P2" s="55" t="s">
        <v>45</v>
      </c>
      <c r="Q2" s="55" t="s">
        <v>45</v>
      </c>
      <c r="R2" s="55" t="s">
        <v>45</v>
      </c>
      <c r="S2" s="55" t="s">
        <v>45</v>
      </c>
      <c r="T2" s="55" t="s">
        <v>45</v>
      </c>
      <c r="U2" s="55" t="s">
        <v>3100</v>
      </c>
      <c r="V2" s="55" t="s">
        <v>3095</v>
      </c>
      <c r="W2" s="55" t="s">
        <v>3101</v>
      </c>
      <c r="X2" s="55" t="s">
        <v>3095</v>
      </c>
      <c r="Y2" s="55" t="s">
        <v>3095</v>
      </c>
      <c r="Z2" s="55" t="s">
        <v>3095</v>
      </c>
      <c r="AA2" s="55" t="s">
        <v>3102</v>
      </c>
      <c r="AB2" s="55" t="s">
        <v>3095</v>
      </c>
      <c r="AC2" s="55" t="s">
        <v>3103</v>
      </c>
      <c r="AD2" s="55" t="s">
        <v>3104</v>
      </c>
      <c r="AE2" s="55" t="s">
        <v>3095</v>
      </c>
      <c r="AF2" s="55" t="s">
        <v>3095</v>
      </c>
      <c r="AG2" s="55" t="s">
        <v>3095</v>
      </c>
      <c r="AH2" s="55" t="s">
        <v>3095</v>
      </c>
      <c r="AI2" s="55" t="s">
        <v>3095</v>
      </c>
      <c r="AJ2" s="55" t="s">
        <v>3095</v>
      </c>
      <c r="AK2" s="55" t="s">
        <v>3095</v>
      </c>
      <c r="AL2" s="55" t="s">
        <v>3095</v>
      </c>
      <c r="AM2" s="55" t="s">
        <v>3095</v>
      </c>
    </row>
    <row r="3" ht="45.0" customHeight="1">
      <c r="A3" s="55" t="s">
        <v>52</v>
      </c>
      <c r="B3" s="55" t="s">
        <v>3105</v>
      </c>
      <c r="C3" s="55" t="str">
        <f>IMAGE("https://raw.githubusercontent.com/ltdimages/images/refs/heads/main/Coordinate0337_00.png")</f>
        <v/>
      </c>
      <c r="D3" s="55" t="str">
        <f>IMAGE("https://raw.githubusercontent.com/ltdimages/images/refs/heads/main/Coordinate0337_01.png")</f>
        <v/>
      </c>
      <c r="E3" s="55" t="str">
        <f>IMAGE("https://raw.githubusercontent.com/ltdimages/images/refs/heads/main/Coordinate0337_02.png")</f>
        <v/>
      </c>
      <c r="F3" s="55" t="str">
        <f>IMAGE("https://raw.githubusercontent.com/ltdimages/images/refs/heads/main/Coordinate0337_03.png")</f>
        <v/>
      </c>
      <c r="G3" s="55" t="str">
        <f>IMAGE("https://raw.githubusercontent.com/ltdimages/images/refs/heads/main/Coordinate0337_04.png")</f>
        <v/>
      </c>
      <c r="H3" s="55" t="str">
        <f>IMAGE("https://raw.githubusercontent.com/ltdimages/images/refs/heads/main/Coordinate0337_05.png")</f>
        <v/>
      </c>
      <c r="I3" s="56" t="str">
        <f>IMAGE("https://raw.githubusercontent.com/ltdimages/images/refs/heads/main/Coordinate0337_06.png")</f>
        <v/>
      </c>
      <c r="J3" s="55" t="str">
        <f>IMAGE("https://raw.githubusercontent.com/ltdimages/images/refs/heads/main/Coordinate0337_07.png")</f>
        <v/>
      </c>
      <c r="K3" s="20" t="s">
        <v>3106</v>
      </c>
      <c r="L3" s="20" t="s">
        <v>3097</v>
      </c>
      <c r="M3" s="55" t="s">
        <v>2574</v>
      </c>
      <c r="N3" s="55" t="s">
        <v>3099</v>
      </c>
      <c r="O3" s="55" t="s">
        <v>45</v>
      </c>
      <c r="P3" s="55" t="s">
        <v>45</v>
      </c>
      <c r="Q3" s="55" t="s">
        <v>45</v>
      </c>
      <c r="R3" s="55" t="s">
        <v>45</v>
      </c>
      <c r="S3" s="55" t="s">
        <v>45</v>
      </c>
      <c r="T3" s="55" t="s">
        <v>45</v>
      </c>
      <c r="U3" s="55" t="s">
        <v>3095</v>
      </c>
      <c r="V3" s="55" t="s">
        <v>3107</v>
      </c>
      <c r="W3" s="55" t="s">
        <v>3095</v>
      </c>
      <c r="X3" s="55" t="s">
        <v>3095</v>
      </c>
      <c r="Y3" s="55" t="s">
        <v>3095</v>
      </c>
      <c r="Z3" s="55" t="s">
        <v>3108</v>
      </c>
      <c r="AA3" s="55" t="s">
        <v>3109</v>
      </c>
      <c r="AB3" s="55" t="s">
        <v>3095</v>
      </c>
      <c r="AC3" s="55" t="s">
        <v>3110</v>
      </c>
      <c r="AD3" s="55" t="s">
        <v>3111</v>
      </c>
      <c r="AE3" s="55" t="s">
        <v>3095</v>
      </c>
      <c r="AF3" s="55" t="s">
        <v>3095</v>
      </c>
      <c r="AG3" s="55" t="s">
        <v>3095</v>
      </c>
      <c r="AH3" s="55" t="s">
        <v>3095</v>
      </c>
      <c r="AI3" s="55" t="s">
        <v>3095</v>
      </c>
      <c r="AJ3" s="55" t="s">
        <v>3095</v>
      </c>
      <c r="AK3" s="55" t="s">
        <v>3095</v>
      </c>
      <c r="AL3" s="55" t="s">
        <v>3095</v>
      </c>
      <c r="AM3" s="55" t="s">
        <v>3095</v>
      </c>
    </row>
    <row r="4" ht="45.0" customHeight="1">
      <c r="A4" s="55" t="s">
        <v>60</v>
      </c>
      <c r="B4" s="55" t="s">
        <v>3112</v>
      </c>
      <c r="C4" s="55" t="str">
        <f>IMAGE("https://raw.githubusercontent.com/ltdimages/images/refs/heads/main/Coordinate0283_00.png")</f>
        <v/>
      </c>
      <c r="D4" s="55" t="s">
        <v>3095</v>
      </c>
      <c r="E4" s="55" t="s">
        <v>3095</v>
      </c>
      <c r="F4" s="55" t="s">
        <v>3095</v>
      </c>
      <c r="G4" s="55" t="s">
        <v>3095</v>
      </c>
      <c r="H4" s="55" t="s">
        <v>3095</v>
      </c>
      <c r="I4" s="56" t="s">
        <v>3095</v>
      </c>
      <c r="J4" s="55" t="s">
        <v>3095</v>
      </c>
      <c r="K4" s="20" t="s">
        <v>3113</v>
      </c>
      <c r="L4" s="20" t="s">
        <v>3097</v>
      </c>
      <c r="M4" s="55" t="s">
        <v>3098</v>
      </c>
      <c r="N4" s="55" t="s">
        <v>3114</v>
      </c>
      <c r="O4" s="55" t="s">
        <v>45</v>
      </c>
      <c r="P4" s="55" t="s">
        <v>45</v>
      </c>
      <c r="Q4" s="55" t="s">
        <v>45</v>
      </c>
      <c r="R4" s="55" t="s">
        <v>45</v>
      </c>
      <c r="S4" s="55" t="s">
        <v>45</v>
      </c>
      <c r="T4" s="55" t="s">
        <v>45</v>
      </c>
      <c r="U4" s="55" t="s">
        <v>3115</v>
      </c>
      <c r="V4" s="55" t="s">
        <v>3095</v>
      </c>
      <c r="W4" s="55" t="s">
        <v>3116</v>
      </c>
      <c r="X4" s="55" t="s">
        <v>3117</v>
      </c>
      <c r="Y4" s="55" t="s">
        <v>3095</v>
      </c>
      <c r="Z4" s="55" t="s">
        <v>3118</v>
      </c>
      <c r="AA4" s="55" t="s">
        <v>3119</v>
      </c>
      <c r="AB4" s="55" t="s">
        <v>3095</v>
      </c>
      <c r="AC4" s="55" t="s">
        <v>3103</v>
      </c>
      <c r="AD4" s="55" t="s">
        <v>3120</v>
      </c>
      <c r="AE4" s="55" t="s">
        <v>3095</v>
      </c>
      <c r="AF4" s="55" t="s">
        <v>3095</v>
      </c>
      <c r="AG4" s="55" t="s">
        <v>3095</v>
      </c>
      <c r="AH4" s="55" t="s">
        <v>3095</v>
      </c>
      <c r="AI4" s="55" t="s">
        <v>3095</v>
      </c>
      <c r="AJ4" s="55" t="s">
        <v>3095</v>
      </c>
      <c r="AK4" s="55" t="s">
        <v>3095</v>
      </c>
      <c r="AL4" s="55" t="s">
        <v>3095</v>
      </c>
      <c r="AM4" s="55" t="s">
        <v>3095</v>
      </c>
    </row>
    <row r="5" ht="45.0" customHeight="1">
      <c r="A5" s="55" t="s">
        <v>65</v>
      </c>
      <c r="B5" s="55" t="s">
        <v>3121</v>
      </c>
      <c r="C5" s="55" t="str">
        <f>IMAGE("https://raw.githubusercontent.com/ltdimages/images/refs/heads/main/Coordinate0079_00.png")</f>
        <v/>
      </c>
      <c r="D5" s="55" t="str">
        <f>IMAGE("https://raw.githubusercontent.com/ltdimages/images/refs/heads/main/Coordinate0079_01.png")</f>
        <v/>
      </c>
      <c r="E5" s="55" t="str">
        <f>IMAGE("https://raw.githubusercontent.com/ltdimages/images/refs/heads/main/Coordinate0079_02.png")</f>
        <v/>
      </c>
      <c r="F5" s="55" t="str">
        <f>IMAGE("https://raw.githubusercontent.com/ltdimages/images/refs/heads/main/Coordinate0079_03.png")</f>
        <v/>
      </c>
      <c r="G5" s="55" t="str">
        <f>IMAGE("https://raw.githubusercontent.com/ltdimages/images/refs/heads/main/Coordinate0079_04.png")</f>
        <v/>
      </c>
      <c r="H5" s="55" t="str">
        <f>IMAGE("https://raw.githubusercontent.com/ltdimages/images/refs/heads/main/Coordinate0079_05.png")</f>
        <v/>
      </c>
      <c r="I5" s="56" t="str">
        <f>IMAGE("https://raw.githubusercontent.com/ltdimages/images/refs/heads/main/Coordinate0079_06.png")</f>
        <v/>
      </c>
      <c r="J5" s="55" t="str">
        <f>IMAGE("https://raw.githubusercontent.com/ltdimages/images/refs/heads/main/Coordinate0079_07.png")</f>
        <v/>
      </c>
      <c r="K5" s="20" t="s">
        <v>3122</v>
      </c>
      <c r="L5" s="20" t="s">
        <v>3097</v>
      </c>
      <c r="M5" s="55" t="s">
        <v>3098</v>
      </c>
      <c r="N5" s="55" t="s">
        <v>3123</v>
      </c>
      <c r="O5" s="55" t="s">
        <v>45</v>
      </c>
      <c r="P5" s="55" t="s">
        <v>45</v>
      </c>
      <c r="Q5" s="55" t="s">
        <v>45</v>
      </c>
      <c r="R5" s="55" t="s">
        <v>45</v>
      </c>
      <c r="S5" s="55" t="s">
        <v>45</v>
      </c>
      <c r="T5" s="55" t="s">
        <v>45</v>
      </c>
      <c r="U5" s="55" t="s">
        <v>3124</v>
      </c>
      <c r="V5" s="55" t="s">
        <v>3095</v>
      </c>
      <c r="W5" s="55" t="s">
        <v>3125</v>
      </c>
      <c r="X5" s="55" t="s">
        <v>3126</v>
      </c>
      <c r="Y5" s="55" t="s">
        <v>3095</v>
      </c>
      <c r="Z5" s="55" t="s">
        <v>3095</v>
      </c>
      <c r="AA5" s="55" t="s">
        <v>3127</v>
      </c>
      <c r="AB5" s="55" t="s">
        <v>3095</v>
      </c>
      <c r="AC5" s="55" t="s">
        <v>3103</v>
      </c>
      <c r="AD5" s="55" t="s">
        <v>3128</v>
      </c>
      <c r="AE5" s="55" t="s">
        <v>3095</v>
      </c>
      <c r="AF5" s="55" t="s">
        <v>3095</v>
      </c>
      <c r="AG5" s="55" t="s">
        <v>3095</v>
      </c>
      <c r="AH5" s="55" t="s">
        <v>3095</v>
      </c>
      <c r="AI5" s="55" t="s">
        <v>3095</v>
      </c>
      <c r="AJ5" s="55" t="s">
        <v>3095</v>
      </c>
      <c r="AK5" s="55" t="s">
        <v>3095</v>
      </c>
      <c r="AL5" s="55" t="s">
        <v>3095</v>
      </c>
      <c r="AM5" s="55" t="s">
        <v>3095</v>
      </c>
    </row>
    <row r="6" ht="45.0" customHeight="1">
      <c r="A6" s="55" t="s">
        <v>70</v>
      </c>
      <c r="B6" s="55" t="s">
        <v>3129</v>
      </c>
      <c r="C6" s="55" t="str">
        <f>IMAGE("https://raw.githubusercontent.com/ltdimages/images/refs/heads/main/Coordinate0117_00.png")</f>
        <v/>
      </c>
      <c r="D6" s="55" t="s">
        <v>3095</v>
      </c>
      <c r="E6" s="55" t="s">
        <v>3095</v>
      </c>
      <c r="F6" s="55" t="s">
        <v>3095</v>
      </c>
      <c r="G6" s="55" t="s">
        <v>3095</v>
      </c>
      <c r="H6" s="55" t="s">
        <v>3095</v>
      </c>
      <c r="I6" s="56" t="s">
        <v>3095</v>
      </c>
      <c r="J6" s="55" t="s">
        <v>3095</v>
      </c>
      <c r="K6" s="20" t="s">
        <v>3130</v>
      </c>
      <c r="L6" s="20" t="s">
        <v>3097</v>
      </c>
      <c r="M6" s="55" t="s">
        <v>3131</v>
      </c>
      <c r="N6" s="55" t="s">
        <v>3099</v>
      </c>
      <c r="O6" s="55" t="s">
        <v>45</v>
      </c>
      <c r="P6" s="55" t="s">
        <v>45</v>
      </c>
      <c r="Q6" s="55" t="s">
        <v>45</v>
      </c>
      <c r="R6" s="55" t="s">
        <v>49</v>
      </c>
      <c r="S6" s="55" t="s">
        <v>49</v>
      </c>
      <c r="T6" s="55" t="s">
        <v>45</v>
      </c>
      <c r="U6" s="55" t="s">
        <v>3095</v>
      </c>
      <c r="V6" s="55" t="s">
        <v>3132</v>
      </c>
      <c r="W6" s="55" t="s">
        <v>3095</v>
      </c>
      <c r="X6" s="55" t="s">
        <v>3133</v>
      </c>
      <c r="Y6" s="55" t="s">
        <v>3134</v>
      </c>
      <c r="Z6" s="55" t="s">
        <v>3095</v>
      </c>
      <c r="AA6" s="55" t="s">
        <v>3135</v>
      </c>
      <c r="AB6" s="55" t="s">
        <v>3095</v>
      </c>
      <c r="AC6" s="55" t="s">
        <v>3110</v>
      </c>
      <c r="AD6" s="55" t="s">
        <v>3136</v>
      </c>
      <c r="AE6" s="55" t="s">
        <v>3095</v>
      </c>
      <c r="AF6" s="55" t="s">
        <v>3095</v>
      </c>
      <c r="AG6" s="55" t="s">
        <v>3095</v>
      </c>
      <c r="AH6" s="55" t="s">
        <v>3095</v>
      </c>
      <c r="AI6" s="55" t="s">
        <v>3095</v>
      </c>
      <c r="AJ6" s="55" t="s">
        <v>3095</v>
      </c>
      <c r="AK6" s="55" t="s">
        <v>3095</v>
      </c>
      <c r="AL6" s="55" t="s">
        <v>3095</v>
      </c>
      <c r="AM6" s="55" t="s">
        <v>3095</v>
      </c>
    </row>
    <row r="7" ht="45.0" customHeight="1">
      <c r="A7" s="55" t="s">
        <v>74</v>
      </c>
      <c r="B7" s="55" t="s">
        <v>3137</v>
      </c>
      <c r="C7" s="55" t="str">
        <f>IMAGE("https://raw.githubusercontent.com/ltdimages/images/refs/heads/main/Coordinate0290_00.png")</f>
        <v/>
      </c>
      <c r="D7" s="55" t="str">
        <f>IMAGE("https://raw.githubusercontent.com/ltdimages/images/refs/heads/main/Coordinate0290_01.png")</f>
        <v/>
      </c>
      <c r="E7" s="55" t="str">
        <f>IMAGE("https://raw.githubusercontent.com/ltdimages/images/refs/heads/main/Coordinate0290_02.png")</f>
        <v/>
      </c>
      <c r="F7" s="55" t="str">
        <f>IMAGE("https://raw.githubusercontent.com/ltdimages/images/refs/heads/main/Coordinate0290_03.png")</f>
        <v/>
      </c>
      <c r="G7" s="55" t="str">
        <f>IMAGE("https://raw.githubusercontent.com/ltdimages/images/refs/heads/main/Coordinate0290_04.png")</f>
        <v/>
      </c>
      <c r="H7" s="55" t="str">
        <f>IMAGE("https://raw.githubusercontent.com/ltdimages/images/refs/heads/main/Coordinate0290_05.png")</f>
        <v/>
      </c>
      <c r="I7" s="56" t="str">
        <f>IMAGE("https://raw.githubusercontent.com/ltdimages/images/refs/heads/main/Coordinate0290_06.png")</f>
        <v/>
      </c>
      <c r="J7" s="55" t="str">
        <f>IMAGE("https://raw.githubusercontent.com/ltdimages/images/refs/heads/main/Coordinate0290_07.png")</f>
        <v/>
      </c>
      <c r="K7" s="20" t="s">
        <v>3138</v>
      </c>
      <c r="L7" s="20" t="s">
        <v>3097</v>
      </c>
      <c r="M7" s="55" t="s">
        <v>3098</v>
      </c>
      <c r="N7" s="55" t="s">
        <v>3114</v>
      </c>
      <c r="O7" s="55" t="s">
        <v>45</v>
      </c>
      <c r="P7" s="55" t="s">
        <v>45</v>
      </c>
      <c r="Q7" s="55" t="s">
        <v>45</v>
      </c>
      <c r="R7" s="55" t="s">
        <v>45</v>
      </c>
      <c r="S7" s="55" t="s">
        <v>45</v>
      </c>
      <c r="T7" s="55" t="s">
        <v>45</v>
      </c>
      <c r="U7" s="55" t="s">
        <v>3139</v>
      </c>
      <c r="V7" s="55" t="s">
        <v>3095</v>
      </c>
      <c r="W7" s="55" t="s">
        <v>3140</v>
      </c>
      <c r="X7" s="55" t="s">
        <v>3141</v>
      </c>
      <c r="Y7" s="55" t="s">
        <v>3095</v>
      </c>
      <c r="Z7" s="55" t="s">
        <v>3142</v>
      </c>
      <c r="AA7" s="55" t="s">
        <v>3143</v>
      </c>
      <c r="AB7" s="55" t="s">
        <v>3095</v>
      </c>
      <c r="AC7" s="55" t="s">
        <v>3103</v>
      </c>
      <c r="AD7" s="55" t="s">
        <v>3144</v>
      </c>
      <c r="AE7" s="55" t="s">
        <v>3095</v>
      </c>
      <c r="AF7" s="55" t="s">
        <v>3095</v>
      </c>
      <c r="AG7" s="55" t="s">
        <v>3095</v>
      </c>
      <c r="AH7" s="55" t="s">
        <v>3095</v>
      </c>
      <c r="AI7" s="55" t="s">
        <v>3095</v>
      </c>
      <c r="AJ7" s="55" t="s">
        <v>3095</v>
      </c>
      <c r="AK7" s="55" t="s">
        <v>3095</v>
      </c>
      <c r="AL7" s="55" t="s">
        <v>3095</v>
      </c>
      <c r="AM7" s="55" t="s">
        <v>3095</v>
      </c>
    </row>
    <row r="8" ht="45.0" customHeight="1">
      <c r="A8" s="55" t="s">
        <v>78</v>
      </c>
      <c r="B8" s="55" t="s">
        <v>3145</v>
      </c>
      <c r="C8" s="55" t="str">
        <f>IMAGE("https://raw.githubusercontent.com/ltdimages/images/refs/heads/main/Coordinate0274_00.png")</f>
        <v/>
      </c>
      <c r="D8" s="55" t="str">
        <f>IMAGE("https://raw.githubusercontent.com/ltdimages/images/refs/heads/main/Coordinate0274_01.png")</f>
        <v/>
      </c>
      <c r="E8" s="55" t="str">
        <f>IMAGE("https://raw.githubusercontent.com/ltdimages/images/refs/heads/main/Coordinate0274_02.png")</f>
        <v/>
      </c>
      <c r="F8" s="55" t="str">
        <f>IMAGE("https://raw.githubusercontent.com/ltdimages/images/refs/heads/main/Coordinate0274_03.png")</f>
        <v/>
      </c>
      <c r="G8" s="55" t="str">
        <f>IMAGE("https://raw.githubusercontent.com/ltdimages/images/refs/heads/main/Coordinate0274_04.png")</f>
        <v/>
      </c>
      <c r="H8" s="55" t="str">
        <f>IMAGE("https://raw.githubusercontent.com/ltdimages/images/refs/heads/main/Coordinate0274_05.png")</f>
        <v/>
      </c>
      <c r="I8" s="56" t="str">
        <f>IMAGE("https://raw.githubusercontent.com/ltdimages/images/refs/heads/main/Coordinate0274_06.png")</f>
        <v/>
      </c>
      <c r="J8" s="55" t="str">
        <f>IMAGE("https://raw.githubusercontent.com/ltdimages/images/refs/heads/main/Coordinate0274_07.png")</f>
        <v/>
      </c>
      <c r="K8" s="20" t="s">
        <v>3146</v>
      </c>
      <c r="L8" s="20" t="s">
        <v>3097</v>
      </c>
      <c r="M8" s="55" t="s">
        <v>3098</v>
      </c>
      <c r="N8" s="55" t="s">
        <v>3123</v>
      </c>
      <c r="O8" s="55" t="s">
        <v>45</v>
      </c>
      <c r="P8" s="55" t="s">
        <v>45</v>
      </c>
      <c r="Q8" s="55" t="s">
        <v>45</v>
      </c>
      <c r="R8" s="55" t="s">
        <v>45</v>
      </c>
      <c r="S8" s="55" t="s">
        <v>49</v>
      </c>
      <c r="T8" s="55" t="s">
        <v>45</v>
      </c>
      <c r="U8" s="55" t="s">
        <v>3147</v>
      </c>
      <c r="V8" s="55" t="s">
        <v>3095</v>
      </c>
      <c r="W8" s="55" t="s">
        <v>3148</v>
      </c>
      <c r="X8" s="55" t="s">
        <v>3149</v>
      </c>
      <c r="Y8" s="55" t="s">
        <v>3095</v>
      </c>
      <c r="Z8" s="55" t="s">
        <v>3118</v>
      </c>
      <c r="AA8" s="55" t="s">
        <v>3150</v>
      </c>
      <c r="AB8" s="55" t="s">
        <v>3095</v>
      </c>
      <c r="AC8" s="55" t="s">
        <v>3103</v>
      </c>
      <c r="AD8" s="55" t="s">
        <v>3151</v>
      </c>
      <c r="AE8" s="55" t="s">
        <v>3095</v>
      </c>
      <c r="AF8" s="55" t="s">
        <v>3095</v>
      </c>
      <c r="AG8" s="55" t="s">
        <v>3095</v>
      </c>
      <c r="AH8" s="55" t="s">
        <v>3095</v>
      </c>
      <c r="AI8" s="55" t="s">
        <v>3095</v>
      </c>
      <c r="AJ8" s="55" t="s">
        <v>3095</v>
      </c>
      <c r="AK8" s="55" t="s">
        <v>3095</v>
      </c>
      <c r="AL8" s="55" t="s">
        <v>3095</v>
      </c>
      <c r="AM8" s="55" t="s">
        <v>3095</v>
      </c>
    </row>
    <row r="9" ht="45.0" customHeight="1">
      <c r="A9" s="55" t="s">
        <v>83</v>
      </c>
      <c r="B9" s="55" t="s">
        <v>3152</v>
      </c>
      <c r="C9" s="55" t="str">
        <f>IMAGE("https://raw.githubusercontent.com/ltdimages/images/refs/heads/main/Coordinate0023_00.png")</f>
        <v/>
      </c>
      <c r="D9" s="55" t="str">
        <f>IMAGE("https://raw.githubusercontent.com/ltdimages/images/refs/heads/main/Coordinate0023_01.png")</f>
        <v/>
      </c>
      <c r="E9" s="55" t="str">
        <f>IMAGE("https://raw.githubusercontent.com/ltdimages/images/refs/heads/main/Coordinate0023_02.png")</f>
        <v/>
      </c>
      <c r="F9" s="55" t="str">
        <f>IMAGE("https://raw.githubusercontent.com/ltdimages/images/refs/heads/main/Coordinate0023_03.png")</f>
        <v/>
      </c>
      <c r="G9" s="55" t="str">
        <f>IMAGE("https://raw.githubusercontent.com/ltdimages/images/refs/heads/main/Coordinate0023_04.png")</f>
        <v/>
      </c>
      <c r="H9" s="55" t="str">
        <f>IMAGE("https://raw.githubusercontent.com/ltdimages/images/refs/heads/main/Coordinate0023_05.png")</f>
        <v/>
      </c>
      <c r="I9" s="56" t="str">
        <f>IMAGE("https://raw.githubusercontent.com/ltdimages/images/refs/heads/main/Coordinate0023_06.png")</f>
        <v/>
      </c>
      <c r="J9" s="55" t="str">
        <f>IMAGE("https://raw.githubusercontent.com/ltdimages/images/refs/heads/main/Coordinate0023_07.png")</f>
        <v/>
      </c>
      <c r="K9" s="20" t="s">
        <v>3153</v>
      </c>
      <c r="L9" s="20" t="s">
        <v>3097</v>
      </c>
      <c r="M9" s="55" t="s">
        <v>3098</v>
      </c>
      <c r="N9" s="55" t="s">
        <v>3099</v>
      </c>
      <c r="O9" s="55" t="s">
        <v>45</v>
      </c>
      <c r="P9" s="55" t="s">
        <v>45</v>
      </c>
      <c r="Q9" s="55" t="s">
        <v>45</v>
      </c>
      <c r="R9" s="55" t="s">
        <v>45</v>
      </c>
      <c r="S9" s="55" t="s">
        <v>45</v>
      </c>
      <c r="T9" s="55" t="s">
        <v>45</v>
      </c>
      <c r="U9" s="55" t="s">
        <v>3154</v>
      </c>
      <c r="V9" s="55" t="s">
        <v>3095</v>
      </c>
      <c r="W9" s="55" t="s">
        <v>3155</v>
      </c>
      <c r="X9" s="55" t="s">
        <v>3095</v>
      </c>
      <c r="Y9" s="55" t="s">
        <v>3095</v>
      </c>
      <c r="Z9" s="55" t="s">
        <v>3156</v>
      </c>
      <c r="AA9" s="55" t="s">
        <v>3157</v>
      </c>
      <c r="AB9" s="55" t="s">
        <v>3095</v>
      </c>
      <c r="AC9" s="55" t="s">
        <v>3103</v>
      </c>
      <c r="AD9" s="55" t="s">
        <v>3158</v>
      </c>
      <c r="AE9" s="55" t="s">
        <v>3095</v>
      </c>
      <c r="AF9" s="55" t="s">
        <v>3095</v>
      </c>
      <c r="AG9" s="55" t="s">
        <v>3095</v>
      </c>
      <c r="AH9" s="55" t="s">
        <v>3095</v>
      </c>
      <c r="AI9" s="55" t="s">
        <v>3095</v>
      </c>
      <c r="AJ9" s="55" t="s">
        <v>3095</v>
      </c>
      <c r="AK9" s="55" t="s">
        <v>3095</v>
      </c>
      <c r="AL9" s="55" t="s">
        <v>3095</v>
      </c>
      <c r="AM9" s="55" t="s">
        <v>3095</v>
      </c>
    </row>
    <row r="10" ht="45.0" customHeight="1">
      <c r="A10" s="55" t="s">
        <v>89</v>
      </c>
      <c r="B10" s="55" t="s">
        <v>3159</v>
      </c>
      <c r="C10" s="55" t="str">
        <f>IMAGE("https://raw.githubusercontent.com/ltdimages/images/refs/heads/main/Coordinate0178_00.png")</f>
        <v/>
      </c>
      <c r="D10" s="55" t="str">
        <f>IMAGE("https://raw.githubusercontent.com/ltdimages/images/refs/heads/main/Coordinate0178_01.png")</f>
        <v/>
      </c>
      <c r="E10" s="55" t="str">
        <f>IMAGE("https://raw.githubusercontent.com/ltdimages/images/refs/heads/main/Coordinate0178_02.png")</f>
        <v/>
      </c>
      <c r="F10" s="55" t="str">
        <f>IMAGE("https://raw.githubusercontent.com/ltdimages/images/refs/heads/main/Coordinate0178_03.png")</f>
        <v/>
      </c>
      <c r="G10" s="55" t="str">
        <f>IMAGE("https://raw.githubusercontent.com/ltdimages/images/refs/heads/main/Coordinate0178_04.png")</f>
        <v/>
      </c>
      <c r="H10" s="55" t="str">
        <f>IMAGE("https://raw.githubusercontent.com/ltdimages/images/refs/heads/main/Coordinate0178_05.png")</f>
        <v/>
      </c>
      <c r="I10" s="56" t="str">
        <f>IMAGE("https://raw.githubusercontent.com/ltdimages/images/refs/heads/main/Coordinate0178_06.png")</f>
        <v/>
      </c>
      <c r="J10" s="55" t="str">
        <f>IMAGE("https://raw.githubusercontent.com/ltdimages/images/refs/heads/main/Coordinate0178_07.png")</f>
        <v/>
      </c>
      <c r="K10" s="20" t="s">
        <v>3160</v>
      </c>
      <c r="L10" s="20" t="s">
        <v>3097</v>
      </c>
      <c r="M10" s="55" t="s">
        <v>3098</v>
      </c>
      <c r="N10" s="55" t="s">
        <v>3099</v>
      </c>
      <c r="O10" s="55" t="s">
        <v>45</v>
      </c>
      <c r="P10" s="55" t="s">
        <v>45</v>
      </c>
      <c r="Q10" s="55" t="s">
        <v>45</v>
      </c>
      <c r="R10" s="55" t="s">
        <v>49</v>
      </c>
      <c r="S10" s="55" t="s">
        <v>45</v>
      </c>
      <c r="T10" s="55" t="s">
        <v>45</v>
      </c>
      <c r="U10" s="55" t="s">
        <v>3161</v>
      </c>
      <c r="V10" s="55" t="s">
        <v>3095</v>
      </c>
      <c r="W10" s="55" t="s">
        <v>3162</v>
      </c>
      <c r="X10" s="55" t="s">
        <v>3095</v>
      </c>
      <c r="Y10" s="55" t="s">
        <v>3163</v>
      </c>
      <c r="Z10" s="55" t="s">
        <v>3164</v>
      </c>
      <c r="AA10" s="55" t="s">
        <v>3165</v>
      </c>
      <c r="AB10" s="55" t="s">
        <v>3095</v>
      </c>
      <c r="AC10" s="55" t="s">
        <v>3103</v>
      </c>
      <c r="AD10" s="55" t="s">
        <v>3166</v>
      </c>
      <c r="AE10" s="55" t="s">
        <v>3095</v>
      </c>
      <c r="AF10" s="55" t="s">
        <v>3095</v>
      </c>
      <c r="AG10" s="55" t="s">
        <v>3095</v>
      </c>
      <c r="AH10" s="55" t="s">
        <v>3095</v>
      </c>
      <c r="AI10" s="55" t="s">
        <v>3095</v>
      </c>
      <c r="AJ10" s="55" t="s">
        <v>3095</v>
      </c>
      <c r="AK10" s="55" t="s">
        <v>3095</v>
      </c>
      <c r="AL10" s="55" t="s">
        <v>3095</v>
      </c>
      <c r="AM10" s="55" t="s">
        <v>3095</v>
      </c>
    </row>
    <row r="11" ht="45.0" customHeight="1">
      <c r="A11" s="55" t="s">
        <v>94</v>
      </c>
      <c r="B11" s="55" t="s">
        <v>3167</v>
      </c>
      <c r="C11" s="55" t="str">
        <f>IMAGE("https://raw.githubusercontent.com/ltdimages/images/refs/heads/main/Coordinate0123_00.png")</f>
        <v/>
      </c>
      <c r="D11" s="55" t="str">
        <f>IMAGE("https://raw.githubusercontent.com/ltdimages/images/refs/heads/main/Coordinate0123_01.png")</f>
        <v/>
      </c>
      <c r="E11" s="55" t="s">
        <v>3095</v>
      </c>
      <c r="F11" s="55" t="s">
        <v>3095</v>
      </c>
      <c r="G11" s="55" t="s">
        <v>3095</v>
      </c>
      <c r="H11" s="55" t="s">
        <v>3095</v>
      </c>
      <c r="I11" s="56" t="s">
        <v>3095</v>
      </c>
      <c r="J11" s="55" t="s">
        <v>3095</v>
      </c>
      <c r="K11" s="20" t="s">
        <v>3168</v>
      </c>
      <c r="L11" s="20" t="s">
        <v>3097</v>
      </c>
      <c r="M11" s="55" t="s">
        <v>2574</v>
      </c>
      <c r="N11" s="55" t="s">
        <v>3099</v>
      </c>
      <c r="O11" s="55" t="s">
        <v>45</v>
      </c>
      <c r="P11" s="55" t="s">
        <v>45</v>
      </c>
      <c r="Q11" s="55" t="s">
        <v>45</v>
      </c>
      <c r="R11" s="55" t="s">
        <v>49</v>
      </c>
      <c r="S11" s="55" t="s">
        <v>45</v>
      </c>
      <c r="T11" s="55" t="s">
        <v>45</v>
      </c>
      <c r="U11" s="55" t="s">
        <v>3095</v>
      </c>
      <c r="V11" s="55" t="s">
        <v>3095</v>
      </c>
      <c r="W11" s="55" t="s">
        <v>3095</v>
      </c>
      <c r="X11" s="55" t="s">
        <v>3169</v>
      </c>
      <c r="Y11" s="55" t="s">
        <v>3095</v>
      </c>
      <c r="Z11" s="55" t="s">
        <v>3095</v>
      </c>
      <c r="AA11" s="55" t="s">
        <v>3095</v>
      </c>
      <c r="AB11" s="55" t="s">
        <v>3170</v>
      </c>
      <c r="AC11" s="55" t="s">
        <v>3099</v>
      </c>
      <c r="AD11" s="55" t="s">
        <v>3171</v>
      </c>
      <c r="AE11" s="55" t="s">
        <v>3095</v>
      </c>
      <c r="AF11" s="55" t="s">
        <v>3095</v>
      </c>
      <c r="AG11" s="55" t="s">
        <v>3095</v>
      </c>
      <c r="AH11" s="55" t="s">
        <v>3095</v>
      </c>
      <c r="AI11" s="55" t="s">
        <v>3095</v>
      </c>
      <c r="AJ11" s="55" t="s">
        <v>3095</v>
      </c>
      <c r="AK11" s="55" t="s">
        <v>3095</v>
      </c>
      <c r="AL11" s="55" t="s">
        <v>3095</v>
      </c>
      <c r="AM11" s="55" t="s">
        <v>3095</v>
      </c>
    </row>
    <row r="12" ht="45.0" customHeight="1">
      <c r="A12" s="55" t="s">
        <v>98</v>
      </c>
      <c r="B12" s="55" t="s">
        <v>3172</v>
      </c>
      <c r="C12" s="55" t="str">
        <f>IMAGE("https://raw.githubusercontent.com/ltdimages/images/refs/heads/main/Coordinate0288_00.png")</f>
        <v/>
      </c>
      <c r="D12" s="55" t="str">
        <f>IMAGE("https://raw.githubusercontent.com/ltdimages/images/refs/heads/main/Coordinate0288_01.png")</f>
        <v/>
      </c>
      <c r="E12" s="55" t="str">
        <f>IMAGE("https://raw.githubusercontent.com/ltdimages/images/refs/heads/main/Coordinate0288_02.png")</f>
        <v/>
      </c>
      <c r="F12" s="55" t="s">
        <v>3095</v>
      </c>
      <c r="G12" s="55" t="s">
        <v>3095</v>
      </c>
      <c r="H12" s="55" t="s">
        <v>3095</v>
      </c>
      <c r="I12" s="56" t="s">
        <v>3095</v>
      </c>
      <c r="J12" s="55" t="s">
        <v>3095</v>
      </c>
      <c r="K12" s="20" t="s">
        <v>3173</v>
      </c>
      <c r="L12" s="20" t="s">
        <v>3097</v>
      </c>
      <c r="M12" s="55" t="s">
        <v>3098</v>
      </c>
      <c r="N12" s="55" t="s">
        <v>3114</v>
      </c>
      <c r="O12" s="55" t="s">
        <v>45</v>
      </c>
      <c r="P12" s="55" t="s">
        <v>45</v>
      </c>
      <c r="Q12" s="55" t="s">
        <v>45</v>
      </c>
      <c r="R12" s="55" t="s">
        <v>45</v>
      </c>
      <c r="S12" s="55" t="s">
        <v>45</v>
      </c>
      <c r="T12" s="55" t="s">
        <v>45</v>
      </c>
      <c r="U12" s="55" t="s">
        <v>3174</v>
      </c>
      <c r="V12" s="55" t="s">
        <v>3095</v>
      </c>
      <c r="W12" s="55" t="s">
        <v>3175</v>
      </c>
      <c r="X12" s="55" t="s">
        <v>3176</v>
      </c>
      <c r="Y12" s="55" t="s">
        <v>3095</v>
      </c>
      <c r="Z12" s="55" t="s">
        <v>3177</v>
      </c>
      <c r="AA12" s="55" t="s">
        <v>3178</v>
      </c>
      <c r="AB12" s="55" t="s">
        <v>3095</v>
      </c>
      <c r="AC12" s="55" t="s">
        <v>3103</v>
      </c>
      <c r="AD12" s="55" t="s">
        <v>3179</v>
      </c>
      <c r="AE12" s="55" t="s">
        <v>3095</v>
      </c>
      <c r="AF12" s="55" t="s">
        <v>3095</v>
      </c>
      <c r="AG12" s="55" t="s">
        <v>3095</v>
      </c>
      <c r="AH12" s="55" t="s">
        <v>3095</v>
      </c>
      <c r="AI12" s="55" t="s">
        <v>3095</v>
      </c>
      <c r="AJ12" s="55" t="s">
        <v>3095</v>
      </c>
      <c r="AK12" s="55" t="s">
        <v>3095</v>
      </c>
      <c r="AL12" s="55" t="s">
        <v>3095</v>
      </c>
      <c r="AM12" s="55" t="s">
        <v>3095</v>
      </c>
    </row>
    <row r="13" ht="45.0" customHeight="1">
      <c r="A13" s="55" t="s">
        <v>104</v>
      </c>
      <c r="B13" s="55" t="s">
        <v>3180</v>
      </c>
      <c r="C13" s="55" t="str">
        <f>IMAGE("https://raw.githubusercontent.com/ltdimages/images/refs/heads/main/Coordinate0099_00.png")</f>
        <v/>
      </c>
      <c r="D13" s="55" t="str">
        <f>IMAGE("https://raw.githubusercontent.com/ltdimages/images/refs/heads/main/Coordinate0099_01.png")</f>
        <v/>
      </c>
      <c r="E13" s="55" t="str">
        <f>IMAGE("https://raw.githubusercontent.com/ltdimages/images/refs/heads/main/Coordinate0099_02.png")</f>
        <v/>
      </c>
      <c r="F13" s="55" t="str">
        <f>IMAGE("https://raw.githubusercontent.com/ltdimages/images/refs/heads/main/Coordinate0099_03.png")</f>
        <v/>
      </c>
      <c r="G13" s="55" t="str">
        <f>IMAGE("https://raw.githubusercontent.com/ltdimages/images/refs/heads/main/Coordinate0099_04.png")</f>
        <v/>
      </c>
      <c r="H13" s="55" t="str">
        <f>IMAGE("https://raw.githubusercontent.com/ltdimages/images/refs/heads/main/Coordinate0099_05.png")</f>
        <v/>
      </c>
      <c r="I13" s="56" t="s">
        <v>3095</v>
      </c>
      <c r="J13" s="55" t="s">
        <v>3095</v>
      </c>
      <c r="K13" s="20" t="s">
        <v>3181</v>
      </c>
      <c r="L13" s="20" t="s">
        <v>3097</v>
      </c>
      <c r="M13" s="55" t="s">
        <v>2574</v>
      </c>
      <c r="N13" s="55" t="s">
        <v>3099</v>
      </c>
      <c r="O13" s="55" t="s">
        <v>45</v>
      </c>
      <c r="P13" s="55" t="s">
        <v>45</v>
      </c>
      <c r="Q13" s="55" t="s">
        <v>45</v>
      </c>
      <c r="R13" s="55" t="s">
        <v>49</v>
      </c>
      <c r="S13" s="55" t="s">
        <v>45</v>
      </c>
      <c r="T13" s="55" t="s">
        <v>45</v>
      </c>
      <c r="U13" s="55" t="s">
        <v>3095</v>
      </c>
      <c r="V13" s="55" t="s">
        <v>3095</v>
      </c>
      <c r="W13" s="55" t="s">
        <v>3095</v>
      </c>
      <c r="X13" s="55" t="s">
        <v>3182</v>
      </c>
      <c r="Y13" s="55" t="s">
        <v>3095</v>
      </c>
      <c r="Z13" s="55" t="s">
        <v>3095</v>
      </c>
      <c r="AA13" s="55" t="s">
        <v>3095</v>
      </c>
      <c r="AB13" s="55" t="s">
        <v>3183</v>
      </c>
      <c r="AC13" s="55" t="s">
        <v>3099</v>
      </c>
      <c r="AD13" s="55" t="s">
        <v>3184</v>
      </c>
      <c r="AE13" s="55" t="s">
        <v>3095</v>
      </c>
      <c r="AF13" s="55" t="s">
        <v>3095</v>
      </c>
      <c r="AG13" s="55" t="s">
        <v>3095</v>
      </c>
      <c r="AH13" s="55" t="s">
        <v>3095</v>
      </c>
      <c r="AI13" s="55" t="s">
        <v>3095</v>
      </c>
      <c r="AJ13" s="55" t="s">
        <v>3095</v>
      </c>
      <c r="AK13" s="55" t="s">
        <v>3095</v>
      </c>
      <c r="AL13" s="55" t="s">
        <v>3095</v>
      </c>
      <c r="AM13" s="55" t="s">
        <v>3095</v>
      </c>
    </row>
    <row r="14" ht="45.0" customHeight="1">
      <c r="A14" s="55" t="s">
        <v>109</v>
      </c>
      <c r="B14" s="55" t="s">
        <v>3185</v>
      </c>
      <c r="C14" s="55" t="str">
        <f>IMAGE("https://raw.githubusercontent.com/ltdimages/images/refs/heads/main/Coordinate0165_00.png")</f>
        <v/>
      </c>
      <c r="D14" s="55" t="str">
        <f>IMAGE("https://raw.githubusercontent.com/ltdimages/images/refs/heads/main/Coordinate0165_01.png")</f>
        <v/>
      </c>
      <c r="E14" s="55" t="str">
        <f>IMAGE("https://raw.githubusercontent.com/ltdimages/images/refs/heads/main/Coordinate0165_02.png")</f>
        <v/>
      </c>
      <c r="F14" s="55" t="str">
        <f>IMAGE("https://raw.githubusercontent.com/ltdimages/images/refs/heads/main/Coordinate0165_03.png")</f>
        <v/>
      </c>
      <c r="G14" s="55" t="str">
        <f>IMAGE("https://raw.githubusercontent.com/ltdimages/images/refs/heads/main/Coordinate0165_04.png")</f>
        <v/>
      </c>
      <c r="H14" s="55" t="str">
        <f>IMAGE("https://raw.githubusercontent.com/ltdimages/images/refs/heads/main/Coordinate0165_05.png")</f>
        <v/>
      </c>
      <c r="I14" s="56" t="str">
        <f>IMAGE("https://raw.githubusercontent.com/ltdimages/images/refs/heads/main/Coordinate0165_06.png")</f>
        <v/>
      </c>
      <c r="J14" s="55" t="str">
        <f>IMAGE("https://raw.githubusercontent.com/ltdimages/images/refs/heads/main/Coordinate0165_07.png")</f>
        <v/>
      </c>
      <c r="K14" s="20" t="s">
        <v>3186</v>
      </c>
      <c r="L14" s="20" t="s">
        <v>3097</v>
      </c>
      <c r="M14" s="55" t="s">
        <v>2574</v>
      </c>
      <c r="N14" s="55" t="s">
        <v>3099</v>
      </c>
      <c r="O14" s="55" t="s">
        <v>49</v>
      </c>
      <c r="P14" s="55" t="s">
        <v>45</v>
      </c>
      <c r="Q14" s="55" t="s">
        <v>45</v>
      </c>
      <c r="R14" s="55" t="s">
        <v>45</v>
      </c>
      <c r="S14" s="55" t="s">
        <v>45</v>
      </c>
      <c r="T14" s="55" t="s">
        <v>45</v>
      </c>
      <c r="U14" s="55" t="s">
        <v>3095</v>
      </c>
      <c r="V14" s="55" t="s">
        <v>3095</v>
      </c>
      <c r="W14" s="55" t="s">
        <v>3095</v>
      </c>
      <c r="X14" s="55" t="s">
        <v>3187</v>
      </c>
      <c r="Y14" s="55" t="s">
        <v>3095</v>
      </c>
      <c r="Z14" s="55" t="s">
        <v>3095</v>
      </c>
      <c r="AA14" s="55" t="s">
        <v>3095</v>
      </c>
      <c r="AB14" s="55" t="s">
        <v>3188</v>
      </c>
      <c r="AC14" s="55" t="s">
        <v>3099</v>
      </c>
      <c r="AD14" s="55" t="s">
        <v>3189</v>
      </c>
      <c r="AE14" s="55" t="s">
        <v>3095</v>
      </c>
      <c r="AF14" s="55" t="s">
        <v>3095</v>
      </c>
      <c r="AG14" s="55" t="s">
        <v>3095</v>
      </c>
      <c r="AH14" s="55" t="s">
        <v>3095</v>
      </c>
      <c r="AI14" s="55" t="s">
        <v>3095</v>
      </c>
      <c r="AJ14" s="55" t="s">
        <v>3095</v>
      </c>
      <c r="AK14" s="55" t="s">
        <v>3095</v>
      </c>
      <c r="AL14" s="55" t="s">
        <v>3095</v>
      </c>
      <c r="AM14" s="55" t="s">
        <v>3095</v>
      </c>
    </row>
    <row r="15" ht="45.0" customHeight="1">
      <c r="A15" s="55" t="s">
        <v>115</v>
      </c>
      <c r="B15" s="55" t="s">
        <v>3190</v>
      </c>
      <c r="C15" s="55" t="str">
        <f>IMAGE("https://raw.githubusercontent.com/ltdimages/images/refs/heads/main/Coordinate0293_00.png")</f>
        <v/>
      </c>
      <c r="D15" s="55" t="str">
        <f>IMAGE("https://raw.githubusercontent.com/ltdimages/images/refs/heads/main/Coordinate0293_01.png")</f>
        <v/>
      </c>
      <c r="E15" s="55" t="str">
        <f>IMAGE("https://raw.githubusercontent.com/ltdimages/images/refs/heads/main/Coordinate0293_02.png")</f>
        <v/>
      </c>
      <c r="F15" s="55" t="str">
        <f>IMAGE("https://raw.githubusercontent.com/ltdimages/images/refs/heads/main/Coordinate0293_03.png")</f>
        <v/>
      </c>
      <c r="G15" s="55" t="str">
        <f>IMAGE("https://raw.githubusercontent.com/ltdimages/images/refs/heads/main/Coordinate0293_04.png")</f>
        <v/>
      </c>
      <c r="H15" s="55" t="str">
        <f>IMAGE("https://raw.githubusercontent.com/ltdimages/images/refs/heads/main/Coordinate0293_05.png")</f>
        <v/>
      </c>
      <c r="I15" s="56" t="str">
        <f>IMAGE("https://raw.githubusercontent.com/ltdimages/images/refs/heads/main/Coordinate0293_06.png")</f>
        <v/>
      </c>
      <c r="J15" s="55" t="str">
        <f>IMAGE("https://raw.githubusercontent.com/ltdimages/images/refs/heads/main/Coordinate0293_07.png")</f>
        <v/>
      </c>
      <c r="K15" s="20" t="s">
        <v>3191</v>
      </c>
      <c r="L15" s="20" t="s">
        <v>3097</v>
      </c>
      <c r="M15" s="55" t="s">
        <v>3098</v>
      </c>
      <c r="N15" s="55" t="s">
        <v>3099</v>
      </c>
      <c r="O15" s="55" t="s">
        <v>45</v>
      </c>
      <c r="P15" s="55" t="s">
        <v>45</v>
      </c>
      <c r="Q15" s="55" t="s">
        <v>45</v>
      </c>
      <c r="R15" s="55" t="s">
        <v>45</v>
      </c>
      <c r="S15" s="55" t="s">
        <v>49</v>
      </c>
      <c r="T15" s="55" t="s">
        <v>45</v>
      </c>
      <c r="U15" s="55" t="s">
        <v>3095</v>
      </c>
      <c r="V15" s="55" t="s">
        <v>3192</v>
      </c>
      <c r="W15" s="55" t="s">
        <v>3095</v>
      </c>
      <c r="X15" s="55" t="s">
        <v>3095</v>
      </c>
      <c r="Y15" s="55" t="s">
        <v>3095</v>
      </c>
      <c r="Z15" s="55" t="s">
        <v>3193</v>
      </c>
      <c r="AA15" s="55" t="s">
        <v>3194</v>
      </c>
      <c r="AB15" s="55" t="s">
        <v>3095</v>
      </c>
      <c r="AC15" s="55" t="s">
        <v>3110</v>
      </c>
      <c r="AD15" s="55" t="s">
        <v>3195</v>
      </c>
      <c r="AE15" s="55" t="s">
        <v>3095</v>
      </c>
      <c r="AF15" s="55" t="s">
        <v>3095</v>
      </c>
      <c r="AG15" s="55" t="s">
        <v>3095</v>
      </c>
      <c r="AH15" s="55" t="s">
        <v>3095</v>
      </c>
      <c r="AI15" s="55" t="s">
        <v>3095</v>
      </c>
      <c r="AJ15" s="55" t="s">
        <v>3095</v>
      </c>
      <c r="AK15" s="55" t="s">
        <v>3095</v>
      </c>
      <c r="AL15" s="55" t="s">
        <v>3095</v>
      </c>
      <c r="AM15" s="55" t="s">
        <v>3095</v>
      </c>
    </row>
    <row r="16" ht="45.0" customHeight="1">
      <c r="A16" s="55" t="s">
        <v>119</v>
      </c>
      <c r="B16" s="55" t="s">
        <v>3196</v>
      </c>
      <c r="C16" s="55" t="str">
        <f>IMAGE("https://raw.githubusercontent.com/ltdimages/images/refs/heads/main/Coordinate0238_00.png")</f>
        <v/>
      </c>
      <c r="D16" s="55" t="str">
        <f>IMAGE("https://raw.githubusercontent.com/ltdimages/images/refs/heads/main/Coordinate0238_01.png")</f>
        <v/>
      </c>
      <c r="E16" s="55" t="str">
        <f>IMAGE("https://raw.githubusercontent.com/ltdimages/images/refs/heads/main/Coordinate0238_02.png")</f>
        <v/>
      </c>
      <c r="F16" s="55" t="str">
        <f>IMAGE("https://raw.githubusercontent.com/ltdimages/images/refs/heads/main/Coordinate0238_03.png")</f>
        <v/>
      </c>
      <c r="G16" s="55" t="str">
        <f>IMAGE("https://raw.githubusercontent.com/ltdimages/images/refs/heads/main/Coordinate0238_04.png")</f>
        <v/>
      </c>
      <c r="H16" s="55" t="str">
        <f>IMAGE("https://raw.githubusercontent.com/ltdimages/images/refs/heads/main/Coordinate0238_05.png")</f>
        <v/>
      </c>
      <c r="I16" s="56" t="s">
        <v>3095</v>
      </c>
      <c r="J16" s="55" t="s">
        <v>3095</v>
      </c>
      <c r="K16" s="20" t="s">
        <v>3197</v>
      </c>
      <c r="L16" s="20" t="s">
        <v>3097</v>
      </c>
      <c r="M16" s="55" t="s">
        <v>3098</v>
      </c>
      <c r="N16" s="55" t="s">
        <v>3099</v>
      </c>
      <c r="O16" s="55" t="s">
        <v>45</v>
      </c>
      <c r="P16" s="55" t="s">
        <v>45</v>
      </c>
      <c r="Q16" s="55" t="s">
        <v>45</v>
      </c>
      <c r="R16" s="55" t="s">
        <v>45</v>
      </c>
      <c r="S16" s="55" t="s">
        <v>45</v>
      </c>
      <c r="T16" s="55" t="s">
        <v>45</v>
      </c>
      <c r="U16" s="55" t="s">
        <v>3095</v>
      </c>
      <c r="V16" s="55" t="s">
        <v>3198</v>
      </c>
      <c r="W16" s="55" t="s">
        <v>3095</v>
      </c>
      <c r="X16" s="55" t="s">
        <v>3199</v>
      </c>
      <c r="Y16" s="55" t="s">
        <v>3095</v>
      </c>
      <c r="Z16" s="55" t="s">
        <v>3200</v>
      </c>
      <c r="AA16" s="55" t="s">
        <v>3201</v>
      </c>
      <c r="AB16" s="55" t="s">
        <v>3095</v>
      </c>
      <c r="AC16" s="55" t="s">
        <v>3110</v>
      </c>
      <c r="AD16" s="55" t="s">
        <v>3202</v>
      </c>
      <c r="AE16" s="55" t="s">
        <v>3095</v>
      </c>
      <c r="AF16" s="55" t="s">
        <v>3095</v>
      </c>
      <c r="AG16" s="55" t="s">
        <v>3095</v>
      </c>
      <c r="AH16" s="55" t="s">
        <v>3095</v>
      </c>
      <c r="AI16" s="55" t="s">
        <v>3095</v>
      </c>
      <c r="AJ16" s="55" t="s">
        <v>3095</v>
      </c>
      <c r="AK16" s="55" t="s">
        <v>3095</v>
      </c>
      <c r="AL16" s="55" t="s">
        <v>3095</v>
      </c>
      <c r="AM16" s="55" t="s">
        <v>3095</v>
      </c>
    </row>
    <row r="17" ht="45.0" customHeight="1">
      <c r="A17" s="55" t="s">
        <v>124</v>
      </c>
      <c r="B17" s="55" t="s">
        <v>3203</v>
      </c>
      <c r="C17" s="55" t="str">
        <f>IMAGE("https://raw.githubusercontent.com/ltdimages/images/refs/heads/main/Coordinate0004_00.png")</f>
        <v/>
      </c>
      <c r="D17" s="55" t="str">
        <f>IMAGE("https://raw.githubusercontent.com/ltdimages/images/refs/heads/main/Coordinate0004_01.png")</f>
        <v/>
      </c>
      <c r="E17" s="55" t="str">
        <f>IMAGE("https://raw.githubusercontent.com/ltdimages/images/refs/heads/main/Coordinate0004_02.png")</f>
        <v/>
      </c>
      <c r="F17" s="55" t="str">
        <f>IMAGE("https://raw.githubusercontent.com/ltdimages/images/refs/heads/main/Coordinate0004_03.png")</f>
        <v/>
      </c>
      <c r="G17" s="55" t="str">
        <f>IMAGE("https://raw.githubusercontent.com/ltdimages/images/refs/heads/main/Coordinate0004_04.png")</f>
        <v/>
      </c>
      <c r="H17" s="55" t="str">
        <f>IMAGE("https://raw.githubusercontent.com/ltdimages/images/refs/heads/main/Coordinate0004_05.png")</f>
        <v/>
      </c>
      <c r="I17" s="56" t="s">
        <v>3095</v>
      </c>
      <c r="J17" s="55" t="s">
        <v>3095</v>
      </c>
      <c r="K17" s="20" t="s">
        <v>3204</v>
      </c>
      <c r="L17" s="20" t="s">
        <v>3097</v>
      </c>
      <c r="M17" s="55" t="s">
        <v>3098</v>
      </c>
      <c r="N17" s="55" t="s">
        <v>3099</v>
      </c>
      <c r="O17" s="55" t="s">
        <v>45</v>
      </c>
      <c r="P17" s="55" t="s">
        <v>45</v>
      </c>
      <c r="Q17" s="55" t="s">
        <v>45</v>
      </c>
      <c r="R17" s="55" t="s">
        <v>45</v>
      </c>
      <c r="S17" s="55" t="s">
        <v>45</v>
      </c>
      <c r="T17" s="55" t="s">
        <v>45</v>
      </c>
      <c r="U17" s="55" t="s">
        <v>3205</v>
      </c>
      <c r="V17" s="55" t="s">
        <v>3095</v>
      </c>
      <c r="W17" s="55" t="s">
        <v>3206</v>
      </c>
      <c r="X17" s="55" t="s">
        <v>3095</v>
      </c>
      <c r="Y17" s="55" t="s">
        <v>3095</v>
      </c>
      <c r="Z17" s="55" t="s">
        <v>3118</v>
      </c>
      <c r="AA17" s="55" t="s">
        <v>3157</v>
      </c>
      <c r="AB17" s="55" t="s">
        <v>3095</v>
      </c>
      <c r="AC17" s="55" t="s">
        <v>3103</v>
      </c>
      <c r="AD17" s="55" t="s">
        <v>3207</v>
      </c>
      <c r="AE17" s="55" t="s">
        <v>3095</v>
      </c>
      <c r="AF17" s="55" t="s">
        <v>3095</v>
      </c>
      <c r="AG17" s="55" t="s">
        <v>3095</v>
      </c>
      <c r="AH17" s="55" t="s">
        <v>3095</v>
      </c>
      <c r="AI17" s="55" t="s">
        <v>3095</v>
      </c>
      <c r="AJ17" s="55" t="s">
        <v>3095</v>
      </c>
      <c r="AK17" s="55" t="s">
        <v>3095</v>
      </c>
      <c r="AL17" s="55" t="s">
        <v>3095</v>
      </c>
      <c r="AM17" s="55" t="s">
        <v>3095</v>
      </c>
    </row>
    <row r="18" ht="45.0" customHeight="1">
      <c r="A18" s="55" t="s">
        <v>129</v>
      </c>
      <c r="B18" s="57" t="s">
        <v>3208</v>
      </c>
      <c r="C18" s="57" t="str">
        <f>IMAGE("https://raw.githubusercontent.com/ltdimages/images/refs/heads/main/Coordinate0109_00.png")</f>
        <v/>
      </c>
      <c r="D18" s="57" t="str">
        <f>IMAGE("https://raw.githubusercontent.com/ltdimages/images/refs/heads/main/Coordinate0109_01.png")</f>
        <v/>
      </c>
      <c r="E18" s="57" t="str">
        <f>IMAGE("https://raw.githubusercontent.com/ltdimages/images/refs/heads/main/Coordinate0109_02.png")</f>
        <v/>
      </c>
      <c r="F18" s="57" t="str">
        <f>IMAGE("https://raw.githubusercontent.com/ltdimages/images/refs/heads/main/Coordinate0109_03.png")</f>
        <v/>
      </c>
      <c r="G18" s="57" t="str">
        <f>IMAGE("https://raw.githubusercontent.com/ltdimages/images/refs/heads/main/Coordinate0109_04.png")</f>
        <v/>
      </c>
      <c r="H18" s="57" t="str">
        <f>IMAGE("https://raw.githubusercontent.com/ltdimages/images/refs/heads/main/Coordinate0109_05.png")</f>
        <v/>
      </c>
      <c r="I18" s="56" t="str">
        <f>IMAGE("https://raw.githubusercontent.com/ltdimages/images/refs/heads/main/Coordinate0109_06.png")</f>
        <v/>
      </c>
      <c r="J18" s="57" t="str">
        <f>IMAGE("https://raw.githubusercontent.com/ltdimages/images/refs/heads/main/Coordinate0109_07.png")</f>
        <v/>
      </c>
      <c r="K18" s="20" t="s">
        <v>3209</v>
      </c>
      <c r="L18" s="20" t="s">
        <v>3097</v>
      </c>
      <c r="M18" s="57" t="s">
        <v>3098</v>
      </c>
      <c r="N18" s="57" t="s">
        <v>3099</v>
      </c>
      <c r="O18" s="57" t="s">
        <v>45</v>
      </c>
      <c r="P18" s="57" t="s">
        <v>45</v>
      </c>
      <c r="Q18" s="57" t="s">
        <v>45</v>
      </c>
      <c r="R18" s="57" t="s">
        <v>45</v>
      </c>
      <c r="S18" s="57" t="s">
        <v>45</v>
      </c>
      <c r="T18" s="57" t="s">
        <v>45</v>
      </c>
      <c r="U18" s="57" t="s">
        <v>3210</v>
      </c>
      <c r="V18" s="57" t="s">
        <v>3095</v>
      </c>
      <c r="W18" s="57" t="s">
        <v>3155</v>
      </c>
      <c r="X18" s="57" t="s">
        <v>3095</v>
      </c>
      <c r="Y18" s="57" t="s">
        <v>3095</v>
      </c>
      <c r="Z18" s="55" t="s">
        <v>3193</v>
      </c>
      <c r="AA18" s="55" t="s">
        <v>3211</v>
      </c>
      <c r="AB18" s="55" t="s">
        <v>3095</v>
      </c>
      <c r="AC18" s="55" t="s">
        <v>3103</v>
      </c>
      <c r="AD18" s="55" t="s">
        <v>3212</v>
      </c>
      <c r="AE18" s="55" t="s">
        <v>3095</v>
      </c>
      <c r="AF18" s="55" t="s">
        <v>3095</v>
      </c>
      <c r="AG18" s="55" t="s">
        <v>3095</v>
      </c>
      <c r="AH18" s="55" t="s">
        <v>3095</v>
      </c>
      <c r="AI18" s="55" t="s">
        <v>3095</v>
      </c>
      <c r="AJ18" s="55" t="s">
        <v>3095</v>
      </c>
      <c r="AK18" s="55" t="s">
        <v>3095</v>
      </c>
      <c r="AL18" s="55" t="s">
        <v>3095</v>
      </c>
      <c r="AM18" s="55" t="s">
        <v>3095</v>
      </c>
    </row>
    <row r="19" ht="45.0" customHeight="1">
      <c r="A19" s="55" t="s">
        <v>134</v>
      </c>
      <c r="B19" s="55" t="s">
        <v>3213</v>
      </c>
      <c r="C19" s="55" t="str">
        <f>IMAGE("https://raw.githubusercontent.com/ltdimages/images/refs/heads/main/Coordinate0012_00.png")</f>
        <v/>
      </c>
      <c r="D19" s="55" t="str">
        <f>IMAGE("https://raw.githubusercontent.com/ltdimages/images/refs/heads/main/Coordinate0012_01.png")</f>
        <v/>
      </c>
      <c r="E19" s="55" t="str">
        <f>IMAGE("https://raw.githubusercontent.com/ltdimages/images/refs/heads/main/Coordinate0012_02.png")</f>
        <v/>
      </c>
      <c r="F19" s="55" t="str">
        <f>IMAGE("https://raw.githubusercontent.com/ltdimages/images/refs/heads/main/Coordinate0012_03.png")</f>
        <v/>
      </c>
      <c r="G19" s="55" t="str">
        <f>IMAGE("https://raw.githubusercontent.com/ltdimages/images/refs/heads/main/Coordinate0012_04.png")</f>
        <v/>
      </c>
      <c r="H19" s="55" t="str">
        <f>IMAGE("https://raw.githubusercontent.com/ltdimages/images/refs/heads/main/Coordinate0012_05.png")</f>
        <v/>
      </c>
      <c r="I19" s="56" t="str">
        <f>IMAGE("https://raw.githubusercontent.com/ltdimages/images/refs/heads/main/Coordinate0012_06.png")</f>
        <v/>
      </c>
      <c r="J19" s="55" t="str">
        <f>IMAGE("https://raw.githubusercontent.com/ltdimages/images/refs/heads/main/Coordinate0012_07.png")</f>
        <v/>
      </c>
      <c r="K19" s="20" t="s">
        <v>3214</v>
      </c>
      <c r="L19" s="20" t="s">
        <v>3097</v>
      </c>
      <c r="M19" s="55" t="s">
        <v>3098</v>
      </c>
      <c r="N19" s="55" t="s">
        <v>3099</v>
      </c>
      <c r="O19" s="55" t="s">
        <v>45</v>
      </c>
      <c r="P19" s="55" t="s">
        <v>45</v>
      </c>
      <c r="Q19" s="55" t="s">
        <v>45</v>
      </c>
      <c r="R19" s="55" t="s">
        <v>45</v>
      </c>
      <c r="S19" s="55" t="s">
        <v>45</v>
      </c>
      <c r="T19" s="55" t="s">
        <v>45</v>
      </c>
      <c r="U19" s="55" t="s">
        <v>3215</v>
      </c>
      <c r="V19" s="55" t="s">
        <v>3095</v>
      </c>
      <c r="W19" s="55" t="s">
        <v>3216</v>
      </c>
      <c r="X19" s="55" t="s">
        <v>3095</v>
      </c>
      <c r="Y19" s="55" t="s">
        <v>3095</v>
      </c>
      <c r="Z19" s="55" t="s">
        <v>3193</v>
      </c>
      <c r="AA19" s="55" t="s">
        <v>3217</v>
      </c>
      <c r="AB19" s="55" t="s">
        <v>3095</v>
      </c>
      <c r="AC19" s="55" t="s">
        <v>3103</v>
      </c>
      <c r="AD19" s="55" t="s">
        <v>3218</v>
      </c>
      <c r="AE19" s="55" t="s">
        <v>3095</v>
      </c>
      <c r="AF19" s="55" t="s">
        <v>3095</v>
      </c>
      <c r="AG19" s="55" t="s">
        <v>3095</v>
      </c>
      <c r="AH19" s="55" t="s">
        <v>3095</v>
      </c>
      <c r="AI19" s="55" t="s">
        <v>3095</v>
      </c>
      <c r="AJ19" s="55" t="s">
        <v>3095</v>
      </c>
      <c r="AK19" s="55" t="s">
        <v>3095</v>
      </c>
      <c r="AL19" s="55" t="s">
        <v>3095</v>
      </c>
      <c r="AM19" s="55" t="s">
        <v>3095</v>
      </c>
    </row>
    <row r="20" ht="45.0" customHeight="1">
      <c r="A20" s="55" t="s">
        <v>138</v>
      </c>
      <c r="B20" s="55" t="s">
        <v>3219</v>
      </c>
      <c r="C20" s="55" t="str">
        <f>IMAGE("https://raw.githubusercontent.com/ltdimages/images/refs/heads/main/Coordinate0001_00.png")</f>
        <v/>
      </c>
      <c r="D20" s="55" t="str">
        <f>IMAGE("https://raw.githubusercontent.com/ltdimages/images/refs/heads/main/Coordinate0001_01.png")</f>
        <v/>
      </c>
      <c r="E20" s="55" t="str">
        <f>IMAGE("https://raw.githubusercontent.com/ltdimages/images/refs/heads/main/Coordinate0001_02.png")</f>
        <v/>
      </c>
      <c r="F20" s="55" t="str">
        <f>IMAGE("https://raw.githubusercontent.com/ltdimages/images/refs/heads/main/Coordinate0001_03.png")</f>
        <v/>
      </c>
      <c r="G20" s="55" t="str">
        <f>IMAGE("https://raw.githubusercontent.com/ltdimages/images/refs/heads/main/Coordinate0001_04.png")</f>
        <v/>
      </c>
      <c r="H20" s="55" t="str">
        <f>IMAGE("https://raw.githubusercontent.com/ltdimages/images/refs/heads/main/Coordinate0001_05.png")</f>
        <v/>
      </c>
      <c r="I20" s="56" t="str">
        <f>IMAGE("https://raw.githubusercontent.com/ltdimages/images/refs/heads/main/Coordinate0001_06.png")</f>
        <v/>
      </c>
      <c r="J20" s="55" t="str">
        <f>IMAGE("https://raw.githubusercontent.com/ltdimages/images/refs/heads/main/Coordinate0001_07.png")</f>
        <v/>
      </c>
      <c r="K20" s="20" t="s">
        <v>3220</v>
      </c>
      <c r="L20" s="20" t="s">
        <v>3097</v>
      </c>
      <c r="M20" s="55" t="s">
        <v>3098</v>
      </c>
      <c r="N20" s="55" t="s">
        <v>3099</v>
      </c>
      <c r="O20" s="55" t="s">
        <v>45</v>
      </c>
      <c r="P20" s="55" t="s">
        <v>45</v>
      </c>
      <c r="Q20" s="55" t="s">
        <v>45</v>
      </c>
      <c r="R20" s="55" t="s">
        <v>45</v>
      </c>
      <c r="S20" s="55" t="s">
        <v>45</v>
      </c>
      <c r="T20" s="55" t="s">
        <v>45</v>
      </c>
      <c r="U20" s="55" t="s">
        <v>3221</v>
      </c>
      <c r="V20" s="55" t="s">
        <v>3095</v>
      </c>
      <c r="W20" s="55" t="s">
        <v>3155</v>
      </c>
      <c r="X20" s="55" t="s">
        <v>3095</v>
      </c>
      <c r="Y20" s="55" t="s">
        <v>3095</v>
      </c>
      <c r="Z20" s="55" t="s">
        <v>3193</v>
      </c>
      <c r="AA20" s="55" t="s">
        <v>3222</v>
      </c>
      <c r="AB20" s="55" t="s">
        <v>3095</v>
      </c>
      <c r="AC20" s="55" t="s">
        <v>3103</v>
      </c>
      <c r="AD20" s="55" t="s">
        <v>3223</v>
      </c>
      <c r="AE20" s="55" t="s">
        <v>3095</v>
      </c>
      <c r="AF20" s="55" t="s">
        <v>3095</v>
      </c>
      <c r="AG20" s="55" t="s">
        <v>3095</v>
      </c>
      <c r="AH20" s="55" t="s">
        <v>3095</v>
      </c>
      <c r="AI20" s="55" t="s">
        <v>3095</v>
      </c>
      <c r="AJ20" s="55" t="s">
        <v>3095</v>
      </c>
      <c r="AK20" s="55" t="s">
        <v>3095</v>
      </c>
      <c r="AL20" s="55" t="s">
        <v>3095</v>
      </c>
      <c r="AM20" s="55" t="s">
        <v>3095</v>
      </c>
    </row>
    <row r="21" ht="45.0" customHeight="1">
      <c r="A21" s="55" t="s">
        <v>142</v>
      </c>
      <c r="B21" s="55" t="s">
        <v>3224</v>
      </c>
      <c r="C21" s="55" t="str">
        <f>IMAGE("https://raw.githubusercontent.com/ltdimages/images/refs/heads/main/Coordinate0164_00.png")</f>
        <v/>
      </c>
      <c r="D21" s="55" t="str">
        <f>IMAGE("https://raw.githubusercontent.com/ltdimages/images/refs/heads/main/Coordinate0164_01.png")</f>
        <v/>
      </c>
      <c r="E21" s="55" t="str">
        <f>IMAGE("https://raw.githubusercontent.com/ltdimages/images/refs/heads/main/Coordinate0164_02.png")</f>
        <v/>
      </c>
      <c r="F21" s="55" t="str">
        <f>IMAGE("https://raw.githubusercontent.com/ltdimages/images/refs/heads/main/Coordinate0164_03.png")</f>
        <v/>
      </c>
      <c r="G21" s="55" t="str">
        <f>IMAGE("https://raw.githubusercontent.com/ltdimages/images/refs/heads/main/Coordinate0164_04.png")</f>
        <v/>
      </c>
      <c r="H21" s="55" t="str">
        <f>IMAGE("https://raw.githubusercontent.com/ltdimages/images/refs/heads/main/Coordinate0164_05.png")</f>
        <v/>
      </c>
      <c r="I21" s="56" t="str">
        <f>IMAGE("https://raw.githubusercontent.com/ltdimages/images/refs/heads/main/Coordinate0164_06.png")</f>
        <v/>
      </c>
      <c r="J21" s="55" t="str">
        <f>IMAGE("https://raw.githubusercontent.com/ltdimages/images/refs/heads/main/Coordinate0164_07.png")</f>
        <v/>
      </c>
      <c r="K21" s="20" t="s">
        <v>3225</v>
      </c>
      <c r="L21" s="20" t="s">
        <v>3097</v>
      </c>
      <c r="M21" s="55" t="s">
        <v>3098</v>
      </c>
      <c r="N21" s="55" t="s">
        <v>3099</v>
      </c>
      <c r="O21" s="55" t="s">
        <v>45</v>
      </c>
      <c r="P21" s="55" t="s">
        <v>45</v>
      </c>
      <c r="Q21" s="55" t="s">
        <v>45</v>
      </c>
      <c r="R21" s="55" t="s">
        <v>45</v>
      </c>
      <c r="S21" s="55" t="s">
        <v>45</v>
      </c>
      <c r="T21" s="55" t="s">
        <v>45</v>
      </c>
      <c r="U21" s="55" t="s">
        <v>3226</v>
      </c>
      <c r="V21" s="55" t="s">
        <v>3095</v>
      </c>
      <c r="W21" s="55" t="s">
        <v>3155</v>
      </c>
      <c r="X21" s="55" t="s">
        <v>3095</v>
      </c>
      <c r="Y21" s="55" t="s">
        <v>3095</v>
      </c>
      <c r="Z21" s="55" t="s">
        <v>3118</v>
      </c>
      <c r="AA21" s="55" t="s">
        <v>3217</v>
      </c>
      <c r="AB21" s="55" t="s">
        <v>3095</v>
      </c>
      <c r="AC21" s="55" t="s">
        <v>3103</v>
      </c>
      <c r="AD21" s="55" t="s">
        <v>3227</v>
      </c>
      <c r="AE21" s="55" t="s">
        <v>3095</v>
      </c>
      <c r="AF21" s="55" t="s">
        <v>3095</v>
      </c>
      <c r="AG21" s="55" t="s">
        <v>3095</v>
      </c>
      <c r="AH21" s="55" t="s">
        <v>3095</v>
      </c>
      <c r="AI21" s="55" t="s">
        <v>3095</v>
      </c>
      <c r="AJ21" s="55" t="s">
        <v>3095</v>
      </c>
      <c r="AK21" s="55" t="s">
        <v>3095</v>
      </c>
      <c r="AL21" s="55" t="s">
        <v>3095</v>
      </c>
      <c r="AM21" s="55" t="s">
        <v>3095</v>
      </c>
    </row>
    <row r="22" ht="45.0" customHeight="1">
      <c r="A22" s="55" t="s">
        <v>147</v>
      </c>
      <c r="B22" s="55" t="s">
        <v>3228</v>
      </c>
      <c r="C22" s="55" t="str">
        <f>IMAGE("https://raw.githubusercontent.com/ltdimages/images/refs/heads/main/Coordinate0211_00.png")</f>
        <v/>
      </c>
      <c r="D22" s="55" t="str">
        <f>IMAGE("https://raw.githubusercontent.com/ltdimages/images/refs/heads/main/Coordinate0211_01.png")</f>
        <v/>
      </c>
      <c r="E22" s="55" t="str">
        <f>IMAGE("https://raw.githubusercontent.com/ltdimages/images/refs/heads/main/Coordinate0211_02.png")</f>
        <v/>
      </c>
      <c r="F22" s="55" t="str">
        <f>IMAGE("https://raw.githubusercontent.com/ltdimages/images/refs/heads/main/Coordinate0211_03.png")</f>
        <v/>
      </c>
      <c r="G22" s="55" t="str">
        <f>IMAGE("https://raw.githubusercontent.com/ltdimages/images/refs/heads/main/Coordinate0211_04.png")</f>
        <v/>
      </c>
      <c r="H22" s="55" t="str">
        <f>IMAGE("https://raw.githubusercontent.com/ltdimages/images/refs/heads/main/Coordinate0211_05.png")</f>
        <v/>
      </c>
      <c r="I22" s="56" t="str">
        <f>IMAGE("https://raw.githubusercontent.com/ltdimages/images/refs/heads/main/Coordinate0211_06.png")</f>
        <v/>
      </c>
      <c r="J22" s="55" t="str">
        <f>IMAGE("https://raw.githubusercontent.com/ltdimages/images/refs/heads/main/Coordinate0211_07.png")</f>
        <v/>
      </c>
      <c r="K22" s="20" t="s">
        <v>3229</v>
      </c>
      <c r="L22" s="20" t="s">
        <v>3097</v>
      </c>
      <c r="M22" s="55" t="s">
        <v>3098</v>
      </c>
      <c r="N22" s="55" t="s">
        <v>3099</v>
      </c>
      <c r="O22" s="55" t="s">
        <v>45</v>
      </c>
      <c r="P22" s="55" t="s">
        <v>45</v>
      </c>
      <c r="Q22" s="55" t="s">
        <v>45</v>
      </c>
      <c r="R22" s="55" t="s">
        <v>45</v>
      </c>
      <c r="S22" s="55" t="s">
        <v>45</v>
      </c>
      <c r="T22" s="55" t="s">
        <v>45</v>
      </c>
      <c r="U22" s="55" t="s">
        <v>3230</v>
      </c>
      <c r="V22" s="55" t="s">
        <v>3095</v>
      </c>
      <c r="W22" s="55" t="s">
        <v>3231</v>
      </c>
      <c r="X22" s="55" t="s">
        <v>3095</v>
      </c>
      <c r="Y22" s="55" t="s">
        <v>3095</v>
      </c>
      <c r="Z22" s="55" t="s">
        <v>3118</v>
      </c>
      <c r="AA22" s="55" t="s">
        <v>3232</v>
      </c>
      <c r="AB22" s="55" t="s">
        <v>3095</v>
      </c>
      <c r="AC22" s="55" t="s">
        <v>3103</v>
      </c>
      <c r="AD22" s="55" t="s">
        <v>3233</v>
      </c>
      <c r="AE22" s="55" t="s">
        <v>3095</v>
      </c>
      <c r="AF22" s="55" t="s">
        <v>3095</v>
      </c>
      <c r="AG22" s="55" t="s">
        <v>3095</v>
      </c>
      <c r="AH22" s="55" t="s">
        <v>3095</v>
      </c>
      <c r="AI22" s="55" t="s">
        <v>3095</v>
      </c>
      <c r="AJ22" s="55" t="s">
        <v>3095</v>
      </c>
      <c r="AK22" s="55" t="s">
        <v>3095</v>
      </c>
      <c r="AL22" s="55" t="s">
        <v>3095</v>
      </c>
      <c r="AM22" s="55" t="s">
        <v>3095</v>
      </c>
    </row>
    <row r="23" ht="45.0" customHeight="1">
      <c r="A23" s="55" t="s">
        <v>152</v>
      </c>
      <c r="B23" s="55" t="s">
        <v>3234</v>
      </c>
      <c r="C23" s="55" t="str">
        <f>IMAGE("https://raw.githubusercontent.com/ltdimages/images/refs/heads/main/Coordinate0194_00.png")</f>
        <v/>
      </c>
      <c r="D23" s="55" t="str">
        <f>IMAGE("https://raw.githubusercontent.com/ltdimages/images/refs/heads/main/Coordinate0194_01.png")</f>
        <v/>
      </c>
      <c r="E23" s="55" t="str">
        <f>IMAGE("https://raw.githubusercontent.com/ltdimages/images/refs/heads/main/Coordinate0194_02.png")</f>
        <v/>
      </c>
      <c r="F23" s="55" t="str">
        <f>IMAGE("https://raw.githubusercontent.com/ltdimages/images/refs/heads/main/Coordinate0194_03.png")</f>
        <v/>
      </c>
      <c r="G23" s="55" t="str">
        <f>IMAGE("https://raw.githubusercontent.com/ltdimages/images/refs/heads/main/Coordinate0194_04.png")</f>
        <v/>
      </c>
      <c r="H23" s="55" t="s">
        <v>3095</v>
      </c>
      <c r="I23" s="56" t="s">
        <v>3095</v>
      </c>
      <c r="J23" s="55" t="s">
        <v>3095</v>
      </c>
      <c r="K23" s="20" t="s">
        <v>3235</v>
      </c>
      <c r="L23" s="20" t="s">
        <v>3097</v>
      </c>
      <c r="M23" s="55" t="s">
        <v>2574</v>
      </c>
      <c r="N23" s="55" t="s">
        <v>3099</v>
      </c>
      <c r="O23" s="55" t="s">
        <v>45</v>
      </c>
      <c r="P23" s="55" t="s">
        <v>45</v>
      </c>
      <c r="Q23" s="55" t="s">
        <v>45</v>
      </c>
      <c r="R23" s="55" t="s">
        <v>49</v>
      </c>
      <c r="S23" s="55" t="s">
        <v>45</v>
      </c>
      <c r="T23" s="55" t="s">
        <v>45</v>
      </c>
      <c r="U23" s="55" t="s">
        <v>3095</v>
      </c>
      <c r="V23" s="55" t="s">
        <v>3095</v>
      </c>
      <c r="W23" s="55" t="s">
        <v>3095</v>
      </c>
      <c r="X23" s="55" t="s">
        <v>3236</v>
      </c>
      <c r="Y23" s="55" t="s">
        <v>3095</v>
      </c>
      <c r="Z23" s="55" t="s">
        <v>3095</v>
      </c>
      <c r="AA23" s="55" t="s">
        <v>3095</v>
      </c>
      <c r="AB23" s="55" t="s">
        <v>3237</v>
      </c>
      <c r="AC23" s="55" t="s">
        <v>3099</v>
      </c>
      <c r="AD23" s="55" t="s">
        <v>3238</v>
      </c>
      <c r="AE23" s="55" t="s">
        <v>3095</v>
      </c>
      <c r="AF23" s="55" t="s">
        <v>3095</v>
      </c>
      <c r="AG23" s="55" t="s">
        <v>3095</v>
      </c>
      <c r="AH23" s="55" t="s">
        <v>3095</v>
      </c>
      <c r="AI23" s="55" t="s">
        <v>3095</v>
      </c>
      <c r="AJ23" s="55" t="s">
        <v>3095</v>
      </c>
      <c r="AK23" s="55" t="s">
        <v>3095</v>
      </c>
      <c r="AL23" s="55" t="s">
        <v>3095</v>
      </c>
      <c r="AM23" s="55" t="s">
        <v>3095</v>
      </c>
    </row>
    <row r="24" ht="45.0" customHeight="1">
      <c r="A24" s="55" t="s">
        <v>156</v>
      </c>
      <c r="B24" s="55" t="s">
        <v>3239</v>
      </c>
      <c r="C24" s="55" t="str">
        <f>IMAGE("https://raw.githubusercontent.com/ltdimages/images/refs/heads/main/Coordinate0076_00.png")</f>
        <v/>
      </c>
      <c r="D24" s="55" t="str">
        <f>IMAGE("https://raw.githubusercontent.com/ltdimages/images/refs/heads/main/Coordinate0076_01.png")</f>
        <v/>
      </c>
      <c r="E24" s="55" t="str">
        <f>IMAGE("https://raw.githubusercontent.com/ltdimages/images/refs/heads/main/Coordinate0076_02.png")</f>
        <v/>
      </c>
      <c r="F24" s="55" t="str">
        <f>IMAGE("https://raw.githubusercontent.com/ltdimages/images/refs/heads/main/Coordinate0076_03.png")</f>
        <v/>
      </c>
      <c r="G24" s="55" t="s">
        <v>3095</v>
      </c>
      <c r="H24" s="55" t="s">
        <v>3095</v>
      </c>
      <c r="I24" s="56" t="s">
        <v>3095</v>
      </c>
      <c r="J24" s="55" t="s">
        <v>3095</v>
      </c>
      <c r="K24" s="20" t="s">
        <v>3240</v>
      </c>
      <c r="L24" s="20" t="s">
        <v>3097</v>
      </c>
      <c r="M24" s="55" t="s">
        <v>3098</v>
      </c>
      <c r="N24" s="55" t="s">
        <v>3123</v>
      </c>
      <c r="O24" s="55" t="s">
        <v>45</v>
      </c>
      <c r="P24" s="55" t="s">
        <v>45</v>
      </c>
      <c r="Q24" s="55" t="s">
        <v>45</v>
      </c>
      <c r="R24" s="55" t="s">
        <v>45</v>
      </c>
      <c r="S24" s="55" t="s">
        <v>45</v>
      </c>
      <c r="T24" s="55" t="s">
        <v>45</v>
      </c>
      <c r="U24" s="55" t="s">
        <v>3241</v>
      </c>
      <c r="V24" s="55" t="s">
        <v>3095</v>
      </c>
      <c r="W24" s="55" t="s">
        <v>3125</v>
      </c>
      <c r="X24" s="55" t="s">
        <v>3242</v>
      </c>
      <c r="Y24" s="55" t="s">
        <v>3095</v>
      </c>
      <c r="Z24" s="55" t="s">
        <v>3243</v>
      </c>
      <c r="AA24" s="55" t="s">
        <v>3222</v>
      </c>
      <c r="AB24" s="55" t="s">
        <v>3095</v>
      </c>
      <c r="AC24" s="55" t="s">
        <v>3244</v>
      </c>
      <c r="AD24" s="55" t="s">
        <v>3245</v>
      </c>
      <c r="AE24" s="55" t="s">
        <v>3095</v>
      </c>
      <c r="AF24" s="55" t="s">
        <v>3095</v>
      </c>
      <c r="AG24" s="55" t="s">
        <v>3095</v>
      </c>
      <c r="AH24" s="55" t="s">
        <v>3095</v>
      </c>
      <c r="AI24" s="55" t="s">
        <v>3095</v>
      </c>
      <c r="AJ24" s="55" t="s">
        <v>3095</v>
      </c>
      <c r="AK24" s="55" t="s">
        <v>3095</v>
      </c>
      <c r="AL24" s="55" t="s">
        <v>3095</v>
      </c>
      <c r="AM24" s="55" t="s">
        <v>3095</v>
      </c>
    </row>
    <row r="25" ht="45.0" customHeight="1">
      <c r="A25" s="55" t="s">
        <v>161</v>
      </c>
      <c r="B25" s="55" t="s">
        <v>3246</v>
      </c>
      <c r="C25" s="55" t="str">
        <f>IMAGE("https://raw.githubusercontent.com/ltdimages/images/refs/heads/main/Coordinate0119_00.png")</f>
        <v/>
      </c>
      <c r="D25" s="55" t="s">
        <v>3095</v>
      </c>
      <c r="E25" s="55" t="s">
        <v>3095</v>
      </c>
      <c r="F25" s="55" t="s">
        <v>3095</v>
      </c>
      <c r="G25" s="55" t="s">
        <v>3095</v>
      </c>
      <c r="H25" s="55" t="s">
        <v>3095</v>
      </c>
      <c r="I25" s="56" t="s">
        <v>3095</v>
      </c>
      <c r="J25" s="55" t="s">
        <v>3095</v>
      </c>
      <c r="K25" s="20" t="s">
        <v>3247</v>
      </c>
      <c r="L25" s="20" t="s">
        <v>3097</v>
      </c>
      <c r="M25" s="55" t="s">
        <v>2574</v>
      </c>
      <c r="N25" s="55" t="s">
        <v>3099</v>
      </c>
      <c r="O25" s="55" t="s">
        <v>45</v>
      </c>
      <c r="P25" s="55" t="s">
        <v>45</v>
      </c>
      <c r="Q25" s="55" t="s">
        <v>45</v>
      </c>
      <c r="R25" s="55" t="s">
        <v>49</v>
      </c>
      <c r="S25" s="55" t="s">
        <v>45</v>
      </c>
      <c r="T25" s="55" t="s">
        <v>45</v>
      </c>
      <c r="U25" s="55" t="s">
        <v>3095</v>
      </c>
      <c r="V25" s="55" t="s">
        <v>3095</v>
      </c>
      <c r="W25" s="55" t="s">
        <v>3095</v>
      </c>
      <c r="X25" s="55" t="s">
        <v>3248</v>
      </c>
      <c r="Y25" s="55" t="s">
        <v>3095</v>
      </c>
      <c r="Z25" s="55" t="s">
        <v>3095</v>
      </c>
      <c r="AA25" s="55" t="s">
        <v>3095</v>
      </c>
      <c r="AB25" s="55" t="s">
        <v>3249</v>
      </c>
      <c r="AC25" s="55" t="s">
        <v>3099</v>
      </c>
      <c r="AD25" s="55" t="s">
        <v>3250</v>
      </c>
      <c r="AE25" s="55" t="s">
        <v>3095</v>
      </c>
      <c r="AF25" s="55" t="s">
        <v>3095</v>
      </c>
      <c r="AG25" s="55" t="s">
        <v>3095</v>
      </c>
      <c r="AH25" s="55" t="s">
        <v>3095</v>
      </c>
      <c r="AI25" s="55" t="s">
        <v>3095</v>
      </c>
      <c r="AJ25" s="55" t="s">
        <v>3095</v>
      </c>
      <c r="AK25" s="55" t="s">
        <v>3095</v>
      </c>
      <c r="AL25" s="55" t="s">
        <v>3095</v>
      </c>
      <c r="AM25" s="55" t="s">
        <v>3095</v>
      </c>
    </row>
    <row r="26" ht="45.0" customHeight="1">
      <c r="A26" s="55" t="s">
        <v>165</v>
      </c>
      <c r="B26" s="55" t="s">
        <v>3251</v>
      </c>
      <c r="C26" s="55" t="str">
        <f>IMAGE("https://raw.githubusercontent.com/ltdimages/images/refs/heads/main/Coordinate0133_00.png")</f>
        <v/>
      </c>
      <c r="D26" s="55" t="str">
        <f>IMAGE("https://raw.githubusercontent.com/ltdimages/images/refs/heads/main/Coordinate0133_01.png")</f>
        <v/>
      </c>
      <c r="E26" s="55" t="str">
        <f>IMAGE("https://raw.githubusercontent.com/ltdimages/images/refs/heads/main/Coordinate0133_02.png")</f>
        <v/>
      </c>
      <c r="F26" s="55" t="str">
        <f>IMAGE("https://raw.githubusercontent.com/ltdimages/images/refs/heads/main/Coordinate0133_03.png")</f>
        <v/>
      </c>
      <c r="G26" s="55" t="str">
        <f>IMAGE("https://raw.githubusercontent.com/ltdimages/images/refs/heads/main/Coordinate0133_04.png")</f>
        <v/>
      </c>
      <c r="H26" s="55" t="str">
        <f>IMAGE("https://raw.githubusercontent.com/ltdimages/images/refs/heads/main/Coordinate0133_05.png")</f>
        <v/>
      </c>
      <c r="I26" s="56" t="str">
        <f>IMAGE("https://raw.githubusercontent.com/ltdimages/images/refs/heads/main/Coordinate0133_06.png")</f>
        <v/>
      </c>
      <c r="J26" s="55" t="str">
        <f>IMAGE("https://raw.githubusercontent.com/ltdimages/images/refs/heads/main/Coordinate0133_07.png")</f>
        <v/>
      </c>
      <c r="K26" s="20" t="s">
        <v>3252</v>
      </c>
      <c r="L26" s="20" t="s">
        <v>3097</v>
      </c>
      <c r="M26" s="55" t="s">
        <v>3098</v>
      </c>
      <c r="N26" s="55" t="s">
        <v>3099</v>
      </c>
      <c r="O26" s="55" t="s">
        <v>45</v>
      </c>
      <c r="P26" s="55" t="s">
        <v>45</v>
      </c>
      <c r="Q26" s="55" t="s">
        <v>45</v>
      </c>
      <c r="R26" s="55" t="s">
        <v>45</v>
      </c>
      <c r="S26" s="55" t="s">
        <v>45</v>
      </c>
      <c r="T26" s="55" t="s">
        <v>45</v>
      </c>
      <c r="U26" s="55" t="s">
        <v>3253</v>
      </c>
      <c r="V26" s="55" t="s">
        <v>3095</v>
      </c>
      <c r="W26" s="55" t="s">
        <v>3254</v>
      </c>
      <c r="X26" s="55" t="s">
        <v>3255</v>
      </c>
      <c r="Y26" s="55" t="s">
        <v>3095</v>
      </c>
      <c r="Z26" s="55" t="s">
        <v>3193</v>
      </c>
      <c r="AA26" s="55" t="s">
        <v>3256</v>
      </c>
      <c r="AB26" s="55" t="s">
        <v>3095</v>
      </c>
      <c r="AC26" s="55" t="s">
        <v>3244</v>
      </c>
      <c r="AD26" s="55" t="s">
        <v>3257</v>
      </c>
      <c r="AE26" s="55" t="s">
        <v>3095</v>
      </c>
      <c r="AF26" s="55" t="s">
        <v>3095</v>
      </c>
      <c r="AG26" s="55" t="s">
        <v>3095</v>
      </c>
      <c r="AH26" s="55" t="s">
        <v>3095</v>
      </c>
      <c r="AI26" s="55" t="s">
        <v>3095</v>
      </c>
      <c r="AJ26" s="55" t="s">
        <v>3095</v>
      </c>
      <c r="AK26" s="55" t="s">
        <v>3095</v>
      </c>
      <c r="AL26" s="55" t="s">
        <v>3095</v>
      </c>
      <c r="AM26" s="55" t="s">
        <v>3095</v>
      </c>
    </row>
    <row r="27" ht="45.0" customHeight="1">
      <c r="A27" s="55" t="s">
        <v>170</v>
      </c>
      <c r="B27" s="57" t="s">
        <v>3258</v>
      </c>
      <c r="C27" s="57" t="str">
        <f>IMAGE("https://raw.githubusercontent.com/ltdimages/images/refs/heads/main/Coordinate0108_00.png")</f>
        <v/>
      </c>
      <c r="D27" s="57" t="str">
        <f>IMAGE("https://raw.githubusercontent.com/ltdimages/images/refs/heads/main/Coordinate0108_01.png")</f>
        <v/>
      </c>
      <c r="E27" s="57" t="str">
        <f>IMAGE("https://raw.githubusercontent.com/ltdimages/images/refs/heads/main/Coordinate0108_02.png")</f>
        <v/>
      </c>
      <c r="F27" s="57" t="str">
        <f>IMAGE("https://raw.githubusercontent.com/ltdimages/images/refs/heads/main/Coordinate0108_03.png")</f>
        <v/>
      </c>
      <c r="G27" s="57" t="str">
        <f>IMAGE("https://raw.githubusercontent.com/ltdimages/images/refs/heads/main/Coordinate0108_04.png")</f>
        <v/>
      </c>
      <c r="H27" s="57" t="str">
        <f>IMAGE("https://raw.githubusercontent.com/ltdimages/images/refs/heads/main/Coordinate0108_05.png")</f>
        <v/>
      </c>
      <c r="I27" s="56" t="str">
        <f>IMAGE("https://raw.githubusercontent.com/ltdimages/images/refs/heads/main/Coordinate0108_06.png")</f>
        <v/>
      </c>
      <c r="J27" s="57" t="str">
        <f>IMAGE("https://raw.githubusercontent.com/ltdimages/images/refs/heads/main/Coordinate0108_07.png")</f>
        <v/>
      </c>
      <c r="K27" s="20" t="s">
        <v>3235</v>
      </c>
      <c r="L27" s="20" t="s">
        <v>3097</v>
      </c>
      <c r="M27" s="57" t="s">
        <v>2574</v>
      </c>
      <c r="N27" s="57" t="s">
        <v>3099</v>
      </c>
      <c r="O27" s="57" t="s">
        <v>45</v>
      </c>
      <c r="P27" s="57" t="s">
        <v>45</v>
      </c>
      <c r="Q27" s="57" t="s">
        <v>45</v>
      </c>
      <c r="R27" s="57" t="s">
        <v>49</v>
      </c>
      <c r="S27" s="57" t="s">
        <v>45</v>
      </c>
      <c r="T27" s="57" t="s">
        <v>45</v>
      </c>
      <c r="U27" s="57" t="s">
        <v>3095</v>
      </c>
      <c r="V27" s="57" t="s">
        <v>3095</v>
      </c>
      <c r="W27" s="57" t="s">
        <v>3095</v>
      </c>
      <c r="X27" s="57" t="s">
        <v>3259</v>
      </c>
      <c r="Y27" s="57" t="s">
        <v>3095</v>
      </c>
      <c r="Z27" s="55" t="s">
        <v>3095</v>
      </c>
      <c r="AA27" s="55" t="s">
        <v>3095</v>
      </c>
      <c r="AB27" s="55" t="s">
        <v>3183</v>
      </c>
      <c r="AC27" s="55" t="s">
        <v>3099</v>
      </c>
      <c r="AD27" s="55" t="s">
        <v>3260</v>
      </c>
      <c r="AE27" s="55" t="s">
        <v>3095</v>
      </c>
      <c r="AF27" s="55" t="s">
        <v>3095</v>
      </c>
      <c r="AG27" s="55" t="s">
        <v>3095</v>
      </c>
      <c r="AH27" s="55" t="s">
        <v>3095</v>
      </c>
      <c r="AI27" s="55" t="s">
        <v>3095</v>
      </c>
      <c r="AJ27" s="55" t="s">
        <v>3095</v>
      </c>
      <c r="AK27" s="55" t="s">
        <v>3095</v>
      </c>
      <c r="AL27" s="55" t="s">
        <v>3095</v>
      </c>
      <c r="AM27" s="55" t="s">
        <v>3095</v>
      </c>
    </row>
    <row r="28" ht="45.0" customHeight="1">
      <c r="A28" s="55" t="s">
        <v>175</v>
      </c>
      <c r="B28" s="55" t="s">
        <v>3261</v>
      </c>
      <c r="C28" s="55" t="str">
        <f>IMAGE("https://raw.githubusercontent.com/ltdimages/images/refs/heads/main/Coordinate0083_00.png")</f>
        <v/>
      </c>
      <c r="D28" s="55" t="str">
        <f>IMAGE("https://raw.githubusercontent.com/ltdimages/images/refs/heads/main/Coordinate0083_01.png")</f>
        <v/>
      </c>
      <c r="E28" s="55" t="str">
        <f>IMAGE("https://raw.githubusercontent.com/ltdimages/images/refs/heads/main/Coordinate0083_02.png")</f>
        <v/>
      </c>
      <c r="F28" s="55" t="str">
        <f>IMAGE("https://raw.githubusercontent.com/ltdimages/images/refs/heads/main/Coordinate0083_03.png")</f>
        <v/>
      </c>
      <c r="G28" s="55" t="str">
        <f>IMAGE("https://raw.githubusercontent.com/ltdimages/images/refs/heads/main/Coordinate0083_04.png")</f>
        <v/>
      </c>
      <c r="H28" s="55" t="str">
        <f>IMAGE("https://raw.githubusercontent.com/ltdimages/images/refs/heads/main/Coordinate0083_05.png")</f>
        <v/>
      </c>
      <c r="I28" s="56" t="s">
        <v>3095</v>
      </c>
      <c r="J28" s="55" t="s">
        <v>3095</v>
      </c>
      <c r="K28" s="20" t="s">
        <v>3262</v>
      </c>
      <c r="L28" s="20" t="s">
        <v>3097</v>
      </c>
      <c r="M28" s="55" t="s">
        <v>3098</v>
      </c>
      <c r="N28" s="55" t="s">
        <v>3099</v>
      </c>
      <c r="O28" s="55" t="s">
        <v>45</v>
      </c>
      <c r="P28" s="55" t="s">
        <v>45</v>
      </c>
      <c r="Q28" s="55" t="s">
        <v>45</v>
      </c>
      <c r="R28" s="55" t="s">
        <v>45</v>
      </c>
      <c r="S28" s="55" t="s">
        <v>45</v>
      </c>
      <c r="T28" s="55" t="s">
        <v>45</v>
      </c>
      <c r="U28" s="55" t="s">
        <v>3263</v>
      </c>
      <c r="V28" s="55" t="s">
        <v>3095</v>
      </c>
      <c r="W28" s="55" t="s">
        <v>3264</v>
      </c>
      <c r="X28" s="55" t="s">
        <v>3095</v>
      </c>
      <c r="Y28" s="55" t="s">
        <v>3095</v>
      </c>
      <c r="Z28" s="55" t="s">
        <v>3156</v>
      </c>
      <c r="AA28" s="55" t="s">
        <v>3157</v>
      </c>
      <c r="AB28" s="55" t="s">
        <v>3095</v>
      </c>
      <c r="AC28" s="55" t="s">
        <v>3103</v>
      </c>
      <c r="AD28" s="55" t="s">
        <v>3265</v>
      </c>
      <c r="AE28" s="55" t="s">
        <v>3095</v>
      </c>
      <c r="AF28" s="55" t="s">
        <v>3095</v>
      </c>
      <c r="AG28" s="55" t="s">
        <v>3095</v>
      </c>
      <c r="AH28" s="55" t="s">
        <v>3095</v>
      </c>
      <c r="AI28" s="55" t="s">
        <v>3095</v>
      </c>
      <c r="AJ28" s="55" t="s">
        <v>3095</v>
      </c>
      <c r="AK28" s="55" t="s">
        <v>3095</v>
      </c>
      <c r="AL28" s="55" t="s">
        <v>3095</v>
      </c>
      <c r="AM28" s="55" t="s">
        <v>3095</v>
      </c>
    </row>
    <row r="29" ht="45.0" customHeight="1">
      <c r="A29" s="55" t="s">
        <v>180</v>
      </c>
      <c r="B29" s="55" t="s">
        <v>3266</v>
      </c>
      <c r="C29" s="55" t="str">
        <f>IMAGE("https://raw.githubusercontent.com/ltdimages/images/refs/heads/main/Coordinate0121_00.png")</f>
        <v/>
      </c>
      <c r="D29" s="55" t="str">
        <f>IMAGE("https://raw.githubusercontent.com/ltdimages/images/refs/heads/main/Coordinate0121_01.png")</f>
        <v/>
      </c>
      <c r="E29" s="55" t="str">
        <f>IMAGE("https://raw.githubusercontent.com/ltdimages/images/refs/heads/main/Coordinate0121_02.png")</f>
        <v/>
      </c>
      <c r="F29" s="55" t="str">
        <f>IMAGE("https://raw.githubusercontent.com/ltdimages/images/refs/heads/main/Coordinate0121_03.png")</f>
        <v/>
      </c>
      <c r="G29" s="55" t="str">
        <f>IMAGE("https://raw.githubusercontent.com/ltdimages/images/refs/heads/main/Coordinate0121_04.png")</f>
        <v/>
      </c>
      <c r="H29" s="55" t="str">
        <f>IMAGE("https://raw.githubusercontent.com/ltdimages/images/refs/heads/main/Coordinate0121_05.png")</f>
        <v/>
      </c>
      <c r="I29" s="56" t="str">
        <f>IMAGE("https://raw.githubusercontent.com/ltdimages/images/refs/heads/main/Coordinate0121_06.png")</f>
        <v/>
      </c>
      <c r="J29" s="55" t="str">
        <f>IMAGE("https://raw.githubusercontent.com/ltdimages/images/refs/heads/main/Coordinate0121_07.png")</f>
        <v/>
      </c>
      <c r="K29" s="20" t="s">
        <v>3267</v>
      </c>
      <c r="L29" s="20" t="s">
        <v>3097</v>
      </c>
      <c r="M29" s="55" t="s">
        <v>2574</v>
      </c>
      <c r="N29" s="55" t="s">
        <v>3099</v>
      </c>
      <c r="O29" s="55" t="s">
        <v>45</v>
      </c>
      <c r="P29" s="55" t="s">
        <v>45</v>
      </c>
      <c r="Q29" s="55" t="s">
        <v>45</v>
      </c>
      <c r="R29" s="55" t="s">
        <v>49</v>
      </c>
      <c r="S29" s="55" t="s">
        <v>45</v>
      </c>
      <c r="T29" s="55" t="s">
        <v>45</v>
      </c>
      <c r="U29" s="55" t="s">
        <v>3095</v>
      </c>
      <c r="V29" s="55" t="s">
        <v>3095</v>
      </c>
      <c r="W29" s="55" t="s">
        <v>3095</v>
      </c>
      <c r="X29" s="55" t="s">
        <v>3268</v>
      </c>
      <c r="Y29" s="55" t="s">
        <v>3095</v>
      </c>
      <c r="Z29" s="55" t="s">
        <v>3095</v>
      </c>
      <c r="AA29" s="55" t="s">
        <v>3095</v>
      </c>
      <c r="AB29" s="55" t="s">
        <v>3269</v>
      </c>
      <c r="AC29" s="55" t="s">
        <v>3099</v>
      </c>
      <c r="AD29" s="55" t="s">
        <v>3270</v>
      </c>
      <c r="AE29" s="55" t="s">
        <v>3095</v>
      </c>
      <c r="AF29" s="55" t="s">
        <v>3095</v>
      </c>
      <c r="AG29" s="55" t="s">
        <v>3095</v>
      </c>
      <c r="AH29" s="55" t="s">
        <v>3095</v>
      </c>
      <c r="AI29" s="55" t="s">
        <v>3095</v>
      </c>
      <c r="AJ29" s="55" t="s">
        <v>3095</v>
      </c>
      <c r="AK29" s="55" t="s">
        <v>3095</v>
      </c>
      <c r="AL29" s="55" t="s">
        <v>3095</v>
      </c>
      <c r="AM29" s="55" t="s">
        <v>3095</v>
      </c>
    </row>
    <row r="30" ht="45.0" customHeight="1">
      <c r="A30" s="55" t="s">
        <v>185</v>
      </c>
      <c r="B30" s="55" t="s">
        <v>3271</v>
      </c>
      <c r="C30" s="55" t="str">
        <f>IMAGE("https://raw.githubusercontent.com/ltdimages/images/refs/heads/main/Coordinate0047_00.png")</f>
        <v/>
      </c>
      <c r="D30" s="55" t="str">
        <f>IMAGE("https://raw.githubusercontent.com/ltdimages/images/refs/heads/main/Coordinate0047_01.png")</f>
        <v/>
      </c>
      <c r="E30" s="55" t="str">
        <f>IMAGE("https://raw.githubusercontent.com/ltdimages/images/refs/heads/main/Coordinate0047_02.png")</f>
        <v/>
      </c>
      <c r="F30" s="55" t="s">
        <v>3095</v>
      </c>
      <c r="G30" s="55" t="s">
        <v>3095</v>
      </c>
      <c r="H30" s="55" t="s">
        <v>3095</v>
      </c>
      <c r="I30" s="56" t="s">
        <v>3095</v>
      </c>
      <c r="J30" s="55" t="s">
        <v>3095</v>
      </c>
      <c r="K30" s="20" t="s">
        <v>3272</v>
      </c>
      <c r="L30" s="20" t="s">
        <v>3097</v>
      </c>
      <c r="M30" s="55" t="s">
        <v>3098</v>
      </c>
      <c r="N30" s="55" t="s">
        <v>3114</v>
      </c>
      <c r="O30" s="55" t="s">
        <v>45</v>
      </c>
      <c r="P30" s="55" t="s">
        <v>45</v>
      </c>
      <c r="Q30" s="55" t="s">
        <v>45</v>
      </c>
      <c r="R30" s="55" t="s">
        <v>45</v>
      </c>
      <c r="S30" s="55" t="s">
        <v>45</v>
      </c>
      <c r="T30" s="55" t="s">
        <v>45</v>
      </c>
      <c r="U30" s="55" t="s">
        <v>3273</v>
      </c>
      <c r="V30" s="55" t="s">
        <v>3095</v>
      </c>
      <c r="W30" s="55" t="s">
        <v>3254</v>
      </c>
      <c r="X30" s="55" t="s">
        <v>3095</v>
      </c>
      <c r="Y30" s="55" t="s">
        <v>3095</v>
      </c>
      <c r="Z30" s="55" t="s">
        <v>3200</v>
      </c>
      <c r="AA30" s="55" t="s">
        <v>3211</v>
      </c>
      <c r="AB30" s="55" t="s">
        <v>3095</v>
      </c>
      <c r="AC30" s="55" t="s">
        <v>3103</v>
      </c>
      <c r="AD30" s="55" t="s">
        <v>3274</v>
      </c>
      <c r="AE30" s="55" t="s">
        <v>3095</v>
      </c>
      <c r="AF30" s="55" t="s">
        <v>3095</v>
      </c>
      <c r="AG30" s="55" t="s">
        <v>3095</v>
      </c>
      <c r="AH30" s="55" t="s">
        <v>3095</v>
      </c>
      <c r="AI30" s="55" t="s">
        <v>3095</v>
      </c>
      <c r="AJ30" s="55" t="s">
        <v>3095</v>
      </c>
      <c r="AK30" s="55" t="s">
        <v>3095</v>
      </c>
      <c r="AL30" s="55" t="s">
        <v>3095</v>
      </c>
      <c r="AM30" s="55" t="s">
        <v>3095</v>
      </c>
    </row>
    <row r="31" ht="45.0" customHeight="1">
      <c r="A31" s="55" t="s">
        <v>189</v>
      </c>
      <c r="B31" s="55" t="s">
        <v>3275</v>
      </c>
      <c r="C31" s="55" t="str">
        <f>IMAGE("https://raw.githubusercontent.com/ltdimages/images/refs/heads/main/Coordinate0092_00.png")</f>
        <v/>
      </c>
      <c r="D31" s="55" t="str">
        <f>IMAGE("https://raw.githubusercontent.com/ltdimages/images/refs/heads/main/Coordinate0092_01.png")</f>
        <v/>
      </c>
      <c r="E31" s="55" t="str">
        <f>IMAGE("https://raw.githubusercontent.com/ltdimages/images/refs/heads/main/Coordinate0092_02.png")</f>
        <v/>
      </c>
      <c r="F31" s="55" t="str">
        <f>IMAGE("https://raw.githubusercontent.com/ltdimages/images/refs/heads/main/Coordinate0092_03.png")</f>
        <v/>
      </c>
      <c r="G31" s="55" t="str">
        <f>IMAGE("https://raw.githubusercontent.com/ltdimages/images/refs/heads/main/Coordinate0092_04.png")</f>
        <v/>
      </c>
      <c r="H31" s="55" t="str">
        <f>IMAGE("https://raw.githubusercontent.com/ltdimages/images/refs/heads/main/Coordinate0092_05.png")</f>
        <v/>
      </c>
      <c r="I31" s="56" t="s">
        <v>3095</v>
      </c>
      <c r="J31" s="55" t="s">
        <v>3095</v>
      </c>
      <c r="K31" s="20" t="s">
        <v>3214</v>
      </c>
      <c r="L31" s="20" t="s">
        <v>3097</v>
      </c>
      <c r="M31" s="55" t="s">
        <v>3098</v>
      </c>
      <c r="N31" s="55" t="s">
        <v>3123</v>
      </c>
      <c r="O31" s="55" t="s">
        <v>45</v>
      </c>
      <c r="P31" s="55" t="s">
        <v>45</v>
      </c>
      <c r="Q31" s="55" t="s">
        <v>45</v>
      </c>
      <c r="R31" s="55" t="s">
        <v>45</v>
      </c>
      <c r="S31" s="55" t="s">
        <v>45</v>
      </c>
      <c r="T31" s="55" t="s">
        <v>45</v>
      </c>
      <c r="U31" s="55" t="s">
        <v>3276</v>
      </c>
      <c r="V31" s="55" t="s">
        <v>3095</v>
      </c>
      <c r="W31" s="55" t="s">
        <v>3277</v>
      </c>
      <c r="X31" s="55" t="s">
        <v>3095</v>
      </c>
      <c r="Y31" s="55" t="s">
        <v>3095</v>
      </c>
      <c r="Z31" s="55" t="s">
        <v>3193</v>
      </c>
      <c r="AA31" s="55" t="s">
        <v>3157</v>
      </c>
      <c r="AB31" s="55" t="s">
        <v>3095</v>
      </c>
      <c r="AC31" s="55" t="s">
        <v>3103</v>
      </c>
      <c r="AD31" s="55" t="s">
        <v>3278</v>
      </c>
      <c r="AE31" s="55" t="s">
        <v>3095</v>
      </c>
      <c r="AF31" s="55" t="s">
        <v>3095</v>
      </c>
      <c r="AG31" s="55" t="s">
        <v>3095</v>
      </c>
      <c r="AH31" s="55" t="s">
        <v>3095</v>
      </c>
      <c r="AI31" s="55" t="s">
        <v>3095</v>
      </c>
      <c r="AJ31" s="55" t="s">
        <v>3095</v>
      </c>
      <c r="AK31" s="55" t="s">
        <v>3095</v>
      </c>
      <c r="AL31" s="55" t="s">
        <v>3095</v>
      </c>
      <c r="AM31" s="55" t="s">
        <v>3095</v>
      </c>
    </row>
    <row r="32" ht="45.0" customHeight="1">
      <c r="A32" s="55" t="s">
        <v>194</v>
      </c>
      <c r="B32" s="55" t="s">
        <v>3279</v>
      </c>
      <c r="C32" s="55" t="str">
        <f>IMAGE("https://raw.githubusercontent.com/ltdimages/images/refs/heads/main/Coordinate0019_00.png")</f>
        <v/>
      </c>
      <c r="D32" s="55" t="str">
        <f>IMAGE("https://raw.githubusercontent.com/ltdimages/images/refs/heads/main/Coordinate0019_01.png")</f>
        <v/>
      </c>
      <c r="E32" s="55" t="str">
        <f>IMAGE("https://raw.githubusercontent.com/ltdimages/images/refs/heads/main/Coordinate0019_02.png")</f>
        <v/>
      </c>
      <c r="F32" s="55" t="str">
        <f>IMAGE("https://raw.githubusercontent.com/ltdimages/images/refs/heads/main/Coordinate0019_03.png")</f>
        <v/>
      </c>
      <c r="G32" s="55" t="str">
        <f>IMAGE("https://raw.githubusercontent.com/ltdimages/images/refs/heads/main/Coordinate0019_04.png")</f>
        <v/>
      </c>
      <c r="H32" s="55" t="s">
        <v>3095</v>
      </c>
      <c r="I32" s="56" t="s">
        <v>3095</v>
      </c>
      <c r="J32" s="55" t="s">
        <v>3095</v>
      </c>
      <c r="K32" s="20" t="s">
        <v>3280</v>
      </c>
      <c r="L32" s="20" t="s">
        <v>3097</v>
      </c>
      <c r="M32" s="55" t="s">
        <v>3098</v>
      </c>
      <c r="N32" s="55" t="s">
        <v>3099</v>
      </c>
      <c r="O32" s="55" t="s">
        <v>45</v>
      </c>
      <c r="P32" s="55" t="s">
        <v>45</v>
      </c>
      <c r="Q32" s="55" t="s">
        <v>45</v>
      </c>
      <c r="R32" s="55" t="s">
        <v>45</v>
      </c>
      <c r="S32" s="55" t="s">
        <v>45</v>
      </c>
      <c r="T32" s="55" t="s">
        <v>45</v>
      </c>
      <c r="U32" s="55" t="s">
        <v>3281</v>
      </c>
      <c r="V32" s="55" t="s">
        <v>3095</v>
      </c>
      <c r="W32" s="55" t="s">
        <v>3277</v>
      </c>
      <c r="X32" s="55" t="s">
        <v>3095</v>
      </c>
      <c r="Y32" s="55" t="s">
        <v>3095</v>
      </c>
      <c r="Z32" s="55" t="s">
        <v>3118</v>
      </c>
      <c r="AA32" s="55" t="s">
        <v>3150</v>
      </c>
      <c r="AB32" s="55" t="s">
        <v>3095</v>
      </c>
      <c r="AC32" s="55" t="s">
        <v>3103</v>
      </c>
      <c r="AD32" s="55" t="s">
        <v>3282</v>
      </c>
      <c r="AE32" s="55" t="s">
        <v>3095</v>
      </c>
      <c r="AF32" s="55" t="s">
        <v>3095</v>
      </c>
      <c r="AG32" s="55" t="s">
        <v>3095</v>
      </c>
      <c r="AH32" s="55" t="s">
        <v>3095</v>
      </c>
      <c r="AI32" s="55" t="s">
        <v>3095</v>
      </c>
      <c r="AJ32" s="55" t="s">
        <v>3095</v>
      </c>
      <c r="AK32" s="55" t="s">
        <v>3095</v>
      </c>
      <c r="AL32" s="55" t="s">
        <v>3095</v>
      </c>
      <c r="AM32" s="55" t="s">
        <v>3095</v>
      </c>
    </row>
    <row r="33" ht="45.0" customHeight="1">
      <c r="A33" s="55" t="s">
        <v>198</v>
      </c>
      <c r="B33" s="55" t="s">
        <v>3283</v>
      </c>
      <c r="C33" s="55" t="str">
        <f>IMAGE("https://raw.githubusercontent.com/ltdimages/images/refs/heads/main/Coordinate0189_00.png")</f>
        <v/>
      </c>
      <c r="D33" s="55" t="s">
        <v>3095</v>
      </c>
      <c r="E33" s="55" t="s">
        <v>3095</v>
      </c>
      <c r="F33" s="55" t="s">
        <v>3095</v>
      </c>
      <c r="G33" s="55" t="s">
        <v>3095</v>
      </c>
      <c r="H33" s="55" t="s">
        <v>3095</v>
      </c>
      <c r="I33" s="56" t="s">
        <v>3095</v>
      </c>
      <c r="J33" s="55" t="s">
        <v>3095</v>
      </c>
      <c r="K33" s="20" t="s">
        <v>3284</v>
      </c>
      <c r="L33" s="20" t="s">
        <v>3097</v>
      </c>
      <c r="M33" s="55" t="s">
        <v>2574</v>
      </c>
      <c r="N33" s="55" t="s">
        <v>3099</v>
      </c>
      <c r="O33" s="55" t="s">
        <v>45</v>
      </c>
      <c r="P33" s="55" t="s">
        <v>45</v>
      </c>
      <c r="Q33" s="55" t="s">
        <v>45</v>
      </c>
      <c r="R33" s="55" t="s">
        <v>49</v>
      </c>
      <c r="S33" s="55" t="s">
        <v>45</v>
      </c>
      <c r="T33" s="55" t="s">
        <v>45</v>
      </c>
      <c r="U33" s="55" t="s">
        <v>3095</v>
      </c>
      <c r="V33" s="55" t="s">
        <v>3095</v>
      </c>
      <c r="W33" s="55" t="s">
        <v>3095</v>
      </c>
      <c r="X33" s="55" t="s">
        <v>3285</v>
      </c>
      <c r="Y33" s="55" t="s">
        <v>3095</v>
      </c>
      <c r="Z33" s="55" t="s">
        <v>3095</v>
      </c>
      <c r="AA33" s="55" t="s">
        <v>3095</v>
      </c>
      <c r="AB33" s="55" t="s">
        <v>3286</v>
      </c>
      <c r="AC33" s="55" t="s">
        <v>3099</v>
      </c>
      <c r="AD33" s="55" t="s">
        <v>3287</v>
      </c>
      <c r="AE33" s="55" t="s">
        <v>3095</v>
      </c>
      <c r="AF33" s="55" t="s">
        <v>3095</v>
      </c>
      <c r="AG33" s="55" t="s">
        <v>3095</v>
      </c>
      <c r="AH33" s="55" t="s">
        <v>3095</v>
      </c>
      <c r="AI33" s="55" t="s">
        <v>3095</v>
      </c>
      <c r="AJ33" s="55" t="s">
        <v>3095</v>
      </c>
      <c r="AK33" s="55" t="s">
        <v>3095</v>
      </c>
      <c r="AL33" s="55" t="s">
        <v>3095</v>
      </c>
      <c r="AM33" s="55" t="s">
        <v>3095</v>
      </c>
    </row>
    <row r="34" ht="45.0" customHeight="1">
      <c r="A34" s="55" t="s">
        <v>202</v>
      </c>
      <c r="B34" s="55" t="s">
        <v>3288</v>
      </c>
      <c r="C34" s="55" t="str">
        <f>IMAGE("https://raw.githubusercontent.com/ltdimages/images/refs/heads/main/Coordinate0346_00.png")</f>
        <v/>
      </c>
      <c r="D34" s="55" t="s">
        <v>3095</v>
      </c>
      <c r="E34" s="55" t="s">
        <v>3095</v>
      </c>
      <c r="F34" s="55" t="s">
        <v>3095</v>
      </c>
      <c r="G34" s="55" t="s">
        <v>3095</v>
      </c>
      <c r="H34" s="55" t="s">
        <v>3095</v>
      </c>
      <c r="I34" s="56" t="s">
        <v>3095</v>
      </c>
      <c r="J34" s="55" t="s">
        <v>3095</v>
      </c>
      <c r="K34" s="20" t="s">
        <v>3289</v>
      </c>
      <c r="L34" s="20" t="s">
        <v>3097</v>
      </c>
      <c r="M34" s="55" t="s">
        <v>2574</v>
      </c>
      <c r="N34" s="55" t="s">
        <v>3099</v>
      </c>
      <c r="O34" s="55" t="s">
        <v>45</v>
      </c>
      <c r="P34" s="55" t="s">
        <v>45</v>
      </c>
      <c r="Q34" s="55" t="s">
        <v>45</v>
      </c>
      <c r="R34" s="55" t="s">
        <v>49</v>
      </c>
      <c r="S34" s="55" t="s">
        <v>45</v>
      </c>
      <c r="T34" s="55" t="s">
        <v>45</v>
      </c>
      <c r="U34" s="55" t="s">
        <v>3095</v>
      </c>
      <c r="V34" s="55" t="s">
        <v>3095</v>
      </c>
      <c r="W34" s="55" t="s">
        <v>3095</v>
      </c>
      <c r="X34" s="55" t="s">
        <v>3285</v>
      </c>
      <c r="Y34" s="55" t="s">
        <v>3095</v>
      </c>
      <c r="Z34" s="55" t="s">
        <v>3095</v>
      </c>
      <c r="AA34" s="55" t="s">
        <v>3095</v>
      </c>
      <c r="AB34" s="55" t="s">
        <v>3290</v>
      </c>
      <c r="AC34" s="55" t="s">
        <v>3099</v>
      </c>
      <c r="AD34" s="55" t="s">
        <v>3291</v>
      </c>
      <c r="AE34" s="55" t="s">
        <v>3095</v>
      </c>
      <c r="AF34" s="55" t="s">
        <v>3095</v>
      </c>
      <c r="AG34" s="55" t="s">
        <v>3095</v>
      </c>
      <c r="AH34" s="55" t="s">
        <v>3095</v>
      </c>
      <c r="AI34" s="55" t="s">
        <v>3095</v>
      </c>
      <c r="AJ34" s="55" t="s">
        <v>3095</v>
      </c>
      <c r="AK34" s="55" t="s">
        <v>3095</v>
      </c>
      <c r="AL34" s="55" t="s">
        <v>3095</v>
      </c>
      <c r="AM34" s="55" t="s">
        <v>3095</v>
      </c>
    </row>
    <row r="35" ht="45.0" customHeight="1">
      <c r="A35" s="55" t="s">
        <v>207</v>
      </c>
      <c r="B35" s="55" t="s">
        <v>3292</v>
      </c>
      <c r="C35" s="55" t="str">
        <f>IMAGE("https://raw.githubusercontent.com/ltdimages/images/refs/heads/main/Coordinate0006_00.png")</f>
        <v/>
      </c>
      <c r="D35" s="55" t="str">
        <f>IMAGE("https://raw.githubusercontent.com/ltdimages/images/refs/heads/main/Coordinate0006_01.png")</f>
        <v/>
      </c>
      <c r="E35" s="55" t="str">
        <f>IMAGE("https://raw.githubusercontent.com/ltdimages/images/refs/heads/main/Coordinate0006_02.png")</f>
        <v/>
      </c>
      <c r="F35" s="55" t="str">
        <f>IMAGE("https://raw.githubusercontent.com/ltdimages/images/refs/heads/main/Coordinate0006_03.png")</f>
        <v/>
      </c>
      <c r="G35" s="55" t="str">
        <f>IMAGE("https://raw.githubusercontent.com/ltdimages/images/refs/heads/main/Coordinate0006_04.png")</f>
        <v/>
      </c>
      <c r="H35" s="55" t="str">
        <f>IMAGE("https://raw.githubusercontent.com/ltdimages/images/refs/heads/main/Coordinate0006_05.png")</f>
        <v/>
      </c>
      <c r="I35" s="56" t="str">
        <f>IMAGE("https://raw.githubusercontent.com/ltdimages/images/refs/heads/main/Coordinate0006_06.png")</f>
        <v/>
      </c>
      <c r="J35" s="55" t="str">
        <f>IMAGE("https://raw.githubusercontent.com/ltdimages/images/refs/heads/main/Coordinate0006_07.png")</f>
        <v/>
      </c>
      <c r="K35" s="20" t="s">
        <v>3293</v>
      </c>
      <c r="L35" s="20" t="s">
        <v>3097</v>
      </c>
      <c r="M35" s="55" t="s">
        <v>3098</v>
      </c>
      <c r="N35" s="55" t="s">
        <v>3099</v>
      </c>
      <c r="O35" s="55" t="s">
        <v>45</v>
      </c>
      <c r="P35" s="55" t="s">
        <v>45</v>
      </c>
      <c r="Q35" s="55" t="s">
        <v>45</v>
      </c>
      <c r="R35" s="55" t="s">
        <v>45</v>
      </c>
      <c r="S35" s="55" t="s">
        <v>45</v>
      </c>
      <c r="T35" s="55" t="s">
        <v>45</v>
      </c>
      <c r="U35" s="55" t="s">
        <v>3294</v>
      </c>
      <c r="V35" s="55" t="s">
        <v>3095</v>
      </c>
      <c r="W35" s="55" t="s">
        <v>3295</v>
      </c>
      <c r="X35" s="55" t="s">
        <v>3095</v>
      </c>
      <c r="Y35" s="55" t="s">
        <v>3095</v>
      </c>
      <c r="Z35" s="55" t="s">
        <v>3296</v>
      </c>
      <c r="AA35" s="55" t="s">
        <v>3217</v>
      </c>
      <c r="AB35" s="55" t="s">
        <v>3095</v>
      </c>
      <c r="AC35" s="55" t="s">
        <v>3103</v>
      </c>
      <c r="AD35" s="55" t="s">
        <v>3297</v>
      </c>
      <c r="AE35" s="55" t="s">
        <v>3095</v>
      </c>
      <c r="AF35" s="55" t="s">
        <v>3095</v>
      </c>
      <c r="AG35" s="55" t="s">
        <v>3095</v>
      </c>
      <c r="AH35" s="55" t="s">
        <v>3095</v>
      </c>
      <c r="AI35" s="55" t="s">
        <v>3095</v>
      </c>
      <c r="AJ35" s="55" t="s">
        <v>3095</v>
      </c>
      <c r="AK35" s="55" t="s">
        <v>3095</v>
      </c>
      <c r="AL35" s="55" t="s">
        <v>3095</v>
      </c>
      <c r="AM35" s="55" t="s">
        <v>3095</v>
      </c>
    </row>
    <row r="36" ht="45.0" customHeight="1">
      <c r="A36" s="55" t="s">
        <v>211</v>
      </c>
      <c r="B36" s="55" t="s">
        <v>3298</v>
      </c>
      <c r="C36" s="55" t="str">
        <f>IMAGE("https://raw.githubusercontent.com/ltdimages/images/refs/heads/main/Coordinate0011_00.png")</f>
        <v/>
      </c>
      <c r="D36" s="55" t="str">
        <f>IMAGE("https://raw.githubusercontent.com/ltdimages/images/refs/heads/main/Coordinate0011_01.png")</f>
        <v/>
      </c>
      <c r="E36" s="55" t="str">
        <f>IMAGE("https://raw.githubusercontent.com/ltdimages/images/refs/heads/main/Coordinate0011_02.png")</f>
        <v/>
      </c>
      <c r="F36" s="55" t="str">
        <f>IMAGE("https://raw.githubusercontent.com/ltdimages/images/refs/heads/main/Coordinate0011_03.png")</f>
        <v/>
      </c>
      <c r="G36" s="55" t="str">
        <f>IMAGE("https://raw.githubusercontent.com/ltdimages/images/refs/heads/main/Coordinate0011_04.png")</f>
        <v/>
      </c>
      <c r="H36" s="55" t="str">
        <f>IMAGE("https://raw.githubusercontent.com/ltdimages/images/refs/heads/main/Coordinate0011_05.png")</f>
        <v/>
      </c>
      <c r="I36" s="56" t="str">
        <f>IMAGE("https://raw.githubusercontent.com/ltdimages/images/refs/heads/main/Coordinate0011_06.png")</f>
        <v/>
      </c>
      <c r="J36" s="55" t="str">
        <f>IMAGE("https://raw.githubusercontent.com/ltdimages/images/refs/heads/main/Coordinate0011_07.png")</f>
        <v/>
      </c>
      <c r="K36" s="20" t="s">
        <v>3262</v>
      </c>
      <c r="L36" s="20" t="s">
        <v>3097</v>
      </c>
      <c r="M36" s="55" t="s">
        <v>3098</v>
      </c>
      <c r="N36" s="55" t="s">
        <v>3099</v>
      </c>
      <c r="O36" s="55" t="s">
        <v>45</v>
      </c>
      <c r="P36" s="55" t="s">
        <v>45</v>
      </c>
      <c r="Q36" s="55" t="s">
        <v>45</v>
      </c>
      <c r="R36" s="55" t="s">
        <v>45</v>
      </c>
      <c r="S36" s="55" t="s">
        <v>45</v>
      </c>
      <c r="T36" s="55" t="s">
        <v>45</v>
      </c>
      <c r="U36" s="55" t="s">
        <v>3299</v>
      </c>
      <c r="V36" s="55" t="s">
        <v>3095</v>
      </c>
      <c r="W36" s="55" t="s">
        <v>3148</v>
      </c>
      <c r="X36" s="55" t="s">
        <v>3095</v>
      </c>
      <c r="Y36" s="55" t="s">
        <v>3095</v>
      </c>
      <c r="Z36" s="55" t="s">
        <v>3296</v>
      </c>
      <c r="AA36" s="55" t="s">
        <v>3211</v>
      </c>
      <c r="AB36" s="55" t="s">
        <v>3095</v>
      </c>
      <c r="AC36" s="55" t="s">
        <v>3103</v>
      </c>
      <c r="AD36" s="55" t="s">
        <v>3300</v>
      </c>
      <c r="AE36" s="55" t="s">
        <v>3095</v>
      </c>
      <c r="AF36" s="55" t="s">
        <v>3095</v>
      </c>
      <c r="AG36" s="55" t="s">
        <v>3095</v>
      </c>
      <c r="AH36" s="55" t="s">
        <v>3095</v>
      </c>
      <c r="AI36" s="55" t="s">
        <v>3095</v>
      </c>
      <c r="AJ36" s="55" t="s">
        <v>3095</v>
      </c>
      <c r="AK36" s="55" t="s">
        <v>3095</v>
      </c>
      <c r="AL36" s="55" t="s">
        <v>3095</v>
      </c>
      <c r="AM36" s="55" t="s">
        <v>3095</v>
      </c>
    </row>
    <row r="37" ht="45.0" customHeight="1">
      <c r="A37" s="55" t="s">
        <v>215</v>
      </c>
      <c r="B37" s="55" t="s">
        <v>3301</v>
      </c>
      <c r="C37" s="55" t="str">
        <f>IMAGE("https://raw.githubusercontent.com/ltdimages/images/refs/heads/main/Coordinate0298_00.png")</f>
        <v/>
      </c>
      <c r="D37" s="55" t="str">
        <f>IMAGE("https://raw.githubusercontent.com/ltdimages/images/refs/heads/main/Coordinate0298_01.png")</f>
        <v/>
      </c>
      <c r="E37" s="55" t="str">
        <f>IMAGE("https://raw.githubusercontent.com/ltdimages/images/refs/heads/main/Coordinate0298_02.png")</f>
        <v/>
      </c>
      <c r="F37" s="55" t="str">
        <f>IMAGE("https://raw.githubusercontent.com/ltdimages/images/refs/heads/main/Coordinate0298_03.png")</f>
        <v/>
      </c>
      <c r="G37" s="55" t="str">
        <f>IMAGE("https://raw.githubusercontent.com/ltdimages/images/refs/heads/main/Coordinate0298_04.png")</f>
        <v/>
      </c>
      <c r="H37" s="55" t="str">
        <f>IMAGE("https://raw.githubusercontent.com/ltdimages/images/refs/heads/main/Coordinate0298_05.png")</f>
        <v/>
      </c>
      <c r="I37" s="56" t="s">
        <v>3095</v>
      </c>
      <c r="J37" s="55" t="s">
        <v>3095</v>
      </c>
      <c r="K37" s="20" t="s">
        <v>3302</v>
      </c>
      <c r="L37" s="20" t="s">
        <v>3097</v>
      </c>
      <c r="M37" s="55" t="s">
        <v>3131</v>
      </c>
      <c r="N37" s="55" t="s">
        <v>3099</v>
      </c>
      <c r="O37" s="55" t="s">
        <v>45</v>
      </c>
      <c r="P37" s="55" t="s">
        <v>45</v>
      </c>
      <c r="Q37" s="55" t="s">
        <v>45</v>
      </c>
      <c r="R37" s="55" t="s">
        <v>45</v>
      </c>
      <c r="S37" s="55" t="s">
        <v>49</v>
      </c>
      <c r="T37" s="55" t="s">
        <v>45</v>
      </c>
      <c r="U37" s="55" t="s">
        <v>3095</v>
      </c>
      <c r="V37" s="55" t="s">
        <v>3303</v>
      </c>
      <c r="W37" s="55" t="s">
        <v>3095</v>
      </c>
      <c r="X37" s="55" t="s">
        <v>3095</v>
      </c>
      <c r="Y37" s="55" t="s">
        <v>3095</v>
      </c>
      <c r="Z37" s="55" t="s">
        <v>3304</v>
      </c>
      <c r="AA37" s="55" t="s">
        <v>3305</v>
      </c>
      <c r="AB37" s="55" t="s">
        <v>3095</v>
      </c>
      <c r="AC37" s="55" t="s">
        <v>3110</v>
      </c>
      <c r="AD37" s="55" t="s">
        <v>3306</v>
      </c>
      <c r="AE37" s="55" t="s">
        <v>3095</v>
      </c>
      <c r="AF37" s="55" t="s">
        <v>3095</v>
      </c>
      <c r="AG37" s="55" t="s">
        <v>3095</v>
      </c>
      <c r="AH37" s="55" t="s">
        <v>3095</v>
      </c>
      <c r="AI37" s="55" t="s">
        <v>3095</v>
      </c>
      <c r="AJ37" s="55" t="s">
        <v>3095</v>
      </c>
      <c r="AK37" s="55" t="s">
        <v>3095</v>
      </c>
      <c r="AL37" s="55" t="s">
        <v>3095</v>
      </c>
      <c r="AM37" s="55" t="s">
        <v>3095</v>
      </c>
    </row>
    <row r="38" ht="45.0" customHeight="1">
      <c r="A38" s="55" t="s">
        <v>220</v>
      </c>
      <c r="B38" s="55" t="s">
        <v>3307</v>
      </c>
      <c r="C38" s="55" t="str">
        <f>IMAGE("https://raw.githubusercontent.com/ltdimages/images/refs/heads/main/Coordinate0024_00.png")</f>
        <v/>
      </c>
      <c r="D38" s="55" t="str">
        <f>IMAGE("https://raw.githubusercontent.com/ltdimages/images/refs/heads/main/Coordinate0024_01.png")</f>
        <v/>
      </c>
      <c r="E38" s="55" t="str">
        <f>IMAGE("https://raw.githubusercontent.com/ltdimages/images/refs/heads/main/Coordinate0024_02.png")</f>
        <v/>
      </c>
      <c r="F38" s="55" t="str">
        <f>IMAGE("https://raw.githubusercontent.com/ltdimages/images/refs/heads/main/Coordinate0024_03.png")</f>
        <v/>
      </c>
      <c r="G38" s="55" t="s">
        <v>3095</v>
      </c>
      <c r="H38" s="55" t="s">
        <v>3095</v>
      </c>
      <c r="I38" s="56" t="s">
        <v>3095</v>
      </c>
      <c r="J38" s="55" t="s">
        <v>3095</v>
      </c>
      <c r="K38" s="20" t="s">
        <v>3308</v>
      </c>
      <c r="L38" s="20" t="s">
        <v>3097</v>
      </c>
      <c r="M38" s="55" t="s">
        <v>3098</v>
      </c>
      <c r="N38" s="55" t="s">
        <v>3099</v>
      </c>
      <c r="O38" s="55" t="s">
        <v>45</v>
      </c>
      <c r="P38" s="55" t="s">
        <v>45</v>
      </c>
      <c r="Q38" s="55" t="s">
        <v>45</v>
      </c>
      <c r="R38" s="55" t="s">
        <v>45</v>
      </c>
      <c r="S38" s="55" t="s">
        <v>45</v>
      </c>
      <c r="T38" s="55" t="s">
        <v>45</v>
      </c>
      <c r="U38" s="55" t="s">
        <v>3309</v>
      </c>
      <c r="V38" s="55" t="s">
        <v>3095</v>
      </c>
      <c r="W38" s="55" t="s">
        <v>3310</v>
      </c>
      <c r="X38" s="55" t="s">
        <v>3117</v>
      </c>
      <c r="Y38" s="55" t="s">
        <v>3095</v>
      </c>
      <c r="Z38" s="55" t="s">
        <v>3193</v>
      </c>
      <c r="AA38" s="55" t="s">
        <v>3150</v>
      </c>
      <c r="AB38" s="55" t="s">
        <v>3095</v>
      </c>
      <c r="AC38" s="55" t="s">
        <v>3103</v>
      </c>
      <c r="AD38" s="55" t="s">
        <v>3311</v>
      </c>
      <c r="AE38" s="55" t="s">
        <v>3095</v>
      </c>
      <c r="AF38" s="55" t="s">
        <v>3095</v>
      </c>
      <c r="AG38" s="55" t="s">
        <v>3095</v>
      </c>
      <c r="AH38" s="55" t="s">
        <v>3095</v>
      </c>
      <c r="AI38" s="55" t="s">
        <v>3095</v>
      </c>
      <c r="AJ38" s="55" t="s">
        <v>3095</v>
      </c>
      <c r="AK38" s="55" t="s">
        <v>3095</v>
      </c>
      <c r="AL38" s="55" t="s">
        <v>3095</v>
      </c>
      <c r="AM38" s="55" t="s">
        <v>3095</v>
      </c>
    </row>
    <row r="39" ht="45.0" customHeight="1">
      <c r="A39" s="55" t="s">
        <v>224</v>
      </c>
      <c r="B39" s="55" t="s">
        <v>3312</v>
      </c>
      <c r="C39" s="55" t="str">
        <f>IMAGE("https://raw.githubusercontent.com/ltdimages/images/refs/heads/main/Coordinate0342_00.png")</f>
        <v/>
      </c>
      <c r="D39" s="55" t="str">
        <f>IMAGE("https://raw.githubusercontent.com/ltdimages/images/refs/heads/main/Coordinate0342_01.png")</f>
        <v/>
      </c>
      <c r="E39" s="55" t="str">
        <f>IMAGE("https://raw.githubusercontent.com/ltdimages/images/refs/heads/main/Coordinate0342_02.png")</f>
        <v/>
      </c>
      <c r="F39" s="55" t="str">
        <f>IMAGE("https://raw.githubusercontent.com/ltdimages/images/refs/heads/main/Coordinate0342_03.png")</f>
        <v/>
      </c>
      <c r="G39" s="55" t="str">
        <f>IMAGE("https://raw.githubusercontent.com/ltdimages/images/refs/heads/main/Coordinate0342_04.png")</f>
        <v/>
      </c>
      <c r="H39" s="55" t="str">
        <f>IMAGE("https://raw.githubusercontent.com/ltdimages/images/refs/heads/main/Coordinate0342_05.png")</f>
        <v/>
      </c>
      <c r="I39" s="56" t="s">
        <v>3095</v>
      </c>
      <c r="J39" s="55" t="s">
        <v>3095</v>
      </c>
      <c r="K39" s="20" t="s">
        <v>3313</v>
      </c>
      <c r="L39" s="20" t="s">
        <v>3097</v>
      </c>
      <c r="M39" s="55" t="s">
        <v>3098</v>
      </c>
      <c r="N39" s="55" t="s">
        <v>3099</v>
      </c>
      <c r="O39" s="55" t="s">
        <v>45</v>
      </c>
      <c r="P39" s="55" t="s">
        <v>45</v>
      </c>
      <c r="Q39" s="55" t="s">
        <v>45</v>
      </c>
      <c r="R39" s="55" t="s">
        <v>45</v>
      </c>
      <c r="S39" s="55" t="s">
        <v>45</v>
      </c>
      <c r="T39" s="55" t="s">
        <v>45</v>
      </c>
      <c r="U39" s="55" t="s">
        <v>3095</v>
      </c>
      <c r="V39" s="55" t="s">
        <v>3314</v>
      </c>
      <c r="W39" s="55" t="s">
        <v>3095</v>
      </c>
      <c r="X39" s="55" t="s">
        <v>3315</v>
      </c>
      <c r="Y39" s="55" t="s">
        <v>3095</v>
      </c>
      <c r="Z39" s="55" t="s">
        <v>3200</v>
      </c>
      <c r="AA39" s="55" t="s">
        <v>3201</v>
      </c>
      <c r="AB39" s="55" t="s">
        <v>3095</v>
      </c>
      <c r="AC39" s="55" t="s">
        <v>3110</v>
      </c>
      <c r="AD39" s="55" t="s">
        <v>3316</v>
      </c>
      <c r="AE39" s="55" t="s">
        <v>3095</v>
      </c>
      <c r="AF39" s="55" t="s">
        <v>3095</v>
      </c>
      <c r="AG39" s="55" t="s">
        <v>3095</v>
      </c>
      <c r="AH39" s="55" t="s">
        <v>3095</v>
      </c>
      <c r="AI39" s="55" t="s">
        <v>3095</v>
      </c>
      <c r="AJ39" s="55" t="s">
        <v>3095</v>
      </c>
      <c r="AK39" s="55" t="s">
        <v>3095</v>
      </c>
      <c r="AL39" s="55" t="s">
        <v>3095</v>
      </c>
      <c r="AM39" s="55" t="s">
        <v>3095</v>
      </c>
    </row>
    <row r="40" ht="45.0" customHeight="1">
      <c r="A40" s="55" t="s">
        <v>229</v>
      </c>
      <c r="B40" s="55" t="s">
        <v>3317</v>
      </c>
      <c r="C40" s="55" t="str">
        <f>IMAGE("https://raw.githubusercontent.com/ltdimages/images/refs/heads/main/Coordinate0125_00.png")</f>
        <v/>
      </c>
      <c r="D40" s="55" t="str">
        <f>IMAGE("https://raw.githubusercontent.com/ltdimages/images/refs/heads/main/Coordinate0125_01.png")</f>
        <v/>
      </c>
      <c r="E40" s="55" t="str">
        <f>IMAGE("https://raw.githubusercontent.com/ltdimages/images/refs/heads/main/Coordinate0125_02.png")</f>
        <v/>
      </c>
      <c r="F40" s="55" t="str">
        <f>IMAGE("https://raw.githubusercontent.com/ltdimages/images/refs/heads/main/Coordinate0125_03.png")</f>
        <v/>
      </c>
      <c r="G40" s="55" t="str">
        <f>IMAGE("https://raw.githubusercontent.com/ltdimages/images/refs/heads/main/Coordinate0125_04.png")</f>
        <v/>
      </c>
      <c r="H40" s="55" t="str">
        <f>IMAGE("https://raw.githubusercontent.com/ltdimages/images/refs/heads/main/Coordinate0125_05.png")</f>
        <v/>
      </c>
      <c r="I40" s="56" t="str">
        <f>IMAGE("https://raw.githubusercontent.com/ltdimages/images/refs/heads/main/Coordinate0125_06.png")</f>
        <v/>
      </c>
      <c r="J40" s="55" t="str">
        <f>IMAGE("https://raw.githubusercontent.com/ltdimages/images/refs/heads/main/Coordinate0125_07.png")</f>
        <v/>
      </c>
      <c r="K40" s="20" t="s">
        <v>3318</v>
      </c>
      <c r="L40" s="20" t="s">
        <v>3097</v>
      </c>
      <c r="M40" s="55" t="s">
        <v>2574</v>
      </c>
      <c r="N40" s="55" t="s">
        <v>3099</v>
      </c>
      <c r="O40" s="55" t="s">
        <v>45</v>
      </c>
      <c r="P40" s="55" t="s">
        <v>45</v>
      </c>
      <c r="Q40" s="55" t="s">
        <v>45</v>
      </c>
      <c r="R40" s="55" t="s">
        <v>49</v>
      </c>
      <c r="S40" s="55" t="s">
        <v>45</v>
      </c>
      <c r="T40" s="55" t="s">
        <v>45</v>
      </c>
      <c r="U40" s="55" t="s">
        <v>3095</v>
      </c>
      <c r="V40" s="55" t="s">
        <v>3095</v>
      </c>
      <c r="W40" s="55" t="s">
        <v>3095</v>
      </c>
      <c r="X40" s="55" t="s">
        <v>3319</v>
      </c>
      <c r="Y40" s="55" t="s">
        <v>3095</v>
      </c>
      <c r="Z40" s="55" t="s">
        <v>3095</v>
      </c>
      <c r="AA40" s="55" t="s">
        <v>3095</v>
      </c>
      <c r="AB40" s="55" t="s">
        <v>3320</v>
      </c>
      <c r="AC40" s="55" t="s">
        <v>3099</v>
      </c>
      <c r="AD40" s="55" t="s">
        <v>3321</v>
      </c>
      <c r="AE40" s="55" t="s">
        <v>3095</v>
      </c>
      <c r="AF40" s="55" t="s">
        <v>3095</v>
      </c>
      <c r="AG40" s="55" t="s">
        <v>3095</v>
      </c>
      <c r="AH40" s="55" t="s">
        <v>3095</v>
      </c>
      <c r="AI40" s="55" t="s">
        <v>3095</v>
      </c>
      <c r="AJ40" s="55" t="s">
        <v>3095</v>
      </c>
      <c r="AK40" s="55" t="s">
        <v>3095</v>
      </c>
      <c r="AL40" s="55" t="s">
        <v>3095</v>
      </c>
      <c r="AM40" s="55" t="s">
        <v>3095</v>
      </c>
    </row>
    <row r="41" ht="45.0" customHeight="1">
      <c r="A41" s="55" t="s">
        <v>233</v>
      </c>
      <c r="B41" s="55" t="s">
        <v>3322</v>
      </c>
      <c r="C41" s="55" t="str">
        <f>IMAGE("https://raw.githubusercontent.com/ltdimages/images/refs/heads/main/Coordinate0077_00.png")</f>
        <v/>
      </c>
      <c r="D41" s="55" t="str">
        <f>IMAGE("https://raw.githubusercontent.com/ltdimages/images/refs/heads/main/Coordinate0077_01.png")</f>
        <v/>
      </c>
      <c r="E41" s="55" t="str">
        <f>IMAGE("https://raw.githubusercontent.com/ltdimages/images/refs/heads/main/Coordinate0077_02.png")</f>
        <v/>
      </c>
      <c r="F41" s="55" t="str">
        <f>IMAGE("https://raw.githubusercontent.com/ltdimages/images/refs/heads/main/Coordinate0077_03.png")</f>
        <v/>
      </c>
      <c r="G41" s="55" t="str">
        <f>IMAGE("https://raw.githubusercontent.com/ltdimages/images/refs/heads/main/Coordinate0077_04.png")</f>
        <v/>
      </c>
      <c r="H41" s="55" t="str">
        <f>IMAGE("https://raw.githubusercontent.com/ltdimages/images/refs/heads/main/Coordinate0077_05.png")</f>
        <v/>
      </c>
      <c r="I41" s="56" t="str">
        <f>IMAGE("https://raw.githubusercontent.com/ltdimages/images/refs/heads/main/Coordinate0077_06.png")</f>
        <v/>
      </c>
      <c r="J41" s="55" t="str">
        <f>IMAGE("https://raw.githubusercontent.com/ltdimages/images/refs/heads/main/Coordinate0077_07.png")</f>
        <v/>
      </c>
      <c r="K41" s="20" t="s">
        <v>3323</v>
      </c>
      <c r="L41" s="20" t="s">
        <v>3097</v>
      </c>
      <c r="M41" s="55" t="s">
        <v>3098</v>
      </c>
      <c r="N41" s="55" t="s">
        <v>3099</v>
      </c>
      <c r="O41" s="55" t="s">
        <v>45</v>
      </c>
      <c r="P41" s="55" t="s">
        <v>45</v>
      </c>
      <c r="Q41" s="55" t="s">
        <v>45</v>
      </c>
      <c r="R41" s="55" t="s">
        <v>49</v>
      </c>
      <c r="S41" s="55" t="s">
        <v>45</v>
      </c>
      <c r="T41" s="55" t="s">
        <v>45</v>
      </c>
      <c r="U41" s="55" t="s">
        <v>3324</v>
      </c>
      <c r="V41" s="55" t="s">
        <v>3095</v>
      </c>
      <c r="W41" s="55" t="s">
        <v>3277</v>
      </c>
      <c r="X41" s="55" t="s">
        <v>3325</v>
      </c>
      <c r="Y41" s="55" t="s">
        <v>3095</v>
      </c>
      <c r="Z41" s="55" t="s">
        <v>3118</v>
      </c>
      <c r="AA41" s="55" t="s">
        <v>3157</v>
      </c>
      <c r="AB41" s="55" t="s">
        <v>3095</v>
      </c>
      <c r="AC41" s="55" t="s">
        <v>3103</v>
      </c>
      <c r="AD41" s="55" t="s">
        <v>3326</v>
      </c>
      <c r="AE41" s="55" t="s">
        <v>3095</v>
      </c>
      <c r="AF41" s="55" t="s">
        <v>3095</v>
      </c>
      <c r="AG41" s="55" t="s">
        <v>3095</v>
      </c>
      <c r="AH41" s="55" t="s">
        <v>3095</v>
      </c>
      <c r="AI41" s="55" t="s">
        <v>3095</v>
      </c>
      <c r="AJ41" s="55" t="s">
        <v>3095</v>
      </c>
      <c r="AK41" s="55" t="s">
        <v>3095</v>
      </c>
      <c r="AL41" s="55" t="s">
        <v>3095</v>
      </c>
      <c r="AM41" s="55" t="s">
        <v>3095</v>
      </c>
    </row>
    <row r="42" ht="45.0" customHeight="1">
      <c r="A42" s="55" t="s">
        <v>237</v>
      </c>
      <c r="B42" s="55" t="s">
        <v>3327</v>
      </c>
      <c r="C42" s="55" t="str">
        <f>IMAGE("https://raw.githubusercontent.com/ltdimages/images/refs/heads/main/Coordinate0199_00.png")</f>
        <v/>
      </c>
      <c r="D42" s="55" t="str">
        <f>IMAGE("https://raw.githubusercontent.com/ltdimages/images/refs/heads/main/Coordinate0199_01.png")</f>
        <v/>
      </c>
      <c r="E42" s="55" t="str">
        <f>IMAGE("https://raw.githubusercontent.com/ltdimages/images/refs/heads/main/Coordinate0199_02.png")</f>
        <v/>
      </c>
      <c r="F42" s="55" t="str">
        <f>IMAGE("https://raw.githubusercontent.com/ltdimages/images/refs/heads/main/Coordinate0199_03.png")</f>
        <v/>
      </c>
      <c r="G42" s="55" t="str">
        <f>IMAGE("https://raw.githubusercontent.com/ltdimages/images/refs/heads/main/Coordinate0199_04.png")</f>
        <v/>
      </c>
      <c r="H42" s="55" t="str">
        <f>IMAGE("https://raw.githubusercontent.com/ltdimages/images/refs/heads/main/Coordinate0199_05.png")</f>
        <v/>
      </c>
      <c r="I42" s="56" t="str">
        <f>IMAGE("https://raw.githubusercontent.com/ltdimages/images/refs/heads/main/Coordinate0199_06.png")</f>
        <v/>
      </c>
      <c r="J42" s="55" t="str">
        <f>IMAGE("https://raw.githubusercontent.com/ltdimages/images/refs/heads/main/Coordinate0199_07.png")</f>
        <v/>
      </c>
      <c r="K42" s="20" t="s">
        <v>3280</v>
      </c>
      <c r="L42" s="20" t="s">
        <v>3097</v>
      </c>
      <c r="M42" s="55" t="s">
        <v>3131</v>
      </c>
      <c r="N42" s="55" t="s">
        <v>3099</v>
      </c>
      <c r="O42" s="55" t="s">
        <v>45</v>
      </c>
      <c r="P42" s="55" t="s">
        <v>45</v>
      </c>
      <c r="Q42" s="55" t="s">
        <v>45</v>
      </c>
      <c r="R42" s="55" t="s">
        <v>45</v>
      </c>
      <c r="S42" s="55" t="s">
        <v>49</v>
      </c>
      <c r="T42" s="55" t="s">
        <v>45</v>
      </c>
      <c r="U42" s="55" t="s">
        <v>3095</v>
      </c>
      <c r="V42" s="55" t="s">
        <v>3328</v>
      </c>
      <c r="W42" s="55" t="s">
        <v>3095</v>
      </c>
      <c r="X42" s="55" t="s">
        <v>3095</v>
      </c>
      <c r="Y42" s="55" t="s">
        <v>3095</v>
      </c>
      <c r="Z42" s="55" t="s">
        <v>3164</v>
      </c>
      <c r="AA42" s="55" t="s">
        <v>3329</v>
      </c>
      <c r="AB42" s="55" t="s">
        <v>3095</v>
      </c>
      <c r="AC42" s="55" t="s">
        <v>3110</v>
      </c>
      <c r="AD42" s="55" t="s">
        <v>3330</v>
      </c>
      <c r="AE42" s="55" t="s">
        <v>3095</v>
      </c>
      <c r="AF42" s="55" t="s">
        <v>3095</v>
      </c>
      <c r="AG42" s="55" t="s">
        <v>3095</v>
      </c>
      <c r="AH42" s="55" t="s">
        <v>3095</v>
      </c>
      <c r="AI42" s="55" t="s">
        <v>3095</v>
      </c>
      <c r="AJ42" s="55" t="s">
        <v>3095</v>
      </c>
      <c r="AK42" s="55" t="s">
        <v>3095</v>
      </c>
      <c r="AL42" s="55" t="s">
        <v>3095</v>
      </c>
      <c r="AM42" s="55" t="s">
        <v>3095</v>
      </c>
    </row>
    <row r="43" ht="45.0" customHeight="1">
      <c r="A43" s="55" t="s">
        <v>241</v>
      </c>
      <c r="B43" s="55" t="s">
        <v>3331</v>
      </c>
      <c r="C43" s="55" t="str">
        <f>IMAGE("https://raw.githubusercontent.com/ltdimages/images/refs/heads/main/Coordinate0304_00.png")</f>
        <v/>
      </c>
      <c r="D43" s="55" t="s">
        <v>3095</v>
      </c>
      <c r="E43" s="55" t="s">
        <v>3095</v>
      </c>
      <c r="F43" s="55" t="s">
        <v>3095</v>
      </c>
      <c r="G43" s="55" t="s">
        <v>3095</v>
      </c>
      <c r="H43" s="55" t="s">
        <v>3095</v>
      </c>
      <c r="I43" s="56" t="s">
        <v>3095</v>
      </c>
      <c r="J43" s="55" t="s">
        <v>3095</v>
      </c>
      <c r="K43" s="20" t="s">
        <v>3332</v>
      </c>
      <c r="L43" s="20" t="s">
        <v>3097</v>
      </c>
      <c r="M43" s="55" t="s">
        <v>2574</v>
      </c>
      <c r="N43" s="55" t="s">
        <v>3099</v>
      </c>
      <c r="O43" s="55" t="s">
        <v>45</v>
      </c>
      <c r="P43" s="55" t="s">
        <v>45</v>
      </c>
      <c r="Q43" s="55" t="s">
        <v>45</v>
      </c>
      <c r="R43" s="55" t="s">
        <v>49</v>
      </c>
      <c r="S43" s="55" t="s">
        <v>45</v>
      </c>
      <c r="T43" s="55" t="s">
        <v>45</v>
      </c>
      <c r="U43" s="55" t="s">
        <v>3095</v>
      </c>
      <c r="V43" s="55" t="s">
        <v>3095</v>
      </c>
      <c r="W43" s="55" t="s">
        <v>3095</v>
      </c>
      <c r="X43" s="55" t="s">
        <v>3333</v>
      </c>
      <c r="Y43" s="55" t="s">
        <v>3095</v>
      </c>
      <c r="Z43" s="55" t="s">
        <v>3095</v>
      </c>
      <c r="AA43" s="55" t="s">
        <v>3095</v>
      </c>
      <c r="AB43" s="55" t="s">
        <v>3334</v>
      </c>
      <c r="AC43" s="55" t="s">
        <v>3099</v>
      </c>
      <c r="AD43" s="55" t="s">
        <v>3335</v>
      </c>
      <c r="AE43" s="55" t="s">
        <v>3095</v>
      </c>
      <c r="AF43" s="55" t="s">
        <v>3095</v>
      </c>
      <c r="AG43" s="55" t="s">
        <v>3095</v>
      </c>
      <c r="AH43" s="55" t="s">
        <v>3095</v>
      </c>
      <c r="AI43" s="55" t="s">
        <v>3095</v>
      </c>
      <c r="AJ43" s="55" t="s">
        <v>3095</v>
      </c>
      <c r="AK43" s="55" t="s">
        <v>3095</v>
      </c>
      <c r="AL43" s="55" t="s">
        <v>3095</v>
      </c>
      <c r="AM43" s="55" t="s">
        <v>3095</v>
      </c>
    </row>
    <row r="44" ht="45.0" customHeight="1">
      <c r="A44" s="55" t="s">
        <v>245</v>
      </c>
      <c r="B44" s="55" t="s">
        <v>3336</v>
      </c>
      <c r="C44" s="55" t="str">
        <f>IMAGE("https://raw.githubusercontent.com/ltdimages/images/refs/heads/main/Coordinate0143_00.png")</f>
        <v/>
      </c>
      <c r="D44" s="55" t="str">
        <f>IMAGE("https://raw.githubusercontent.com/ltdimages/images/refs/heads/main/Coordinate0143_01.png")</f>
        <v/>
      </c>
      <c r="E44" s="55" t="str">
        <f>IMAGE("https://raw.githubusercontent.com/ltdimages/images/refs/heads/main/Coordinate0143_02.png")</f>
        <v/>
      </c>
      <c r="F44" s="55" t="str">
        <f>IMAGE("https://raw.githubusercontent.com/ltdimages/images/refs/heads/main/Coordinate0143_03.png")</f>
        <v/>
      </c>
      <c r="G44" s="55" t="str">
        <f>IMAGE("https://raw.githubusercontent.com/ltdimages/images/refs/heads/main/Coordinate0143_04.png")</f>
        <v/>
      </c>
      <c r="H44" s="55" t="str">
        <f>IMAGE("https://raw.githubusercontent.com/ltdimages/images/refs/heads/main/Coordinate0143_05.png")</f>
        <v/>
      </c>
      <c r="I44" s="56" t="str">
        <f>IMAGE("https://raw.githubusercontent.com/ltdimages/images/refs/heads/main/Coordinate0143_06.png")</f>
        <v/>
      </c>
      <c r="J44" s="55" t="str">
        <f>IMAGE("https://raw.githubusercontent.com/ltdimages/images/refs/heads/main/Coordinate0143_07.png")</f>
        <v/>
      </c>
      <c r="K44" s="20" t="s">
        <v>3337</v>
      </c>
      <c r="L44" s="20" t="s">
        <v>3097</v>
      </c>
      <c r="M44" s="55" t="s">
        <v>3098</v>
      </c>
      <c r="N44" s="55" t="s">
        <v>3099</v>
      </c>
      <c r="O44" s="55" t="s">
        <v>45</v>
      </c>
      <c r="P44" s="55" t="s">
        <v>45</v>
      </c>
      <c r="Q44" s="55" t="s">
        <v>45</v>
      </c>
      <c r="R44" s="55" t="s">
        <v>45</v>
      </c>
      <c r="S44" s="55" t="s">
        <v>45</v>
      </c>
      <c r="T44" s="55" t="s">
        <v>45</v>
      </c>
      <c r="U44" s="55" t="s">
        <v>3338</v>
      </c>
      <c r="V44" s="55" t="s">
        <v>3095</v>
      </c>
      <c r="W44" s="55" t="s">
        <v>3339</v>
      </c>
      <c r="X44" s="55" t="s">
        <v>3095</v>
      </c>
      <c r="Y44" s="55" t="s">
        <v>3340</v>
      </c>
      <c r="Z44" s="55" t="s">
        <v>3200</v>
      </c>
      <c r="AA44" s="55" t="s">
        <v>3341</v>
      </c>
      <c r="AB44" s="55" t="s">
        <v>3095</v>
      </c>
      <c r="AC44" s="55" t="s">
        <v>3103</v>
      </c>
      <c r="AD44" s="55" t="s">
        <v>3342</v>
      </c>
      <c r="AE44" s="55" t="s">
        <v>3095</v>
      </c>
      <c r="AF44" s="55" t="s">
        <v>3095</v>
      </c>
      <c r="AG44" s="55" t="s">
        <v>3095</v>
      </c>
      <c r="AH44" s="55" t="s">
        <v>3095</v>
      </c>
      <c r="AI44" s="55" t="s">
        <v>3095</v>
      </c>
      <c r="AJ44" s="55" t="s">
        <v>3095</v>
      </c>
      <c r="AK44" s="55" t="s">
        <v>3095</v>
      </c>
      <c r="AL44" s="55" t="s">
        <v>3095</v>
      </c>
      <c r="AM44" s="55" t="s">
        <v>3095</v>
      </c>
    </row>
    <row r="45" ht="45.0" customHeight="1">
      <c r="A45" s="55" t="s">
        <v>249</v>
      </c>
      <c r="B45" s="55" t="s">
        <v>3343</v>
      </c>
      <c r="C45" s="55" t="str">
        <f>IMAGE("https://raw.githubusercontent.com/ltdimages/images/refs/heads/main/Coordinate0031_00.png")</f>
        <v/>
      </c>
      <c r="D45" s="55" t="str">
        <f>IMAGE("https://raw.githubusercontent.com/ltdimages/images/refs/heads/main/Coordinate0031_01.png")</f>
        <v/>
      </c>
      <c r="E45" s="55" t="str">
        <f>IMAGE("https://raw.githubusercontent.com/ltdimages/images/refs/heads/main/Coordinate0031_02.png")</f>
        <v/>
      </c>
      <c r="F45" s="55" t="str">
        <f>IMAGE("https://raw.githubusercontent.com/ltdimages/images/refs/heads/main/Coordinate0031_03.png")</f>
        <v/>
      </c>
      <c r="G45" s="55" t="str">
        <f>IMAGE("https://raw.githubusercontent.com/ltdimages/images/refs/heads/main/Coordinate0031_04.png")</f>
        <v/>
      </c>
      <c r="H45" s="55" t="str">
        <f>IMAGE("https://raw.githubusercontent.com/ltdimages/images/refs/heads/main/Coordinate0031_05.png")</f>
        <v/>
      </c>
      <c r="I45" s="56" t="s">
        <v>3095</v>
      </c>
      <c r="J45" s="55" t="s">
        <v>3095</v>
      </c>
      <c r="K45" s="20" t="s">
        <v>3344</v>
      </c>
      <c r="L45" s="20" t="s">
        <v>3097</v>
      </c>
      <c r="M45" s="55" t="s">
        <v>3098</v>
      </c>
      <c r="N45" s="55" t="s">
        <v>3099</v>
      </c>
      <c r="O45" s="55" t="s">
        <v>45</v>
      </c>
      <c r="P45" s="55" t="s">
        <v>45</v>
      </c>
      <c r="Q45" s="55" t="s">
        <v>45</v>
      </c>
      <c r="R45" s="55" t="s">
        <v>45</v>
      </c>
      <c r="S45" s="55" t="s">
        <v>45</v>
      </c>
      <c r="T45" s="55" t="s">
        <v>45</v>
      </c>
      <c r="U45" s="55" t="s">
        <v>3345</v>
      </c>
      <c r="V45" s="55" t="s">
        <v>3095</v>
      </c>
      <c r="W45" s="55" t="s">
        <v>3216</v>
      </c>
      <c r="X45" s="55" t="s">
        <v>3095</v>
      </c>
      <c r="Y45" s="55" t="s">
        <v>3095</v>
      </c>
      <c r="Z45" s="55" t="s">
        <v>3193</v>
      </c>
      <c r="AA45" s="55" t="s">
        <v>3346</v>
      </c>
      <c r="AB45" s="55" t="s">
        <v>3095</v>
      </c>
      <c r="AC45" s="55" t="s">
        <v>3103</v>
      </c>
      <c r="AD45" s="55" t="s">
        <v>3347</v>
      </c>
      <c r="AE45" s="55" t="s">
        <v>3095</v>
      </c>
      <c r="AF45" s="55" t="s">
        <v>3095</v>
      </c>
      <c r="AG45" s="55" t="s">
        <v>3095</v>
      </c>
      <c r="AH45" s="55" t="s">
        <v>3095</v>
      </c>
      <c r="AI45" s="55" t="s">
        <v>3095</v>
      </c>
      <c r="AJ45" s="55" t="s">
        <v>3095</v>
      </c>
      <c r="AK45" s="55" t="s">
        <v>3095</v>
      </c>
      <c r="AL45" s="55" t="s">
        <v>3095</v>
      </c>
      <c r="AM45" s="55" t="s">
        <v>3095</v>
      </c>
    </row>
    <row r="46" ht="45.0" customHeight="1">
      <c r="A46" s="55" t="s">
        <v>253</v>
      </c>
      <c r="B46" s="55" t="s">
        <v>3348</v>
      </c>
      <c r="C46" s="55" t="str">
        <f>IMAGE("https://raw.githubusercontent.com/ltdimages/images/refs/heads/main/Coordinate0285_00.png")</f>
        <v/>
      </c>
      <c r="D46" s="55" t="str">
        <f>IMAGE("https://raw.githubusercontent.com/ltdimages/images/refs/heads/main/Coordinate0285_01.png")</f>
        <v/>
      </c>
      <c r="E46" s="55" t="str">
        <f>IMAGE("https://raw.githubusercontent.com/ltdimages/images/refs/heads/main/Coordinate0285_02.png")</f>
        <v/>
      </c>
      <c r="F46" s="55" t="str">
        <f>IMAGE("https://raw.githubusercontent.com/ltdimages/images/refs/heads/main/Coordinate0285_03.png")</f>
        <v/>
      </c>
      <c r="G46" s="55" t="str">
        <f>IMAGE("https://raw.githubusercontent.com/ltdimages/images/refs/heads/main/Coordinate0285_04.png")</f>
        <v/>
      </c>
      <c r="H46" s="55" t="str">
        <f>IMAGE("https://raw.githubusercontent.com/ltdimages/images/refs/heads/main/Coordinate0285_05.png")</f>
        <v/>
      </c>
      <c r="I46" s="56" t="str">
        <f>IMAGE("https://raw.githubusercontent.com/ltdimages/images/refs/heads/main/Coordinate0285_06.png")</f>
        <v/>
      </c>
      <c r="J46" s="55" t="str">
        <f>IMAGE("https://raw.githubusercontent.com/ltdimages/images/refs/heads/main/Coordinate0285_07.png")</f>
        <v/>
      </c>
      <c r="K46" s="20" t="s">
        <v>3349</v>
      </c>
      <c r="L46" s="20" t="s">
        <v>3097</v>
      </c>
      <c r="M46" s="55" t="s">
        <v>3098</v>
      </c>
      <c r="N46" s="55" t="s">
        <v>3114</v>
      </c>
      <c r="O46" s="55" t="s">
        <v>45</v>
      </c>
      <c r="P46" s="55" t="s">
        <v>45</v>
      </c>
      <c r="Q46" s="55" t="s">
        <v>45</v>
      </c>
      <c r="R46" s="55" t="s">
        <v>45</v>
      </c>
      <c r="S46" s="55" t="s">
        <v>45</v>
      </c>
      <c r="T46" s="55" t="s">
        <v>45</v>
      </c>
      <c r="U46" s="55" t="s">
        <v>3350</v>
      </c>
      <c r="V46" s="55" t="s">
        <v>3095</v>
      </c>
      <c r="W46" s="55" t="s">
        <v>3351</v>
      </c>
      <c r="X46" s="55" t="s">
        <v>3095</v>
      </c>
      <c r="Y46" s="55" t="s">
        <v>3095</v>
      </c>
      <c r="Z46" s="55" t="s">
        <v>3352</v>
      </c>
      <c r="AA46" s="55" t="s">
        <v>3157</v>
      </c>
      <c r="AB46" s="55" t="s">
        <v>3095</v>
      </c>
      <c r="AC46" s="55" t="s">
        <v>3103</v>
      </c>
      <c r="AD46" s="55" t="s">
        <v>3353</v>
      </c>
      <c r="AE46" s="55" t="s">
        <v>3095</v>
      </c>
      <c r="AF46" s="55" t="s">
        <v>3095</v>
      </c>
      <c r="AG46" s="55" t="s">
        <v>3095</v>
      </c>
      <c r="AH46" s="55" t="s">
        <v>3095</v>
      </c>
      <c r="AI46" s="55" t="s">
        <v>3095</v>
      </c>
      <c r="AJ46" s="55" t="s">
        <v>3095</v>
      </c>
      <c r="AK46" s="55" t="s">
        <v>3095</v>
      </c>
      <c r="AL46" s="55" t="s">
        <v>3095</v>
      </c>
      <c r="AM46" s="55" t="s">
        <v>3095</v>
      </c>
    </row>
    <row r="47" ht="45.0" customHeight="1">
      <c r="A47" s="55" t="s">
        <v>257</v>
      </c>
      <c r="B47" s="55" t="s">
        <v>3354</v>
      </c>
      <c r="C47" s="55" t="str">
        <f>IMAGE("https://raw.githubusercontent.com/ltdimages/images/refs/heads/main/Coordinate0029_00.png")</f>
        <v/>
      </c>
      <c r="D47" s="55" t="str">
        <f>IMAGE("https://raw.githubusercontent.com/ltdimages/images/refs/heads/main/Coordinate0029_01.png")</f>
        <v/>
      </c>
      <c r="E47" s="55" t="str">
        <f>IMAGE("https://raw.githubusercontent.com/ltdimages/images/refs/heads/main/Coordinate0029_02.png")</f>
        <v/>
      </c>
      <c r="F47" s="55" t="str">
        <f>IMAGE("https://raw.githubusercontent.com/ltdimages/images/refs/heads/main/Coordinate0029_03.png")</f>
        <v/>
      </c>
      <c r="G47" s="55" t="str">
        <f>IMAGE("https://raw.githubusercontent.com/ltdimages/images/refs/heads/main/Coordinate0029_04.png")</f>
        <v/>
      </c>
      <c r="H47" s="55" t="str">
        <f>IMAGE("https://raw.githubusercontent.com/ltdimages/images/refs/heads/main/Coordinate0029_05.png")</f>
        <v/>
      </c>
      <c r="I47" s="56" t="s">
        <v>3095</v>
      </c>
      <c r="J47" s="55" t="s">
        <v>3095</v>
      </c>
      <c r="K47" s="20" t="s">
        <v>3204</v>
      </c>
      <c r="L47" s="20" t="s">
        <v>3097</v>
      </c>
      <c r="M47" s="55" t="s">
        <v>3098</v>
      </c>
      <c r="N47" s="55" t="s">
        <v>3099</v>
      </c>
      <c r="O47" s="55" t="s">
        <v>45</v>
      </c>
      <c r="P47" s="55" t="s">
        <v>45</v>
      </c>
      <c r="Q47" s="55" t="s">
        <v>45</v>
      </c>
      <c r="R47" s="55" t="s">
        <v>45</v>
      </c>
      <c r="S47" s="55" t="s">
        <v>45</v>
      </c>
      <c r="T47" s="55" t="s">
        <v>45</v>
      </c>
      <c r="U47" s="55" t="s">
        <v>3355</v>
      </c>
      <c r="V47" s="55" t="s">
        <v>3095</v>
      </c>
      <c r="W47" s="55" t="s">
        <v>3155</v>
      </c>
      <c r="X47" s="55" t="s">
        <v>3095</v>
      </c>
      <c r="Y47" s="55" t="s">
        <v>3095</v>
      </c>
      <c r="Z47" s="55" t="s">
        <v>3296</v>
      </c>
      <c r="AA47" s="55" t="s">
        <v>3211</v>
      </c>
      <c r="AB47" s="55" t="s">
        <v>3095</v>
      </c>
      <c r="AC47" s="55" t="s">
        <v>3103</v>
      </c>
      <c r="AD47" s="55" t="s">
        <v>3356</v>
      </c>
      <c r="AE47" s="55" t="s">
        <v>3095</v>
      </c>
      <c r="AF47" s="55" t="s">
        <v>3095</v>
      </c>
      <c r="AG47" s="55" t="s">
        <v>3095</v>
      </c>
      <c r="AH47" s="55" t="s">
        <v>3095</v>
      </c>
      <c r="AI47" s="55" t="s">
        <v>3095</v>
      </c>
      <c r="AJ47" s="55" t="s">
        <v>3095</v>
      </c>
      <c r="AK47" s="55" t="s">
        <v>3095</v>
      </c>
      <c r="AL47" s="55" t="s">
        <v>3095</v>
      </c>
      <c r="AM47" s="55" t="s">
        <v>3095</v>
      </c>
    </row>
    <row r="48" ht="45.0" customHeight="1">
      <c r="A48" s="55" t="s">
        <v>261</v>
      </c>
      <c r="B48" s="55" t="s">
        <v>3357</v>
      </c>
      <c r="C48" s="55" t="str">
        <f>IMAGE("https://raw.githubusercontent.com/ltdimages/images/refs/heads/main/Coordinate0069_00.png")</f>
        <v/>
      </c>
      <c r="D48" s="55" t="str">
        <f>IMAGE("https://raw.githubusercontent.com/ltdimages/images/refs/heads/main/Coordinate0069_01.png")</f>
        <v/>
      </c>
      <c r="E48" s="55" t="str">
        <f>IMAGE("https://raw.githubusercontent.com/ltdimages/images/refs/heads/main/Coordinate0069_02.png")</f>
        <v/>
      </c>
      <c r="F48" s="55" t="str">
        <f>IMAGE("https://raw.githubusercontent.com/ltdimages/images/refs/heads/main/Coordinate0069_03.png")</f>
        <v/>
      </c>
      <c r="G48" s="55" t="str">
        <f>IMAGE("https://raw.githubusercontent.com/ltdimages/images/refs/heads/main/Coordinate0069_04.png")</f>
        <v/>
      </c>
      <c r="H48" s="55" t="str">
        <f>IMAGE("https://raw.githubusercontent.com/ltdimages/images/refs/heads/main/Coordinate0069_05.png")</f>
        <v/>
      </c>
      <c r="I48" s="56" t="str">
        <f>IMAGE("https://raw.githubusercontent.com/ltdimages/images/refs/heads/main/Coordinate0069_06.png")</f>
        <v/>
      </c>
      <c r="J48" s="55" t="str">
        <f>IMAGE("https://raw.githubusercontent.com/ltdimages/images/refs/heads/main/Coordinate0069_07.png")</f>
        <v/>
      </c>
      <c r="K48" s="20" t="s">
        <v>3358</v>
      </c>
      <c r="L48" s="20" t="s">
        <v>3097</v>
      </c>
      <c r="M48" s="55" t="s">
        <v>3098</v>
      </c>
      <c r="N48" s="55" t="s">
        <v>3099</v>
      </c>
      <c r="O48" s="55" t="s">
        <v>45</v>
      </c>
      <c r="P48" s="55" t="s">
        <v>45</v>
      </c>
      <c r="Q48" s="55" t="s">
        <v>45</v>
      </c>
      <c r="R48" s="55" t="s">
        <v>45</v>
      </c>
      <c r="S48" s="55" t="s">
        <v>45</v>
      </c>
      <c r="T48" s="55" t="s">
        <v>45</v>
      </c>
      <c r="U48" s="55" t="s">
        <v>3215</v>
      </c>
      <c r="V48" s="55" t="s">
        <v>3095</v>
      </c>
      <c r="W48" s="55" t="s">
        <v>3359</v>
      </c>
      <c r="X48" s="55" t="s">
        <v>3095</v>
      </c>
      <c r="Y48" s="55" t="s">
        <v>3095</v>
      </c>
      <c r="Z48" s="55" t="s">
        <v>3118</v>
      </c>
      <c r="AA48" s="55" t="s">
        <v>3360</v>
      </c>
      <c r="AB48" s="55" t="s">
        <v>3095</v>
      </c>
      <c r="AC48" s="55" t="s">
        <v>3103</v>
      </c>
      <c r="AD48" s="55" t="s">
        <v>3361</v>
      </c>
      <c r="AE48" s="55" t="s">
        <v>3095</v>
      </c>
      <c r="AF48" s="55" t="s">
        <v>3095</v>
      </c>
      <c r="AG48" s="55" t="s">
        <v>3095</v>
      </c>
      <c r="AH48" s="55" t="s">
        <v>3095</v>
      </c>
      <c r="AI48" s="55" t="s">
        <v>3095</v>
      </c>
      <c r="AJ48" s="55" t="s">
        <v>3095</v>
      </c>
      <c r="AK48" s="55" t="s">
        <v>3095</v>
      </c>
      <c r="AL48" s="55" t="s">
        <v>3095</v>
      </c>
      <c r="AM48" s="55" t="s">
        <v>3095</v>
      </c>
    </row>
    <row r="49" ht="45.0" customHeight="1">
      <c r="A49" s="55" t="s">
        <v>265</v>
      </c>
      <c r="B49" s="55" t="s">
        <v>3362</v>
      </c>
      <c r="C49" s="55" t="str">
        <f>IMAGE("https://raw.githubusercontent.com/ltdimages/images/refs/heads/main/Coordinate0330_00.png")</f>
        <v/>
      </c>
      <c r="D49" s="55" t="str">
        <f>IMAGE("https://raw.githubusercontent.com/ltdimages/images/refs/heads/main/Coordinate0330_01.png")</f>
        <v/>
      </c>
      <c r="E49" s="55" t="str">
        <f>IMAGE("https://raw.githubusercontent.com/ltdimages/images/refs/heads/main/Coordinate0330_02.png")</f>
        <v/>
      </c>
      <c r="F49" s="55" t="str">
        <f>IMAGE("https://raw.githubusercontent.com/ltdimages/images/refs/heads/main/Coordinate0330_03.png")</f>
        <v/>
      </c>
      <c r="G49" s="55" t="str">
        <f>IMAGE("https://raw.githubusercontent.com/ltdimages/images/refs/heads/main/Coordinate0330_04.png")</f>
        <v/>
      </c>
      <c r="H49" s="55" t="str">
        <f>IMAGE("https://raw.githubusercontent.com/ltdimages/images/refs/heads/main/Coordinate0330_05.png")</f>
        <v/>
      </c>
      <c r="I49" s="56" t="str">
        <f>IMAGE("https://raw.githubusercontent.com/ltdimages/images/refs/heads/main/Coordinate0330_06.png")</f>
        <v/>
      </c>
      <c r="J49" s="55" t="str">
        <f>IMAGE("https://raw.githubusercontent.com/ltdimages/images/refs/heads/main/Coordinate0330_07.png")</f>
        <v/>
      </c>
      <c r="K49" s="20" t="s">
        <v>3349</v>
      </c>
      <c r="L49" s="20" t="s">
        <v>3097</v>
      </c>
      <c r="M49" s="55" t="s">
        <v>3098</v>
      </c>
      <c r="N49" s="55" t="s">
        <v>3099</v>
      </c>
      <c r="O49" s="55" t="s">
        <v>45</v>
      </c>
      <c r="P49" s="55" t="s">
        <v>45</v>
      </c>
      <c r="Q49" s="55" t="s">
        <v>45</v>
      </c>
      <c r="R49" s="55" t="s">
        <v>45</v>
      </c>
      <c r="S49" s="55" t="s">
        <v>45</v>
      </c>
      <c r="T49" s="55" t="s">
        <v>45</v>
      </c>
      <c r="U49" s="55" t="s">
        <v>3363</v>
      </c>
      <c r="V49" s="55" t="s">
        <v>3095</v>
      </c>
      <c r="W49" s="55" t="s">
        <v>3364</v>
      </c>
      <c r="X49" s="55" t="s">
        <v>3095</v>
      </c>
      <c r="Y49" s="55" t="s">
        <v>3095</v>
      </c>
      <c r="Z49" s="55" t="s">
        <v>3365</v>
      </c>
      <c r="AA49" s="55" t="s">
        <v>3366</v>
      </c>
      <c r="AB49" s="55" t="s">
        <v>3095</v>
      </c>
      <c r="AC49" s="55" t="s">
        <v>3103</v>
      </c>
      <c r="AD49" s="55" t="s">
        <v>3367</v>
      </c>
      <c r="AE49" s="55" t="s">
        <v>3095</v>
      </c>
      <c r="AF49" s="55" t="s">
        <v>3095</v>
      </c>
      <c r="AG49" s="55" t="s">
        <v>3095</v>
      </c>
      <c r="AH49" s="55" t="s">
        <v>3095</v>
      </c>
      <c r="AI49" s="55" t="s">
        <v>3095</v>
      </c>
      <c r="AJ49" s="55" t="s">
        <v>3095</v>
      </c>
      <c r="AK49" s="55" t="s">
        <v>3095</v>
      </c>
      <c r="AL49" s="55" t="s">
        <v>3095</v>
      </c>
      <c r="AM49" s="55" t="s">
        <v>3095</v>
      </c>
    </row>
    <row r="50" ht="45.0" customHeight="1">
      <c r="A50" s="55" t="s">
        <v>269</v>
      </c>
      <c r="B50" s="55" t="s">
        <v>3368</v>
      </c>
      <c r="C50" s="55" t="str">
        <f>IMAGE("https://raw.githubusercontent.com/ltdimages/images/refs/heads/main/Coordinate0287_00.png")</f>
        <v/>
      </c>
      <c r="D50" s="55" t="str">
        <f>IMAGE("https://raw.githubusercontent.com/ltdimages/images/refs/heads/main/Coordinate0287_01.png")</f>
        <v/>
      </c>
      <c r="E50" s="55" t="str">
        <f>IMAGE("https://raw.githubusercontent.com/ltdimages/images/refs/heads/main/Coordinate0287_02.png")</f>
        <v/>
      </c>
      <c r="F50" s="55" t="str">
        <f>IMAGE("https://raw.githubusercontent.com/ltdimages/images/refs/heads/main/Coordinate0287_03.png")</f>
        <v/>
      </c>
      <c r="G50" s="55" t="str">
        <f>IMAGE("https://raw.githubusercontent.com/ltdimages/images/refs/heads/main/Coordinate0287_04.png")</f>
        <v/>
      </c>
      <c r="H50" s="55" t="s">
        <v>3095</v>
      </c>
      <c r="I50" s="56" t="s">
        <v>3095</v>
      </c>
      <c r="J50" s="55" t="s">
        <v>3095</v>
      </c>
      <c r="K50" s="20" t="s">
        <v>3369</v>
      </c>
      <c r="L50" s="20" t="s">
        <v>3097</v>
      </c>
      <c r="M50" s="55" t="s">
        <v>3098</v>
      </c>
      <c r="N50" s="55" t="s">
        <v>3114</v>
      </c>
      <c r="O50" s="55" t="s">
        <v>45</v>
      </c>
      <c r="P50" s="55" t="s">
        <v>45</v>
      </c>
      <c r="Q50" s="55" t="s">
        <v>45</v>
      </c>
      <c r="R50" s="55" t="s">
        <v>45</v>
      </c>
      <c r="S50" s="55" t="s">
        <v>45</v>
      </c>
      <c r="T50" s="55" t="s">
        <v>45</v>
      </c>
      <c r="U50" s="55" t="s">
        <v>3253</v>
      </c>
      <c r="V50" s="55" t="s">
        <v>3095</v>
      </c>
      <c r="W50" s="55" t="s">
        <v>3370</v>
      </c>
      <c r="X50" s="55" t="s">
        <v>3095</v>
      </c>
      <c r="Y50" s="55" t="s">
        <v>3371</v>
      </c>
      <c r="Z50" s="55" t="s">
        <v>3156</v>
      </c>
      <c r="AA50" s="55" t="s">
        <v>3372</v>
      </c>
      <c r="AB50" s="55" t="s">
        <v>3095</v>
      </c>
      <c r="AC50" s="55" t="s">
        <v>3103</v>
      </c>
      <c r="AD50" s="55" t="s">
        <v>3373</v>
      </c>
      <c r="AE50" s="55" t="s">
        <v>3095</v>
      </c>
      <c r="AF50" s="55" t="s">
        <v>3095</v>
      </c>
      <c r="AG50" s="55" t="s">
        <v>3095</v>
      </c>
      <c r="AH50" s="55" t="s">
        <v>3095</v>
      </c>
      <c r="AI50" s="55" t="s">
        <v>3095</v>
      </c>
      <c r="AJ50" s="55" t="s">
        <v>3095</v>
      </c>
      <c r="AK50" s="55" t="s">
        <v>3095</v>
      </c>
      <c r="AL50" s="55" t="s">
        <v>3095</v>
      </c>
      <c r="AM50" s="55" t="s">
        <v>3095</v>
      </c>
    </row>
    <row r="51" ht="45.0" customHeight="1">
      <c r="A51" s="55" t="s">
        <v>273</v>
      </c>
      <c r="B51" s="55" t="s">
        <v>3374</v>
      </c>
      <c r="C51" s="55" t="str">
        <f>IMAGE("https://raw.githubusercontent.com/ltdimages/images/refs/heads/main/Coordinate0258_00.png")</f>
        <v/>
      </c>
      <c r="D51" s="55" t="str">
        <f>IMAGE("https://raw.githubusercontent.com/ltdimages/images/refs/heads/main/Coordinate0258_01.png")</f>
        <v/>
      </c>
      <c r="E51" s="55" t="str">
        <f>IMAGE("https://raw.githubusercontent.com/ltdimages/images/refs/heads/main/Coordinate0258_02.png")</f>
        <v/>
      </c>
      <c r="F51" s="55" t="str">
        <f>IMAGE("https://raw.githubusercontent.com/ltdimages/images/refs/heads/main/Coordinate0258_03.png")</f>
        <v/>
      </c>
      <c r="G51" s="55" t="str">
        <f>IMAGE("https://raw.githubusercontent.com/ltdimages/images/refs/heads/main/Coordinate0258_04.png")</f>
        <v/>
      </c>
      <c r="H51" s="55" t="str">
        <f>IMAGE("https://raw.githubusercontent.com/ltdimages/images/refs/heads/main/Coordinate0258_05.png")</f>
        <v/>
      </c>
      <c r="I51" s="56" t="s">
        <v>3095</v>
      </c>
      <c r="J51" s="55" t="s">
        <v>3095</v>
      </c>
      <c r="K51" s="20" t="s">
        <v>3375</v>
      </c>
      <c r="L51" s="20" t="s">
        <v>3097</v>
      </c>
      <c r="M51" s="55" t="s">
        <v>3098</v>
      </c>
      <c r="N51" s="55" t="s">
        <v>3114</v>
      </c>
      <c r="O51" s="55" t="s">
        <v>45</v>
      </c>
      <c r="P51" s="55" t="s">
        <v>45</v>
      </c>
      <c r="Q51" s="55" t="s">
        <v>45</v>
      </c>
      <c r="R51" s="55" t="s">
        <v>45</v>
      </c>
      <c r="S51" s="55" t="s">
        <v>45</v>
      </c>
      <c r="T51" s="55" t="s">
        <v>45</v>
      </c>
      <c r="U51" s="55" t="s">
        <v>3376</v>
      </c>
      <c r="V51" s="55" t="s">
        <v>3095</v>
      </c>
      <c r="W51" s="55" t="s">
        <v>3351</v>
      </c>
      <c r="X51" s="55" t="s">
        <v>3095</v>
      </c>
      <c r="Y51" s="55" t="s">
        <v>3095</v>
      </c>
      <c r="Z51" s="55" t="s">
        <v>3352</v>
      </c>
      <c r="AA51" s="55" t="s">
        <v>3341</v>
      </c>
      <c r="AB51" s="55" t="s">
        <v>3095</v>
      </c>
      <c r="AC51" s="55" t="s">
        <v>3103</v>
      </c>
      <c r="AD51" s="55" t="s">
        <v>3377</v>
      </c>
      <c r="AE51" s="55" t="s">
        <v>3095</v>
      </c>
      <c r="AF51" s="55" t="s">
        <v>3095</v>
      </c>
      <c r="AG51" s="55" t="s">
        <v>3095</v>
      </c>
      <c r="AH51" s="55" t="s">
        <v>3095</v>
      </c>
      <c r="AI51" s="55" t="s">
        <v>3095</v>
      </c>
      <c r="AJ51" s="55" t="s">
        <v>3095</v>
      </c>
      <c r="AK51" s="55" t="s">
        <v>3095</v>
      </c>
      <c r="AL51" s="55" t="s">
        <v>3095</v>
      </c>
      <c r="AM51" s="55" t="s">
        <v>3095</v>
      </c>
    </row>
    <row r="52" ht="45.0" customHeight="1">
      <c r="A52" s="55" t="s">
        <v>277</v>
      </c>
      <c r="B52" s="55" t="s">
        <v>3378</v>
      </c>
      <c r="C52" s="55" t="str">
        <f>IMAGE("https://raw.githubusercontent.com/ltdimages/images/refs/heads/main/Coordinate0276_00.png")</f>
        <v/>
      </c>
      <c r="D52" s="55" t="str">
        <f>IMAGE("https://raw.githubusercontent.com/ltdimages/images/refs/heads/main/Coordinate0276_01.png")</f>
        <v/>
      </c>
      <c r="E52" s="55" t="str">
        <f>IMAGE("https://raw.githubusercontent.com/ltdimages/images/refs/heads/main/Coordinate0276_02.png")</f>
        <v/>
      </c>
      <c r="F52" s="55" t="s">
        <v>3095</v>
      </c>
      <c r="G52" s="55" t="s">
        <v>3095</v>
      </c>
      <c r="H52" s="55" t="s">
        <v>3095</v>
      </c>
      <c r="I52" s="56" t="s">
        <v>3095</v>
      </c>
      <c r="J52" s="55" t="s">
        <v>3095</v>
      </c>
      <c r="K52" s="20" t="s">
        <v>3379</v>
      </c>
      <c r="L52" s="20" t="s">
        <v>3097</v>
      </c>
      <c r="M52" s="55" t="s">
        <v>3098</v>
      </c>
      <c r="N52" s="55" t="s">
        <v>3099</v>
      </c>
      <c r="O52" s="55" t="s">
        <v>45</v>
      </c>
      <c r="P52" s="55" t="s">
        <v>45</v>
      </c>
      <c r="Q52" s="55" t="s">
        <v>45</v>
      </c>
      <c r="R52" s="55" t="s">
        <v>45</v>
      </c>
      <c r="S52" s="55" t="s">
        <v>45</v>
      </c>
      <c r="T52" s="55" t="s">
        <v>45</v>
      </c>
      <c r="U52" s="55" t="s">
        <v>3380</v>
      </c>
      <c r="V52" s="55" t="s">
        <v>3095</v>
      </c>
      <c r="W52" s="55" t="s">
        <v>3381</v>
      </c>
      <c r="X52" s="55" t="s">
        <v>3382</v>
      </c>
      <c r="Y52" s="55" t="s">
        <v>3095</v>
      </c>
      <c r="Z52" s="55" t="s">
        <v>3383</v>
      </c>
      <c r="AA52" s="55" t="s">
        <v>3384</v>
      </c>
      <c r="AB52" s="55" t="s">
        <v>3095</v>
      </c>
      <c r="AC52" s="55" t="s">
        <v>3103</v>
      </c>
      <c r="AD52" s="55" t="s">
        <v>3385</v>
      </c>
      <c r="AE52" s="55" t="s">
        <v>3095</v>
      </c>
      <c r="AF52" s="55" t="s">
        <v>3095</v>
      </c>
      <c r="AG52" s="55" t="s">
        <v>3095</v>
      </c>
      <c r="AH52" s="55" t="s">
        <v>3095</v>
      </c>
      <c r="AI52" s="55" t="s">
        <v>3095</v>
      </c>
      <c r="AJ52" s="55" t="s">
        <v>3095</v>
      </c>
      <c r="AK52" s="55" t="s">
        <v>3095</v>
      </c>
      <c r="AL52" s="55" t="s">
        <v>3095</v>
      </c>
      <c r="AM52" s="55" t="s">
        <v>3095</v>
      </c>
    </row>
    <row r="53" ht="45.0" customHeight="1">
      <c r="A53" s="55" t="s">
        <v>281</v>
      </c>
      <c r="B53" s="55" t="s">
        <v>3386</v>
      </c>
      <c r="C53" s="55" t="str">
        <f>IMAGE("https://raw.githubusercontent.com/ltdimages/images/refs/heads/main/Coordinate0087_00.png")</f>
        <v/>
      </c>
      <c r="D53" s="55" t="str">
        <f>IMAGE("https://raw.githubusercontent.com/ltdimages/images/refs/heads/main/Coordinate0087_01.png")</f>
        <v/>
      </c>
      <c r="E53" s="55" t="str">
        <f>IMAGE("https://raw.githubusercontent.com/ltdimages/images/refs/heads/main/Coordinate0087_02.png")</f>
        <v/>
      </c>
      <c r="F53" s="55" t="str">
        <f>IMAGE("https://raw.githubusercontent.com/ltdimages/images/refs/heads/main/Coordinate0087_03.png")</f>
        <v/>
      </c>
      <c r="G53" s="55" t="s">
        <v>3095</v>
      </c>
      <c r="H53" s="55" t="s">
        <v>3095</v>
      </c>
      <c r="I53" s="56" t="s">
        <v>3095</v>
      </c>
      <c r="J53" s="55" t="s">
        <v>3095</v>
      </c>
      <c r="K53" s="20" t="s">
        <v>3387</v>
      </c>
      <c r="L53" s="20" t="s">
        <v>3097</v>
      </c>
      <c r="M53" s="55" t="s">
        <v>3098</v>
      </c>
      <c r="N53" s="55" t="s">
        <v>3099</v>
      </c>
      <c r="O53" s="55" t="s">
        <v>45</v>
      </c>
      <c r="P53" s="55" t="s">
        <v>45</v>
      </c>
      <c r="Q53" s="55" t="s">
        <v>45</v>
      </c>
      <c r="R53" s="55" t="s">
        <v>45</v>
      </c>
      <c r="S53" s="55" t="s">
        <v>45</v>
      </c>
      <c r="T53" s="55" t="s">
        <v>45</v>
      </c>
      <c r="U53" s="55" t="s">
        <v>3095</v>
      </c>
      <c r="V53" s="55" t="s">
        <v>3388</v>
      </c>
      <c r="W53" s="55" t="s">
        <v>3095</v>
      </c>
      <c r="X53" s="55" t="s">
        <v>3126</v>
      </c>
      <c r="Y53" s="55" t="s">
        <v>3095</v>
      </c>
      <c r="Z53" s="55" t="s">
        <v>3118</v>
      </c>
      <c r="AA53" s="55" t="s">
        <v>3389</v>
      </c>
      <c r="AB53" s="55" t="s">
        <v>3095</v>
      </c>
      <c r="AC53" s="55" t="s">
        <v>3110</v>
      </c>
      <c r="AD53" s="55" t="s">
        <v>3390</v>
      </c>
      <c r="AE53" s="55" t="s">
        <v>3095</v>
      </c>
      <c r="AF53" s="55" t="s">
        <v>3095</v>
      </c>
      <c r="AG53" s="55" t="s">
        <v>3095</v>
      </c>
      <c r="AH53" s="55" t="s">
        <v>3095</v>
      </c>
      <c r="AI53" s="55" t="s">
        <v>3095</v>
      </c>
      <c r="AJ53" s="55" t="s">
        <v>3095</v>
      </c>
      <c r="AK53" s="55" t="s">
        <v>3095</v>
      </c>
      <c r="AL53" s="55" t="s">
        <v>3095</v>
      </c>
      <c r="AM53" s="55" t="s">
        <v>3095</v>
      </c>
    </row>
    <row r="54" ht="45.0" customHeight="1">
      <c r="A54" s="55" t="s">
        <v>285</v>
      </c>
      <c r="B54" s="55" t="s">
        <v>3391</v>
      </c>
      <c r="C54" s="55" t="str">
        <f>IMAGE("https://raw.githubusercontent.com/ltdimages/images/refs/heads/main/Coordinate0207_00.png")</f>
        <v/>
      </c>
      <c r="D54" s="55" t="str">
        <f>IMAGE("https://raw.githubusercontent.com/ltdimages/images/refs/heads/main/Coordinate0207_01.png")</f>
        <v/>
      </c>
      <c r="E54" s="55" t="str">
        <f>IMAGE("https://raw.githubusercontent.com/ltdimages/images/refs/heads/main/Coordinate0207_02.png")</f>
        <v/>
      </c>
      <c r="F54" s="55" t="str">
        <f>IMAGE("https://raw.githubusercontent.com/ltdimages/images/refs/heads/main/Coordinate0207_03.png")</f>
        <v/>
      </c>
      <c r="G54" s="55" t="s">
        <v>3095</v>
      </c>
      <c r="H54" s="55" t="s">
        <v>3095</v>
      </c>
      <c r="I54" s="56" t="s">
        <v>3095</v>
      </c>
      <c r="J54" s="55" t="s">
        <v>3095</v>
      </c>
      <c r="K54" s="20" t="s">
        <v>3247</v>
      </c>
      <c r="L54" s="20" t="s">
        <v>3097</v>
      </c>
      <c r="M54" s="55" t="s">
        <v>2574</v>
      </c>
      <c r="N54" s="55" t="s">
        <v>3099</v>
      </c>
      <c r="O54" s="55" t="s">
        <v>45</v>
      </c>
      <c r="P54" s="55" t="s">
        <v>45</v>
      </c>
      <c r="Q54" s="55" t="s">
        <v>45</v>
      </c>
      <c r="R54" s="55" t="s">
        <v>49</v>
      </c>
      <c r="S54" s="55" t="s">
        <v>45</v>
      </c>
      <c r="T54" s="55" t="s">
        <v>45</v>
      </c>
      <c r="U54" s="55" t="s">
        <v>3095</v>
      </c>
      <c r="V54" s="55" t="s">
        <v>3095</v>
      </c>
      <c r="W54" s="55" t="s">
        <v>3095</v>
      </c>
      <c r="X54" s="55" t="s">
        <v>3392</v>
      </c>
      <c r="Y54" s="55" t="s">
        <v>3095</v>
      </c>
      <c r="Z54" s="55" t="s">
        <v>3095</v>
      </c>
      <c r="AA54" s="55" t="s">
        <v>3095</v>
      </c>
      <c r="AB54" s="55" t="s">
        <v>3393</v>
      </c>
      <c r="AC54" s="55" t="s">
        <v>3099</v>
      </c>
      <c r="AD54" s="55" t="s">
        <v>3394</v>
      </c>
      <c r="AE54" s="55" t="s">
        <v>3095</v>
      </c>
      <c r="AF54" s="55" t="s">
        <v>3095</v>
      </c>
      <c r="AG54" s="55" t="s">
        <v>3095</v>
      </c>
      <c r="AH54" s="55" t="s">
        <v>3095</v>
      </c>
      <c r="AI54" s="55" t="s">
        <v>3095</v>
      </c>
      <c r="AJ54" s="55" t="s">
        <v>3095</v>
      </c>
      <c r="AK54" s="55" t="s">
        <v>3095</v>
      </c>
      <c r="AL54" s="55" t="s">
        <v>3095</v>
      </c>
      <c r="AM54" s="55" t="s">
        <v>3095</v>
      </c>
    </row>
    <row r="55" ht="45.0" customHeight="1">
      <c r="A55" s="55" t="s">
        <v>289</v>
      </c>
      <c r="B55" s="55" t="s">
        <v>3395</v>
      </c>
      <c r="C55" s="55" t="str">
        <f>IMAGE("https://raw.githubusercontent.com/ltdimages/images/refs/heads/main/Coordinate0046_00.png")</f>
        <v/>
      </c>
      <c r="D55" s="55" t="str">
        <f>IMAGE("https://raw.githubusercontent.com/ltdimages/images/refs/heads/main/Coordinate0046_01.png")</f>
        <v/>
      </c>
      <c r="E55" s="55" t="str">
        <f>IMAGE("https://raw.githubusercontent.com/ltdimages/images/refs/heads/main/Coordinate0046_02.png")</f>
        <v/>
      </c>
      <c r="F55" s="55" t="str">
        <f>IMAGE("https://raw.githubusercontent.com/ltdimages/images/refs/heads/main/Coordinate0046_03.png")</f>
        <v/>
      </c>
      <c r="G55" s="55" t="str">
        <f>IMAGE("https://raw.githubusercontent.com/ltdimages/images/refs/heads/main/Coordinate0046_04.png")</f>
        <v/>
      </c>
      <c r="H55" s="55" t="str">
        <f>IMAGE("https://raw.githubusercontent.com/ltdimages/images/refs/heads/main/Coordinate0046_05.png")</f>
        <v/>
      </c>
      <c r="I55" s="56" t="s">
        <v>3095</v>
      </c>
      <c r="J55" s="55" t="s">
        <v>3095</v>
      </c>
      <c r="K55" s="20" t="s">
        <v>3396</v>
      </c>
      <c r="L55" s="20" t="s">
        <v>3097</v>
      </c>
      <c r="M55" s="55" t="s">
        <v>3098</v>
      </c>
      <c r="N55" s="55" t="s">
        <v>3114</v>
      </c>
      <c r="O55" s="55" t="s">
        <v>45</v>
      </c>
      <c r="P55" s="55" t="s">
        <v>45</v>
      </c>
      <c r="Q55" s="55" t="s">
        <v>45</v>
      </c>
      <c r="R55" s="55" t="s">
        <v>45</v>
      </c>
      <c r="S55" s="55" t="s">
        <v>45</v>
      </c>
      <c r="T55" s="55" t="s">
        <v>45</v>
      </c>
      <c r="U55" s="55" t="s">
        <v>3397</v>
      </c>
      <c r="V55" s="55" t="s">
        <v>3095</v>
      </c>
      <c r="W55" s="55" t="s">
        <v>3216</v>
      </c>
      <c r="X55" s="55" t="s">
        <v>3095</v>
      </c>
      <c r="Y55" s="55" t="s">
        <v>3095</v>
      </c>
      <c r="Z55" s="55" t="s">
        <v>3156</v>
      </c>
      <c r="AA55" s="55" t="s">
        <v>3256</v>
      </c>
      <c r="AB55" s="55" t="s">
        <v>3095</v>
      </c>
      <c r="AC55" s="55" t="s">
        <v>3103</v>
      </c>
      <c r="AD55" s="55" t="s">
        <v>3398</v>
      </c>
      <c r="AE55" s="55" t="s">
        <v>3095</v>
      </c>
      <c r="AF55" s="55" t="s">
        <v>3095</v>
      </c>
      <c r="AG55" s="55" t="s">
        <v>3095</v>
      </c>
      <c r="AH55" s="55" t="s">
        <v>3095</v>
      </c>
      <c r="AI55" s="55" t="s">
        <v>3095</v>
      </c>
      <c r="AJ55" s="55" t="s">
        <v>3095</v>
      </c>
      <c r="AK55" s="55" t="s">
        <v>3095</v>
      </c>
      <c r="AL55" s="55" t="s">
        <v>3095</v>
      </c>
      <c r="AM55" s="55" t="s">
        <v>3095</v>
      </c>
    </row>
    <row r="56" ht="45.0" customHeight="1">
      <c r="A56" s="55" t="s">
        <v>293</v>
      </c>
      <c r="B56" s="55" t="s">
        <v>3399</v>
      </c>
      <c r="C56" s="55" t="str">
        <f>IMAGE("https://raw.githubusercontent.com/ltdimages/images/refs/heads/main/Coordinate0148_00.png")</f>
        <v/>
      </c>
      <c r="D56" s="55" t="str">
        <f>IMAGE("https://raw.githubusercontent.com/ltdimages/images/refs/heads/main/Coordinate0148_01.png")</f>
        <v/>
      </c>
      <c r="E56" s="55" t="str">
        <f>IMAGE("https://raw.githubusercontent.com/ltdimages/images/refs/heads/main/Coordinate0148_02.png")</f>
        <v/>
      </c>
      <c r="F56" s="55" t="str">
        <f>IMAGE("https://raw.githubusercontent.com/ltdimages/images/refs/heads/main/Coordinate0148_03.png")</f>
        <v/>
      </c>
      <c r="G56" s="55" t="str">
        <f>IMAGE("https://raw.githubusercontent.com/ltdimages/images/refs/heads/main/Coordinate0148_04.png")</f>
        <v/>
      </c>
      <c r="H56" s="55" t="str">
        <f>IMAGE("https://raw.githubusercontent.com/ltdimages/images/refs/heads/main/Coordinate0148_05.png")</f>
        <v/>
      </c>
      <c r="I56" s="56" t="s">
        <v>3095</v>
      </c>
      <c r="J56" s="55" t="s">
        <v>3095</v>
      </c>
      <c r="K56" s="20" t="s">
        <v>3400</v>
      </c>
      <c r="L56" s="20" t="s">
        <v>3097</v>
      </c>
      <c r="M56" s="55" t="s">
        <v>3098</v>
      </c>
      <c r="N56" s="55" t="s">
        <v>3099</v>
      </c>
      <c r="O56" s="55" t="s">
        <v>45</v>
      </c>
      <c r="P56" s="55" t="s">
        <v>45</v>
      </c>
      <c r="Q56" s="55" t="s">
        <v>45</v>
      </c>
      <c r="R56" s="55" t="s">
        <v>45</v>
      </c>
      <c r="S56" s="55" t="s">
        <v>45</v>
      </c>
      <c r="T56" s="55" t="s">
        <v>45</v>
      </c>
      <c r="U56" s="55" t="s">
        <v>3401</v>
      </c>
      <c r="V56" s="55" t="s">
        <v>3095</v>
      </c>
      <c r="W56" s="55" t="s">
        <v>3206</v>
      </c>
      <c r="X56" s="55" t="s">
        <v>3095</v>
      </c>
      <c r="Y56" s="55" t="s">
        <v>3095</v>
      </c>
      <c r="Z56" s="55" t="s">
        <v>3352</v>
      </c>
      <c r="AA56" s="55" t="s">
        <v>3341</v>
      </c>
      <c r="AB56" s="55" t="s">
        <v>3095</v>
      </c>
      <c r="AC56" s="55" t="s">
        <v>3103</v>
      </c>
      <c r="AD56" s="55" t="s">
        <v>3402</v>
      </c>
      <c r="AE56" s="55" t="s">
        <v>3095</v>
      </c>
      <c r="AF56" s="55" t="s">
        <v>3095</v>
      </c>
      <c r="AG56" s="55" t="s">
        <v>3095</v>
      </c>
      <c r="AH56" s="55" t="s">
        <v>3095</v>
      </c>
      <c r="AI56" s="55" t="s">
        <v>3095</v>
      </c>
      <c r="AJ56" s="55" t="s">
        <v>3095</v>
      </c>
      <c r="AK56" s="55" t="s">
        <v>3095</v>
      </c>
      <c r="AL56" s="55" t="s">
        <v>3095</v>
      </c>
      <c r="AM56" s="55" t="s">
        <v>3095</v>
      </c>
    </row>
    <row r="57" ht="45.0" customHeight="1">
      <c r="A57" s="55" t="s">
        <v>297</v>
      </c>
      <c r="B57" s="55" t="s">
        <v>3403</v>
      </c>
      <c r="C57" s="55" t="str">
        <f>IMAGE("https://raw.githubusercontent.com/ltdimages/images/refs/heads/main/Coordinate0172_00.png")</f>
        <v/>
      </c>
      <c r="D57" s="55" t="str">
        <f>IMAGE("https://raw.githubusercontent.com/ltdimages/images/refs/heads/main/Coordinate0172_01.png")</f>
        <v/>
      </c>
      <c r="E57" s="55" t="str">
        <f>IMAGE("https://raw.githubusercontent.com/ltdimages/images/refs/heads/main/Coordinate0172_02.png")</f>
        <v/>
      </c>
      <c r="F57" s="55" t="str">
        <f>IMAGE("https://raw.githubusercontent.com/ltdimages/images/refs/heads/main/Coordinate0172_03.png")</f>
        <v/>
      </c>
      <c r="G57" s="55" t="str">
        <f>IMAGE("https://raw.githubusercontent.com/ltdimages/images/refs/heads/main/Coordinate0172_04.png")</f>
        <v/>
      </c>
      <c r="H57" s="55" t="str">
        <f>IMAGE("https://raw.githubusercontent.com/ltdimages/images/refs/heads/main/Coordinate0172_05.png")</f>
        <v/>
      </c>
      <c r="I57" s="56" t="s">
        <v>3095</v>
      </c>
      <c r="J57" s="55" t="s">
        <v>3095</v>
      </c>
      <c r="K57" s="20" t="s">
        <v>3404</v>
      </c>
      <c r="L57" s="20" t="s">
        <v>3097</v>
      </c>
      <c r="M57" s="55" t="s">
        <v>2574</v>
      </c>
      <c r="N57" s="55" t="s">
        <v>3099</v>
      </c>
      <c r="O57" s="55" t="s">
        <v>45</v>
      </c>
      <c r="P57" s="55" t="s">
        <v>45</v>
      </c>
      <c r="Q57" s="55" t="s">
        <v>45</v>
      </c>
      <c r="R57" s="55" t="s">
        <v>49</v>
      </c>
      <c r="S57" s="55" t="s">
        <v>45</v>
      </c>
      <c r="T57" s="55" t="s">
        <v>45</v>
      </c>
      <c r="U57" s="55" t="s">
        <v>3095</v>
      </c>
      <c r="V57" s="55" t="s">
        <v>3095</v>
      </c>
      <c r="W57" s="55" t="s">
        <v>3095</v>
      </c>
      <c r="X57" s="55" t="s">
        <v>3405</v>
      </c>
      <c r="Y57" s="55" t="s">
        <v>3095</v>
      </c>
      <c r="Z57" s="55" t="s">
        <v>3095</v>
      </c>
      <c r="AA57" s="55" t="s">
        <v>3095</v>
      </c>
      <c r="AB57" s="55" t="s">
        <v>3406</v>
      </c>
      <c r="AC57" s="55" t="s">
        <v>3099</v>
      </c>
      <c r="AD57" s="55" t="s">
        <v>3407</v>
      </c>
      <c r="AE57" s="55" t="s">
        <v>3095</v>
      </c>
      <c r="AF57" s="55" t="s">
        <v>3095</v>
      </c>
      <c r="AG57" s="55" t="s">
        <v>3095</v>
      </c>
      <c r="AH57" s="55" t="s">
        <v>3095</v>
      </c>
      <c r="AI57" s="55" t="s">
        <v>3095</v>
      </c>
      <c r="AJ57" s="55" t="s">
        <v>3095</v>
      </c>
      <c r="AK57" s="55" t="s">
        <v>3095</v>
      </c>
      <c r="AL57" s="55" t="s">
        <v>3095</v>
      </c>
      <c r="AM57" s="55" t="s">
        <v>3095</v>
      </c>
    </row>
    <row r="58" ht="45.0" customHeight="1">
      <c r="A58" s="55" t="s">
        <v>301</v>
      </c>
      <c r="B58" s="55" t="s">
        <v>3408</v>
      </c>
      <c r="C58" s="55" t="str">
        <f>IMAGE("https://raw.githubusercontent.com/ltdimages/images/refs/heads/main/Coordinate0134_00.png")</f>
        <v/>
      </c>
      <c r="D58" s="55" t="str">
        <f>IMAGE("https://raw.githubusercontent.com/ltdimages/images/refs/heads/main/Coordinate0134_01.png")</f>
        <v/>
      </c>
      <c r="E58" s="55" t="str">
        <f>IMAGE("https://raw.githubusercontent.com/ltdimages/images/refs/heads/main/Coordinate0134_02.png")</f>
        <v/>
      </c>
      <c r="F58" s="55" t="str">
        <f>IMAGE("https://raw.githubusercontent.com/ltdimages/images/refs/heads/main/Coordinate0134_03.png")</f>
        <v/>
      </c>
      <c r="G58" s="55" t="str">
        <f>IMAGE("https://raw.githubusercontent.com/ltdimages/images/refs/heads/main/Coordinate0134_04.png")</f>
        <v/>
      </c>
      <c r="H58" s="55" t="str">
        <f>IMAGE("https://raw.githubusercontent.com/ltdimages/images/refs/heads/main/Coordinate0134_05.png")</f>
        <v/>
      </c>
      <c r="I58" s="56" t="s">
        <v>3095</v>
      </c>
      <c r="J58" s="55" t="s">
        <v>3095</v>
      </c>
      <c r="K58" s="20" t="s">
        <v>3409</v>
      </c>
      <c r="L58" s="20" t="s">
        <v>3097</v>
      </c>
      <c r="M58" s="55" t="s">
        <v>3098</v>
      </c>
      <c r="N58" s="55" t="s">
        <v>3099</v>
      </c>
      <c r="O58" s="55" t="s">
        <v>45</v>
      </c>
      <c r="P58" s="55" t="s">
        <v>45</v>
      </c>
      <c r="Q58" s="55" t="s">
        <v>45</v>
      </c>
      <c r="R58" s="55" t="s">
        <v>45</v>
      </c>
      <c r="S58" s="55" t="s">
        <v>45</v>
      </c>
      <c r="T58" s="55" t="s">
        <v>45</v>
      </c>
      <c r="U58" s="55" t="s">
        <v>3095</v>
      </c>
      <c r="V58" s="55" t="s">
        <v>3410</v>
      </c>
      <c r="W58" s="55" t="s">
        <v>3095</v>
      </c>
      <c r="X58" s="55" t="s">
        <v>3411</v>
      </c>
      <c r="Y58" s="55" t="s">
        <v>3095</v>
      </c>
      <c r="Z58" s="55" t="s">
        <v>3296</v>
      </c>
      <c r="AA58" s="55" t="s">
        <v>3366</v>
      </c>
      <c r="AB58" s="55" t="s">
        <v>3095</v>
      </c>
      <c r="AC58" s="55" t="s">
        <v>3110</v>
      </c>
      <c r="AD58" s="55" t="s">
        <v>3412</v>
      </c>
      <c r="AE58" s="55" t="s">
        <v>3095</v>
      </c>
      <c r="AF58" s="55" t="s">
        <v>3095</v>
      </c>
      <c r="AG58" s="55" t="s">
        <v>3095</v>
      </c>
      <c r="AH58" s="55" t="s">
        <v>3095</v>
      </c>
      <c r="AI58" s="55" t="s">
        <v>3095</v>
      </c>
      <c r="AJ58" s="55" t="s">
        <v>3095</v>
      </c>
      <c r="AK58" s="55" t="s">
        <v>3095</v>
      </c>
      <c r="AL58" s="55" t="s">
        <v>3095</v>
      </c>
      <c r="AM58" s="55" t="s">
        <v>3095</v>
      </c>
    </row>
    <row r="59" ht="45.0" customHeight="1">
      <c r="A59" s="55" t="s">
        <v>305</v>
      </c>
      <c r="B59" s="55" t="s">
        <v>3413</v>
      </c>
      <c r="C59" s="55" t="str">
        <f>IMAGE("https://raw.githubusercontent.com/ltdimages/images/refs/heads/main/Coordinate0153_00.png")</f>
        <v/>
      </c>
      <c r="D59" s="55" t="str">
        <f>IMAGE("https://raw.githubusercontent.com/ltdimages/images/refs/heads/main/Coordinate0153_01.png")</f>
        <v/>
      </c>
      <c r="E59" s="55" t="str">
        <f>IMAGE("https://raw.githubusercontent.com/ltdimages/images/refs/heads/main/Coordinate0153_02.png")</f>
        <v/>
      </c>
      <c r="F59" s="55" t="str">
        <f>IMAGE("https://raw.githubusercontent.com/ltdimages/images/refs/heads/main/Coordinate0153_03.png")</f>
        <v/>
      </c>
      <c r="G59" s="55" t="s">
        <v>3095</v>
      </c>
      <c r="H59" s="55" t="s">
        <v>3095</v>
      </c>
      <c r="I59" s="56" t="s">
        <v>3095</v>
      </c>
      <c r="J59" s="55" t="s">
        <v>3095</v>
      </c>
      <c r="K59" s="20" t="s">
        <v>3209</v>
      </c>
      <c r="L59" s="20" t="s">
        <v>3097</v>
      </c>
      <c r="M59" s="55" t="s">
        <v>3098</v>
      </c>
      <c r="N59" s="55" t="s">
        <v>3099</v>
      </c>
      <c r="O59" s="55" t="s">
        <v>45</v>
      </c>
      <c r="P59" s="55" t="s">
        <v>45</v>
      </c>
      <c r="Q59" s="55" t="s">
        <v>45</v>
      </c>
      <c r="R59" s="55" t="s">
        <v>45</v>
      </c>
      <c r="S59" s="55" t="s">
        <v>45</v>
      </c>
      <c r="T59" s="55" t="s">
        <v>45</v>
      </c>
      <c r="U59" s="55" t="s">
        <v>3414</v>
      </c>
      <c r="V59" s="55" t="s">
        <v>3095</v>
      </c>
      <c r="W59" s="55" t="s">
        <v>3359</v>
      </c>
      <c r="X59" s="55" t="s">
        <v>3095</v>
      </c>
      <c r="Y59" s="55" t="s">
        <v>3095</v>
      </c>
      <c r="Z59" s="55" t="s">
        <v>3118</v>
      </c>
      <c r="AA59" s="55" t="s">
        <v>3341</v>
      </c>
      <c r="AB59" s="55" t="s">
        <v>3095</v>
      </c>
      <c r="AC59" s="55" t="s">
        <v>3103</v>
      </c>
      <c r="AD59" s="55" t="s">
        <v>3415</v>
      </c>
      <c r="AE59" s="55" t="s">
        <v>3095</v>
      </c>
      <c r="AF59" s="55" t="s">
        <v>3095</v>
      </c>
      <c r="AG59" s="55" t="s">
        <v>3095</v>
      </c>
      <c r="AH59" s="55" t="s">
        <v>3095</v>
      </c>
      <c r="AI59" s="55" t="s">
        <v>3095</v>
      </c>
      <c r="AJ59" s="55" t="s">
        <v>3095</v>
      </c>
      <c r="AK59" s="55" t="s">
        <v>3095</v>
      </c>
      <c r="AL59" s="55" t="s">
        <v>3095</v>
      </c>
      <c r="AM59" s="55" t="s">
        <v>3095</v>
      </c>
    </row>
    <row r="60" ht="45.0" customHeight="1">
      <c r="A60" s="55" t="s">
        <v>309</v>
      </c>
      <c r="B60" s="55" t="s">
        <v>3416</v>
      </c>
      <c r="C60" s="55" t="str">
        <f>IMAGE("https://raw.githubusercontent.com/ltdimages/images/refs/heads/main/Coordinate0251_00.png")</f>
        <v/>
      </c>
      <c r="D60" s="55" t="str">
        <f>IMAGE("https://raw.githubusercontent.com/ltdimages/images/refs/heads/main/Coordinate0251_01.png")</f>
        <v/>
      </c>
      <c r="E60" s="55" t="str">
        <f>IMAGE("https://raw.githubusercontent.com/ltdimages/images/refs/heads/main/Coordinate0251_02.png")</f>
        <v/>
      </c>
      <c r="F60" s="55" t="s">
        <v>3095</v>
      </c>
      <c r="G60" s="55" t="s">
        <v>3095</v>
      </c>
      <c r="H60" s="55" t="s">
        <v>3095</v>
      </c>
      <c r="I60" s="56" t="s">
        <v>3095</v>
      </c>
      <c r="J60" s="55" t="s">
        <v>3095</v>
      </c>
      <c r="K60" s="20" t="s">
        <v>3417</v>
      </c>
      <c r="L60" s="20" t="s">
        <v>3097</v>
      </c>
      <c r="M60" s="55" t="s">
        <v>3098</v>
      </c>
      <c r="N60" s="55" t="s">
        <v>3099</v>
      </c>
      <c r="O60" s="55" t="s">
        <v>45</v>
      </c>
      <c r="P60" s="55" t="s">
        <v>45</v>
      </c>
      <c r="Q60" s="55" t="s">
        <v>45</v>
      </c>
      <c r="R60" s="55" t="s">
        <v>49</v>
      </c>
      <c r="S60" s="55" t="s">
        <v>45</v>
      </c>
      <c r="T60" s="55" t="s">
        <v>45</v>
      </c>
      <c r="U60" s="55" t="s">
        <v>3418</v>
      </c>
      <c r="V60" s="55" t="s">
        <v>3095</v>
      </c>
      <c r="W60" s="55" t="s">
        <v>3277</v>
      </c>
      <c r="X60" s="55" t="s">
        <v>3419</v>
      </c>
      <c r="Y60" s="55" t="s">
        <v>3095</v>
      </c>
      <c r="Z60" s="55" t="s">
        <v>3118</v>
      </c>
      <c r="AA60" s="55" t="s">
        <v>3157</v>
      </c>
      <c r="AB60" s="55" t="s">
        <v>3095</v>
      </c>
      <c r="AC60" s="55" t="s">
        <v>3103</v>
      </c>
      <c r="AD60" s="55" t="s">
        <v>3420</v>
      </c>
      <c r="AE60" s="55" t="s">
        <v>3095</v>
      </c>
      <c r="AF60" s="55" t="s">
        <v>3095</v>
      </c>
      <c r="AG60" s="55" t="s">
        <v>3095</v>
      </c>
      <c r="AH60" s="55" t="s">
        <v>3095</v>
      </c>
      <c r="AI60" s="55" t="s">
        <v>3095</v>
      </c>
      <c r="AJ60" s="55" t="s">
        <v>3095</v>
      </c>
      <c r="AK60" s="55" t="s">
        <v>3095</v>
      </c>
      <c r="AL60" s="55" t="s">
        <v>3095</v>
      </c>
      <c r="AM60" s="55" t="s">
        <v>3095</v>
      </c>
    </row>
    <row r="61" ht="45.0" customHeight="1">
      <c r="A61" s="55" t="s">
        <v>313</v>
      </c>
      <c r="B61" s="55" t="s">
        <v>3421</v>
      </c>
      <c r="C61" s="55" t="str">
        <f>IMAGE("https://raw.githubusercontent.com/ltdimages/images/refs/heads/main/Coordinate0118_00.png")</f>
        <v/>
      </c>
      <c r="D61" s="55" t="str">
        <f>IMAGE("https://raw.githubusercontent.com/ltdimages/images/refs/heads/main/Coordinate0118_01.png")</f>
        <v/>
      </c>
      <c r="E61" s="55" t="str">
        <f>IMAGE("https://raw.githubusercontent.com/ltdimages/images/refs/heads/main/Coordinate0118_02.png")</f>
        <v/>
      </c>
      <c r="F61" s="55" t="str">
        <f>IMAGE("https://raw.githubusercontent.com/ltdimages/images/refs/heads/main/Coordinate0118_03.png")</f>
        <v/>
      </c>
      <c r="G61" s="55" t="str">
        <f>IMAGE("https://raw.githubusercontent.com/ltdimages/images/refs/heads/main/Coordinate0118_04.png")</f>
        <v/>
      </c>
      <c r="H61" s="55" t="str">
        <f>IMAGE("https://raw.githubusercontent.com/ltdimages/images/refs/heads/main/Coordinate0118_05.png")</f>
        <v/>
      </c>
      <c r="I61" s="56" t="s">
        <v>3095</v>
      </c>
      <c r="J61" s="55" t="s">
        <v>3095</v>
      </c>
      <c r="K61" s="20" t="s">
        <v>3422</v>
      </c>
      <c r="L61" s="20" t="s">
        <v>3097</v>
      </c>
      <c r="M61" s="55" t="s">
        <v>2574</v>
      </c>
      <c r="N61" s="55" t="s">
        <v>3099</v>
      </c>
      <c r="O61" s="55" t="s">
        <v>45</v>
      </c>
      <c r="P61" s="55" t="s">
        <v>45</v>
      </c>
      <c r="Q61" s="55" t="s">
        <v>45</v>
      </c>
      <c r="R61" s="55" t="s">
        <v>49</v>
      </c>
      <c r="S61" s="55" t="s">
        <v>49</v>
      </c>
      <c r="T61" s="55" t="s">
        <v>45</v>
      </c>
      <c r="U61" s="55" t="s">
        <v>3095</v>
      </c>
      <c r="V61" s="55" t="s">
        <v>3095</v>
      </c>
      <c r="W61" s="55" t="s">
        <v>3095</v>
      </c>
      <c r="X61" s="55" t="s">
        <v>3423</v>
      </c>
      <c r="Y61" s="55" t="s">
        <v>3095</v>
      </c>
      <c r="Z61" s="55" t="s">
        <v>3095</v>
      </c>
      <c r="AA61" s="55" t="s">
        <v>3095</v>
      </c>
      <c r="AB61" s="55" t="s">
        <v>3424</v>
      </c>
      <c r="AC61" s="55" t="s">
        <v>3099</v>
      </c>
      <c r="AD61" s="55" t="s">
        <v>3425</v>
      </c>
      <c r="AE61" s="55" t="s">
        <v>3095</v>
      </c>
      <c r="AF61" s="55" t="s">
        <v>3095</v>
      </c>
      <c r="AG61" s="55" t="s">
        <v>3095</v>
      </c>
      <c r="AH61" s="55" t="s">
        <v>3095</v>
      </c>
      <c r="AI61" s="55" t="s">
        <v>3095</v>
      </c>
      <c r="AJ61" s="55" t="s">
        <v>3095</v>
      </c>
      <c r="AK61" s="55" t="s">
        <v>3095</v>
      </c>
      <c r="AL61" s="55" t="s">
        <v>3095</v>
      </c>
      <c r="AM61" s="55" t="s">
        <v>3095</v>
      </c>
    </row>
    <row r="62" ht="45.0" customHeight="1">
      <c r="A62" s="55" t="s">
        <v>317</v>
      </c>
      <c r="B62" s="55" t="s">
        <v>3426</v>
      </c>
      <c r="C62" s="55" t="str">
        <f>IMAGE("https://raw.githubusercontent.com/ltdimages/images/refs/heads/main/Coordinate0112_00.png")</f>
        <v/>
      </c>
      <c r="D62" s="55" t="str">
        <f>IMAGE("https://raw.githubusercontent.com/ltdimages/images/refs/heads/main/Coordinate0112_01.png")</f>
        <v/>
      </c>
      <c r="E62" s="55" t="str">
        <f>IMAGE("https://raw.githubusercontent.com/ltdimages/images/refs/heads/main/Coordinate0112_02.png")</f>
        <v/>
      </c>
      <c r="F62" s="55" t="str">
        <f>IMAGE("https://raw.githubusercontent.com/ltdimages/images/refs/heads/main/Coordinate0112_03.png")</f>
        <v/>
      </c>
      <c r="G62" s="55" t="str">
        <f>IMAGE("https://raw.githubusercontent.com/ltdimages/images/refs/heads/main/Coordinate0112_04.png")</f>
        <v/>
      </c>
      <c r="H62" s="55" t="str">
        <f>IMAGE("https://raw.githubusercontent.com/ltdimages/images/refs/heads/main/Coordinate0112_05.png")</f>
        <v/>
      </c>
      <c r="I62" s="56" t="str">
        <f>IMAGE("https://raw.githubusercontent.com/ltdimages/images/refs/heads/main/Coordinate0112_06.png")</f>
        <v/>
      </c>
      <c r="J62" s="55" t="str">
        <f>IMAGE("https://raw.githubusercontent.com/ltdimages/images/refs/heads/main/Coordinate0112_07.png")</f>
        <v/>
      </c>
      <c r="K62" s="20" t="s">
        <v>3197</v>
      </c>
      <c r="L62" s="20" t="s">
        <v>3097</v>
      </c>
      <c r="M62" s="55" t="s">
        <v>2574</v>
      </c>
      <c r="N62" s="55" t="s">
        <v>3099</v>
      </c>
      <c r="O62" s="55" t="s">
        <v>45</v>
      </c>
      <c r="P62" s="55" t="s">
        <v>45</v>
      </c>
      <c r="Q62" s="55" t="s">
        <v>45</v>
      </c>
      <c r="R62" s="55" t="s">
        <v>49</v>
      </c>
      <c r="S62" s="55" t="s">
        <v>45</v>
      </c>
      <c r="T62" s="55" t="s">
        <v>45</v>
      </c>
      <c r="U62" s="55" t="s">
        <v>3095</v>
      </c>
      <c r="V62" s="55" t="s">
        <v>3095</v>
      </c>
      <c r="W62" s="55" t="s">
        <v>3095</v>
      </c>
      <c r="X62" s="55" t="s">
        <v>3427</v>
      </c>
      <c r="Y62" s="55" t="s">
        <v>3095</v>
      </c>
      <c r="Z62" s="55" t="s">
        <v>3095</v>
      </c>
      <c r="AA62" s="55" t="s">
        <v>3095</v>
      </c>
      <c r="AB62" s="55" t="s">
        <v>3428</v>
      </c>
      <c r="AC62" s="55" t="s">
        <v>3099</v>
      </c>
      <c r="AD62" s="55" t="s">
        <v>3429</v>
      </c>
      <c r="AE62" s="55" t="s">
        <v>3095</v>
      </c>
      <c r="AF62" s="55" t="s">
        <v>3095</v>
      </c>
      <c r="AG62" s="55" t="s">
        <v>3095</v>
      </c>
      <c r="AH62" s="55" t="s">
        <v>3095</v>
      </c>
      <c r="AI62" s="55" t="s">
        <v>3095</v>
      </c>
      <c r="AJ62" s="55" t="s">
        <v>3095</v>
      </c>
      <c r="AK62" s="55" t="s">
        <v>3095</v>
      </c>
      <c r="AL62" s="55" t="s">
        <v>3095</v>
      </c>
      <c r="AM62" s="55" t="s">
        <v>3095</v>
      </c>
    </row>
    <row r="63" ht="45.0" customHeight="1">
      <c r="A63" s="55" t="s">
        <v>321</v>
      </c>
      <c r="B63" s="55" t="s">
        <v>3430</v>
      </c>
      <c r="C63" s="55" t="str">
        <f>IMAGE("https://raw.githubusercontent.com/ltdimages/images/refs/heads/main/Coordinate0171_00.png")</f>
        <v/>
      </c>
      <c r="D63" s="55" t="str">
        <f>IMAGE("https://raw.githubusercontent.com/ltdimages/images/refs/heads/main/Coordinate0171_01.png")</f>
        <v/>
      </c>
      <c r="E63" s="55" t="str">
        <f>IMAGE("https://raw.githubusercontent.com/ltdimages/images/refs/heads/main/Coordinate0171_02.png")</f>
        <v/>
      </c>
      <c r="F63" s="55" t="s">
        <v>3095</v>
      </c>
      <c r="G63" s="55" t="s">
        <v>3095</v>
      </c>
      <c r="H63" s="55" t="s">
        <v>3095</v>
      </c>
      <c r="I63" s="56" t="s">
        <v>3095</v>
      </c>
      <c r="J63" s="55" t="s">
        <v>3095</v>
      </c>
      <c r="K63" s="20" t="s">
        <v>3431</v>
      </c>
      <c r="L63" s="20" t="s">
        <v>3097</v>
      </c>
      <c r="M63" s="55" t="s">
        <v>3098</v>
      </c>
      <c r="N63" s="55" t="s">
        <v>3099</v>
      </c>
      <c r="O63" s="55" t="s">
        <v>45</v>
      </c>
      <c r="P63" s="55" t="s">
        <v>45</v>
      </c>
      <c r="Q63" s="55" t="s">
        <v>45</v>
      </c>
      <c r="R63" s="55" t="s">
        <v>49</v>
      </c>
      <c r="S63" s="55" t="s">
        <v>45</v>
      </c>
      <c r="T63" s="55" t="s">
        <v>45</v>
      </c>
      <c r="U63" s="55" t="s">
        <v>3095</v>
      </c>
      <c r="V63" s="55" t="s">
        <v>3432</v>
      </c>
      <c r="W63" s="55" t="s">
        <v>3095</v>
      </c>
      <c r="X63" s="55" t="s">
        <v>3095</v>
      </c>
      <c r="Y63" s="55" t="s">
        <v>3433</v>
      </c>
      <c r="Z63" s="55" t="s">
        <v>3156</v>
      </c>
      <c r="AA63" s="55" t="s">
        <v>3434</v>
      </c>
      <c r="AB63" s="55" t="s">
        <v>3095</v>
      </c>
      <c r="AC63" s="55" t="s">
        <v>3110</v>
      </c>
      <c r="AD63" s="55" t="s">
        <v>3435</v>
      </c>
      <c r="AE63" s="55" t="s">
        <v>3095</v>
      </c>
      <c r="AF63" s="55" t="s">
        <v>3095</v>
      </c>
      <c r="AG63" s="55" t="s">
        <v>3095</v>
      </c>
      <c r="AH63" s="55" t="s">
        <v>3095</v>
      </c>
      <c r="AI63" s="55" t="s">
        <v>3095</v>
      </c>
      <c r="AJ63" s="55" t="s">
        <v>3095</v>
      </c>
      <c r="AK63" s="55" t="s">
        <v>3095</v>
      </c>
      <c r="AL63" s="55" t="s">
        <v>3095</v>
      </c>
      <c r="AM63" s="55" t="s">
        <v>3095</v>
      </c>
    </row>
    <row r="64" ht="45.0" customHeight="1">
      <c r="A64" s="55" t="s">
        <v>325</v>
      </c>
      <c r="B64" s="55" t="s">
        <v>3436</v>
      </c>
      <c r="C64" s="55" t="str">
        <f>IMAGE("https://raw.githubusercontent.com/ltdimages/images/refs/heads/main/Coordinate0224_00.png")</f>
        <v/>
      </c>
      <c r="D64" s="55" t="str">
        <f>IMAGE("https://raw.githubusercontent.com/ltdimages/images/refs/heads/main/Coordinate0224_01.png")</f>
        <v/>
      </c>
      <c r="E64" s="55" t="str">
        <f>IMAGE("https://raw.githubusercontent.com/ltdimages/images/refs/heads/main/Coordinate0224_02.png")</f>
        <v/>
      </c>
      <c r="F64" s="55" t="s">
        <v>3095</v>
      </c>
      <c r="G64" s="55" t="s">
        <v>3095</v>
      </c>
      <c r="H64" s="55" t="s">
        <v>3095</v>
      </c>
      <c r="I64" s="56" t="s">
        <v>3095</v>
      </c>
      <c r="J64" s="55" t="s">
        <v>3095</v>
      </c>
      <c r="K64" s="20" t="s">
        <v>3437</v>
      </c>
      <c r="L64" s="20" t="s">
        <v>3097</v>
      </c>
      <c r="M64" s="55" t="s">
        <v>2574</v>
      </c>
      <c r="N64" s="55" t="s">
        <v>3099</v>
      </c>
      <c r="O64" s="55" t="s">
        <v>45</v>
      </c>
      <c r="P64" s="55" t="s">
        <v>45</v>
      </c>
      <c r="Q64" s="55" t="s">
        <v>45</v>
      </c>
      <c r="R64" s="55" t="s">
        <v>49</v>
      </c>
      <c r="S64" s="55" t="s">
        <v>45</v>
      </c>
      <c r="T64" s="55" t="s">
        <v>45</v>
      </c>
      <c r="U64" s="55" t="s">
        <v>3095</v>
      </c>
      <c r="V64" s="55" t="s">
        <v>3095</v>
      </c>
      <c r="W64" s="55" t="s">
        <v>3095</v>
      </c>
      <c r="X64" s="55" t="s">
        <v>3438</v>
      </c>
      <c r="Y64" s="55" t="s">
        <v>3095</v>
      </c>
      <c r="Z64" s="55" t="s">
        <v>3095</v>
      </c>
      <c r="AA64" s="55" t="s">
        <v>3095</v>
      </c>
      <c r="AB64" s="55" t="s">
        <v>3439</v>
      </c>
      <c r="AC64" s="55" t="s">
        <v>3244</v>
      </c>
      <c r="AD64" s="55" t="s">
        <v>3440</v>
      </c>
      <c r="AE64" s="55" t="s">
        <v>3095</v>
      </c>
      <c r="AF64" s="55" t="s">
        <v>3095</v>
      </c>
      <c r="AG64" s="55" t="s">
        <v>3095</v>
      </c>
      <c r="AH64" s="55" t="s">
        <v>3095</v>
      </c>
      <c r="AI64" s="55" t="s">
        <v>3095</v>
      </c>
      <c r="AJ64" s="55" t="s">
        <v>3095</v>
      </c>
      <c r="AK64" s="55" t="s">
        <v>3095</v>
      </c>
      <c r="AL64" s="55" t="s">
        <v>3095</v>
      </c>
      <c r="AM64" s="55" t="s">
        <v>3095</v>
      </c>
    </row>
    <row r="65" ht="45.0" customHeight="1">
      <c r="A65" s="55" t="s">
        <v>329</v>
      </c>
      <c r="B65" s="55" t="s">
        <v>3441</v>
      </c>
      <c r="C65" s="55" t="str">
        <f>IMAGE("https://raw.githubusercontent.com/ltdimages/images/refs/heads/main/Coordinate0131_00.png")</f>
        <v/>
      </c>
      <c r="D65" s="55" t="str">
        <f>IMAGE("https://raw.githubusercontent.com/ltdimages/images/refs/heads/main/Coordinate0131_01.png")</f>
        <v/>
      </c>
      <c r="E65" s="55" t="str">
        <f>IMAGE("https://raw.githubusercontent.com/ltdimages/images/refs/heads/main/Coordinate0131_02.png")</f>
        <v/>
      </c>
      <c r="F65" s="55" t="str">
        <f>IMAGE("https://raw.githubusercontent.com/ltdimages/images/refs/heads/main/Coordinate0131_03.png")</f>
        <v/>
      </c>
      <c r="G65" s="55" t="str">
        <f>IMAGE("https://raw.githubusercontent.com/ltdimages/images/refs/heads/main/Coordinate0131_04.png")</f>
        <v/>
      </c>
      <c r="H65" s="55" t="str">
        <f>IMAGE("https://raw.githubusercontent.com/ltdimages/images/refs/heads/main/Coordinate0131_05.png")</f>
        <v/>
      </c>
      <c r="I65" s="56" t="str">
        <f>IMAGE("https://raw.githubusercontent.com/ltdimages/images/refs/heads/main/Coordinate0131_06.png")</f>
        <v/>
      </c>
      <c r="J65" s="55" t="str">
        <f>IMAGE("https://raw.githubusercontent.com/ltdimages/images/refs/heads/main/Coordinate0131_07.png")</f>
        <v/>
      </c>
      <c r="K65" s="20" t="s">
        <v>3442</v>
      </c>
      <c r="L65" s="20" t="s">
        <v>3097</v>
      </c>
      <c r="M65" s="55" t="s">
        <v>3098</v>
      </c>
      <c r="N65" s="55" t="s">
        <v>3123</v>
      </c>
      <c r="O65" s="55" t="s">
        <v>45</v>
      </c>
      <c r="P65" s="55" t="s">
        <v>45</v>
      </c>
      <c r="Q65" s="55" t="s">
        <v>45</v>
      </c>
      <c r="R65" s="55" t="s">
        <v>45</v>
      </c>
      <c r="S65" s="55" t="s">
        <v>45</v>
      </c>
      <c r="T65" s="55" t="s">
        <v>45</v>
      </c>
      <c r="U65" s="55" t="s">
        <v>3443</v>
      </c>
      <c r="V65" s="55" t="s">
        <v>3095</v>
      </c>
      <c r="W65" s="55" t="s">
        <v>3444</v>
      </c>
      <c r="X65" s="55" t="s">
        <v>3445</v>
      </c>
      <c r="Y65" s="55" t="s">
        <v>3446</v>
      </c>
      <c r="Z65" s="55" t="s">
        <v>3296</v>
      </c>
      <c r="AA65" s="55" t="s">
        <v>3366</v>
      </c>
      <c r="AB65" s="55" t="s">
        <v>3095</v>
      </c>
      <c r="AC65" s="55" t="s">
        <v>3103</v>
      </c>
      <c r="AD65" s="55" t="s">
        <v>3447</v>
      </c>
      <c r="AE65" s="55" t="s">
        <v>3095</v>
      </c>
      <c r="AF65" s="55" t="s">
        <v>3095</v>
      </c>
      <c r="AG65" s="55" t="s">
        <v>3095</v>
      </c>
      <c r="AH65" s="55" t="s">
        <v>3095</v>
      </c>
      <c r="AI65" s="55" t="s">
        <v>3095</v>
      </c>
      <c r="AJ65" s="55" t="s">
        <v>3095</v>
      </c>
      <c r="AK65" s="55" t="s">
        <v>3095</v>
      </c>
      <c r="AL65" s="55" t="s">
        <v>3095</v>
      </c>
      <c r="AM65" s="55" t="s">
        <v>3095</v>
      </c>
    </row>
    <row r="66" ht="45.0" customHeight="1">
      <c r="A66" s="55" t="s">
        <v>333</v>
      </c>
      <c r="B66" s="55" t="s">
        <v>3448</v>
      </c>
      <c r="C66" s="55" t="str">
        <f>IMAGE("https://raw.githubusercontent.com/ltdimages/images/refs/heads/main/Coordinate0124_00.png")</f>
        <v/>
      </c>
      <c r="D66" s="55" t="str">
        <f>IMAGE("https://raw.githubusercontent.com/ltdimages/images/refs/heads/main/Coordinate0124_01.png")</f>
        <v/>
      </c>
      <c r="E66" s="55" t="str">
        <f>IMAGE("https://raw.githubusercontent.com/ltdimages/images/refs/heads/main/Coordinate0124_02.png")</f>
        <v/>
      </c>
      <c r="F66" s="55" t="str">
        <f>IMAGE("https://raw.githubusercontent.com/ltdimages/images/refs/heads/main/Coordinate0124_03.png")</f>
        <v/>
      </c>
      <c r="G66" s="55" t="str">
        <f>IMAGE("https://raw.githubusercontent.com/ltdimages/images/refs/heads/main/Coordinate0124_04.png")</f>
        <v/>
      </c>
      <c r="H66" s="55" t="str">
        <f>IMAGE("https://raw.githubusercontent.com/ltdimages/images/refs/heads/main/Coordinate0124_05.png")</f>
        <v/>
      </c>
      <c r="I66" s="56" t="str">
        <f>IMAGE("https://raw.githubusercontent.com/ltdimages/images/refs/heads/main/Coordinate0124_06.png")</f>
        <v/>
      </c>
      <c r="J66" s="55" t="str">
        <f>IMAGE("https://raw.githubusercontent.com/ltdimages/images/refs/heads/main/Coordinate0124_07.png")</f>
        <v/>
      </c>
      <c r="K66" s="20" t="s">
        <v>3449</v>
      </c>
      <c r="L66" s="20" t="s">
        <v>3097</v>
      </c>
      <c r="M66" s="55" t="s">
        <v>2574</v>
      </c>
      <c r="N66" s="55" t="s">
        <v>3099</v>
      </c>
      <c r="O66" s="55" t="s">
        <v>45</v>
      </c>
      <c r="P66" s="55" t="s">
        <v>45</v>
      </c>
      <c r="Q66" s="55" t="s">
        <v>45</v>
      </c>
      <c r="R66" s="55" t="s">
        <v>49</v>
      </c>
      <c r="S66" s="55" t="s">
        <v>45</v>
      </c>
      <c r="T66" s="55" t="s">
        <v>45</v>
      </c>
      <c r="U66" s="55" t="s">
        <v>3095</v>
      </c>
      <c r="V66" s="55" t="s">
        <v>3095</v>
      </c>
      <c r="W66" s="55" t="s">
        <v>3095</v>
      </c>
      <c r="X66" s="55" t="s">
        <v>3450</v>
      </c>
      <c r="Y66" s="55" t="s">
        <v>3095</v>
      </c>
      <c r="Z66" s="55" t="s">
        <v>3095</v>
      </c>
      <c r="AA66" s="55" t="s">
        <v>3095</v>
      </c>
      <c r="AB66" s="55" t="s">
        <v>3451</v>
      </c>
      <c r="AC66" s="55" t="s">
        <v>3099</v>
      </c>
      <c r="AD66" s="55" t="s">
        <v>3452</v>
      </c>
      <c r="AE66" s="55" t="s">
        <v>3095</v>
      </c>
      <c r="AF66" s="55" t="s">
        <v>3095</v>
      </c>
      <c r="AG66" s="55" t="s">
        <v>3095</v>
      </c>
      <c r="AH66" s="55" t="s">
        <v>3095</v>
      </c>
      <c r="AI66" s="55" t="s">
        <v>3095</v>
      </c>
      <c r="AJ66" s="55" t="s">
        <v>3095</v>
      </c>
      <c r="AK66" s="55" t="s">
        <v>3095</v>
      </c>
      <c r="AL66" s="55" t="s">
        <v>3095</v>
      </c>
      <c r="AM66" s="55" t="s">
        <v>3095</v>
      </c>
    </row>
    <row r="67" ht="45.0" customHeight="1">
      <c r="A67" s="55" t="s">
        <v>337</v>
      </c>
      <c r="B67" s="55" t="s">
        <v>3453</v>
      </c>
      <c r="C67" s="55" t="str">
        <f>IMAGE("https://raw.githubusercontent.com/ltdimages/images/refs/heads/main/Coordinate0329_00.png")</f>
        <v/>
      </c>
      <c r="D67" s="55" t="str">
        <f>IMAGE("https://raw.githubusercontent.com/ltdimages/images/refs/heads/main/Coordinate0329_01.png")</f>
        <v/>
      </c>
      <c r="E67" s="55" t="str">
        <f>IMAGE("https://raw.githubusercontent.com/ltdimages/images/refs/heads/main/Coordinate0329_02.png")</f>
        <v/>
      </c>
      <c r="F67" s="55" t="str">
        <f>IMAGE("https://raw.githubusercontent.com/ltdimages/images/refs/heads/main/Coordinate0329_03.png")</f>
        <v/>
      </c>
      <c r="G67" s="55" t="str">
        <f>IMAGE("https://raw.githubusercontent.com/ltdimages/images/refs/heads/main/Coordinate0329_04.png")</f>
        <v/>
      </c>
      <c r="H67" s="55" t="str">
        <f>IMAGE("https://raw.githubusercontent.com/ltdimages/images/refs/heads/main/Coordinate0329_05.png")</f>
        <v/>
      </c>
      <c r="I67" s="56" t="str">
        <f>IMAGE("https://raw.githubusercontent.com/ltdimages/images/refs/heads/main/Coordinate0329_06.png")</f>
        <v/>
      </c>
      <c r="J67" s="55" t="str">
        <f>IMAGE("https://raw.githubusercontent.com/ltdimages/images/refs/heads/main/Coordinate0329_07.png")</f>
        <v/>
      </c>
      <c r="K67" s="20" t="s">
        <v>3454</v>
      </c>
      <c r="L67" s="20" t="s">
        <v>3097</v>
      </c>
      <c r="M67" s="55" t="s">
        <v>3098</v>
      </c>
      <c r="N67" s="55" t="s">
        <v>3114</v>
      </c>
      <c r="O67" s="55" t="s">
        <v>45</v>
      </c>
      <c r="P67" s="55" t="s">
        <v>45</v>
      </c>
      <c r="Q67" s="55" t="s">
        <v>45</v>
      </c>
      <c r="R67" s="55" t="s">
        <v>45</v>
      </c>
      <c r="S67" s="55" t="s">
        <v>45</v>
      </c>
      <c r="T67" s="55" t="s">
        <v>45</v>
      </c>
      <c r="U67" s="55" t="s">
        <v>3455</v>
      </c>
      <c r="V67" s="55" t="s">
        <v>3095</v>
      </c>
      <c r="W67" s="55" t="s">
        <v>3456</v>
      </c>
      <c r="X67" s="55" t="s">
        <v>3095</v>
      </c>
      <c r="Y67" s="55" t="s">
        <v>3457</v>
      </c>
      <c r="Z67" s="55" t="s">
        <v>3118</v>
      </c>
      <c r="AA67" s="55" t="s">
        <v>3360</v>
      </c>
      <c r="AB67" s="55" t="s">
        <v>3095</v>
      </c>
      <c r="AC67" s="55" t="s">
        <v>3103</v>
      </c>
      <c r="AD67" s="55" t="s">
        <v>3458</v>
      </c>
      <c r="AE67" s="55" t="s">
        <v>3095</v>
      </c>
      <c r="AF67" s="55" t="s">
        <v>3095</v>
      </c>
      <c r="AG67" s="55" t="s">
        <v>3095</v>
      </c>
      <c r="AH67" s="55" t="s">
        <v>3095</v>
      </c>
      <c r="AI67" s="55" t="s">
        <v>3095</v>
      </c>
      <c r="AJ67" s="55" t="s">
        <v>3095</v>
      </c>
      <c r="AK67" s="55" t="s">
        <v>3095</v>
      </c>
      <c r="AL67" s="55" t="s">
        <v>3095</v>
      </c>
      <c r="AM67" s="55" t="s">
        <v>3095</v>
      </c>
    </row>
    <row r="68" ht="45.0" customHeight="1">
      <c r="A68" s="55" t="s">
        <v>341</v>
      </c>
      <c r="B68" s="55" t="s">
        <v>3459</v>
      </c>
      <c r="C68" s="55" t="str">
        <f>IMAGE("https://raw.githubusercontent.com/ltdimages/images/refs/heads/main/Coordinate0055_00.png")</f>
        <v/>
      </c>
      <c r="D68" s="55" t="str">
        <f>IMAGE("https://raw.githubusercontent.com/ltdimages/images/refs/heads/main/Coordinate0055_01.png")</f>
        <v/>
      </c>
      <c r="E68" s="55" t="str">
        <f>IMAGE("https://raw.githubusercontent.com/ltdimages/images/refs/heads/main/Coordinate0055_02.png")</f>
        <v/>
      </c>
      <c r="F68" s="55" t="str">
        <f>IMAGE("https://raw.githubusercontent.com/ltdimages/images/refs/heads/main/Coordinate0055_03.png")</f>
        <v/>
      </c>
      <c r="G68" s="55" t="str">
        <f>IMAGE("https://raw.githubusercontent.com/ltdimages/images/refs/heads/main/Coordinate0055_04.png")</f>
        <v/>
      </c>
      <c r="H68" s="55" t="str">
        <f>IMAGE("https://raw.githubusercontent.com/ltdimages/images/refs/heads/main/Coordinate0055_05.png")</f>
        <v/>
      </c>
      <c r="I68" s="56" t="s">
        <v>3095</v>
      </c>
      <c r="J68" s="55" t="s">
        <v>3095</v>
      </c>
      <c r="K68" s="20" t="s">
        <v>3460</v>
      </c>
      <c r="L68" s="20" t="s">
        <v>3097</v>
      </c>
      <c r="M68" s="55" t="s">
        <v>3098</v>
      </c>
      <c r="N68" s="55" t="s">
        <v>3099</v>
      </c>
      <c r="O68" s="55" t="s">
        <v>45</v>
      </c>
      <c r="P68" s="55" t="s">
        <v>45</v>
      </c>
      <c r="Q68" s="55" t="s">
        <v>45</v>
      </c>
      <c r="R68" s="55" t="s">
        <v>45</v>
      </c>
      <c r="S68" s="55" t="s">
        <v>45</v>
      </c>
      <c r="T68" s="55" t="s">
        <v>45</v>
      </c>
      <c r="U68" s="55" t="s">
        <v>3461</v>
      </c>
      <c r="V68" s="55" t="s">
        <v>3095</v>
      </c>
      <c r="W68" s="55" t="s">
        <v>3155</v>
      </c>
      <c r="X68" s="55" t="s">
        <v>3095</v>
      </c>
      <c r="Y68" s="55" t="s">
        <v>3095</v>
      </c>
      <c r="Z68" s="55" t="s">
        <v>3193</v>
      </c>
      <c r="AA68" s="55" t="s">
        <v>3211</v>
      </c>
      <c r="AB68" s="55" t="s">
        <v>3095</v>
      </c>
      <c r="AC68" s="55" t="s">
        <v>3103</v>
      </c>
      <c r="AD68" s="55" t="s">
        <v>3462</v>
      </c>
      <c r="AE68" s="55" t="s">
        <v>3095</v>
      </c>
      <c r="AF68" s="55" t="s">
        <v>3095</v>
      </c>
      <c r="AG68" s="55" t="s">
        <v>3095</v>
      </c>
      <c r="AH68" s="55" t="s">
        <v>3095</v>
      </c>
      <c r="AI68" s="55" t="s">
        <v>3095</v>
      </c>
      <c r="AJ68" s="55" t="s">
        <v>3095</v>
      </c>
      <c r="AK68" s="55" t="s">
        <v>3095</v>
      </c>
      <c r="AL68" s="55" t="s">
        <v>3095</v>
      </c>
      <c r="AM68" s="55" t="s">
        <v>3095</v>
      </c>
    </row>
    <row r="69" ht="45.0" customHeight="1">
      <c r="A69" s="55" t="s">
        <v>345</v>
      </c>
      <c r="B69" s="55" t="s">
        <v>3463</v>
      </c>
      <c r="C69" s="55" t="str">
        <f>IMAGE("https://raw.githubusercontent.com/ltdimages/images/refs/heads/main/Coordinate0045_00.png")</f>
        <v/>
      </c>
      <c r="D69" s="55" t="str">
        <f>IMAGE("https://raw.githubusercontent.com/ltdimages/images/refs/heads/main/Coordinate0045_01.png")</f>
        <v/>
      </c>
      <c r="E69" s="55" t="str">
        <f>IMAGE("https://raw.githubusercontent.com/ltdimages/images/refs/heads/main/Coordinate0045_02.png")</f>
        <v/>
      </c>
      <c r="F69" s="55" t="str">
        <f>IMAGE("https://raw.githubusercontent.com/ltdimages/images/refs/heads/main/Coordinate0045_03.png")</f>
        <v/>
      </c>
      <c r="G69" s="55" t="str">
        <f>IMAGE("https://raw.githubusercontent.com/ltdimages/images/refs/heads/main/Coordinate0045_04.png")</f>
        <v/>
      </c>
      <c r="H69" s="55" t="str">
        <f>IMAGE("https://raw.githubusercontent.com/ltdimages/images/refs/heads/main/Coordinate0045_05.png")</f>
        <v/>
      </c>
      <c r="I69" s="56" t="str">
        <f>IMAGE("https://raw.githubusercontent.com/ltdimages/images/refs/heads/main/Coordinate0045_06.png")</f>
        <v/>
      </c>
      <c r="J69" s="55" t="str">
        <f>IMAGE("https://raw.githubusercontent.com/ltdimages/images/refs/heads/main/Coordinate0045_07.png")</f>
        <v/>
      </c>
      <c r="K69" s="20" t="s">
        <v>3464</v>
      </c>
      <c r="L69" s="20" t="s">
        <v>3097</v>
      </c>
      <c r="M69" s="55" t="s">
        <v>3098</v>
      </c>
      <c r="N69" s="55" t="s">
        <v>3114</v>
      </c>
      <c r="O69" s="55" t="s">
        <v>45</v>
      </c>
      <c r="P69" s="55" t="s">
        <v>45</v>
      </c>
      <c r="Q69" s="55" t="s">
        <v>45</v>
      </c>
      <c r="R69" s="55" t="s">
        <v>45</v>
      </c>
      <c r="S69" s="55" t="s">
        <v>45</v>
      </c>
      <c r="T69" s="55" t="s">
        <v>45</v>
      </c>
      <c r="U69" s="55" t="s">
        <v>3465</v>
      </c>
      <c r="V69" s="55" t="s">
        <v>3095</v>
      </c>
      <c r="W69" s="55" t="s">
        <v>3466</v>
      </c>
      <c r="X69" s="55" t="s">
        <v>3095</v>
      </c>
      <c r="Y69" s="55" t="s">
        <v>3095</v>
      </c>
      <c r="Z69" s="55" t="s">
        <v>3118</v>
      </c>
      <c r="AA69" s="55" t="s">
        <v>3434</v>
      </c>
      <c r="AB69" s="55" t="s">
        <v>3095</v>
      </c>
      <c r="AC69" s="55" t="s">
        <v>3103</v>
      </c>
      <c r="AD69" s="55" t="s">
        <v>3467</v>
      </c>
      <c r="AE69" s="55" t="s">
        <v>3095</v>
      </c>
      <c r="AF69" s="55" t="s">
        <v>3095</v>
      </c>
      <c r="AG69" s="55" t="s">
        <v>3095</v>
      </c>
      <c r="AH69" s="55" t="s">
        <v>3095</v>
      </c>
      <c r="AI69" s="55" t="s">
        <v>3095</v>
      </c>
      <c r="AJ69" s="55" t="s">
        <v>3095</v>
      </c>
      <c r="AK69" s="55" t="s">
        <v>3095</v>
      </c>
      <c r="AL69" s="55" t="s">
        <v>3095</v>
      </c>
      <c r="AM69" s="55" t="s">
        <v>3095</v>
      </c>
    </row>
    <row r="70" ht="45.0" customHeight="1">
      <c r="A70" s="55" t="s">
        <v>349</v>
      </c>
      <c r="B70" s="55" t="s">
        <v>3468</v>
      </c>
      <c r="C70" s="55" t="str">
        <f>IMAGE("https://raw.githubusercontent.com/ltdimages/images/refs/heads/main/Coordinate0306_00.png")</f>
        <v/>
      </c>
      <c r="D70" s="55" t="str">
        <f>IMAGE("https://raw.githubusercontent.com/ltdimages/images/refs/heads/main/Coordinate0306_01.png")</f>
        <v/>
      </c>
      <c r="E70" s="55" t="str">
        <f>IMAGE("https://raw.githubusercontent.com/ltdimages/images/refs/heads/main/Coordinate0306_02.png")</f>
        <v/>
      </c>
      <c r="F70" s="55" t="str">
        <f>IMAGE("https://raw.githubusercontent.com/ltdimages/images/refs/heads/main/Coordinate0306_03.png")</f>
        <v/>
      </c>
      <c r="G70" s="55" t="str">
        <f>IMAGE("https://raw.githubusercontent.com/ltdimages/images/refs/heads/main/Coordinate0306_04.png")</f>
        <v/>
      </c>
      <c r="H70" s="55" t="str">
        <f>IMAGE("https://raw.githubusercontent.com/ltdimages/images/refs/heads/main/Coordinate0306_05.png")</f>
        <v/>
      </c>
      <c r="I70" s="56" t="str">
        <f>IMAGE("https://raw.githubusercontent.com/ltdimages/images/refs/heads/main/Coordinate0306_06.png")</f>
        <v/>
      </c>
      <c r="J70" s="55" t="str">
        <f>IMAGE("https://raw.githubusercontent.com/ltdimages/images/refs/heads/main/Coordinate0306_07.png")</f>
        <v/>
      </c>
      <c r="K70" s="20" t="s">
        <v>3469</v>
      </c>
      <c r="L70" s="20" t="s">
        <v>3097</v>
      </c>
      <c r="M70" s="55" t="s">
        <v>2574</v>
      </c>
      <c r="N70" s="55" t="s">
        <v>3099</v>
      </c>
      <c r="O70" s="55" t="s">
        <v>45</v>
      </c>
      <c r="P70" s="55" t="s">
        <v>45</v>
      </c>
      <c r="Q70" s="55" t="s">
        <v>45</v>
      </c>
      <c r="R70" s="55" t="s">
        <v>49</v>
      </c>
      <c r="S70" s="55" t="s">
        <v>45</v>
      </c>
      <c r="T70" s="55" t="s">
        <v>45</v>
      </c>
      <c r="U70" s="55" t="s">
        <v>3095</v>
      </c>
      <c r="V70" s="55" t="s">
        <v>3095</v>
      </c>
      <c r="W70" s="55" t="s">
        <v>3095</v>
      </c>
      <c r="X70" s="55" t="s">
        <v>3470</v>
      </c>
      <c r="Y70" s="55" t="s">
        <v>3095</v>
      </c>
      <c r="Z70" s="55" t="s">
        <v>3095</v>
      </c>
      <c r="AA70" s="55" t="s">
        <v>3095</v>
      </c>
      <c r="AB70" s="55" t="s">
        <v>3471</v>
      </c>
      <c r="AC70" s="55" t="s">
        <v>3099</v>
      </c>
      <c r="AD70" s="55" t="s">
        <v>3472</v>
      </c>
      <c r="AE70" s="55" t="s">
        <v>3095</v>
      </c>
      <c r="AF70" s="55" t="s">
        <v>3095</v>
      </c>
      <c r="AG70" s="55" t="s">
        <v>3095</v>
      </c>
      <c r="AH70" s="55" t="s">
        <v>3095</v>
      </c>
      <c r="AI70" s="55" t="s">
        <v>3095</v>
      </c>
      <c r="AJ70" s="55" t="s">
        <v>3095</v>
      </c>
      <c r="AK70" s="55" t="s">
        <v>3095</v>
      </c>
      <c r="AL70" s="55" t="s">
        <v>3095</v>
      </c>
      <c r="AM70" s="55" t="s">
        <v>3095</v>
      </c>
    </row>
    <row r="71" ht="45.0" customHeight="1">
      <c r="A71" s="55" t="s">
        <v>354</v>
      </c>
      <c r="B71" s="55" t="s">
        <v>3473</v>
      </c>
      <c r="C71" s="55" t="str">
        <f>IMAGE("https://raw.githubusercontent.com/ltdimages/images/refs/heads/main/Coordinate0323_00.png")</f>
        <v/>
      </c>
      <c r="D71" s="55" t="str">
        <f>IMAGE("https://raw.githubusercontent.com/ltdimages/images/refs/heads/main/Coordinate0323_01.png")</f>
        <v/>
      </c>
      <c r="E71" s="55" t="str">
        <f>IMAGE("https://raw.githubusercontent.com/ltdimages/images/refs/heads/main/Coordinate0323_02.png")</f>
        <v/>
      </c>
      <c r="F71" s="55" t="str">
        <f>IMAGE("https://raw.githubusercontent.com/ltdimages/images/refs/heads/main/Coordinate0323_03.png")</f>
        <v/>
      </c>
      <c r="G71" s="55" t="str">
        <f>IMAGE("https://raw.githubusercontent.com/ltdimages/images/refs/heads/main/Coordinate0323_04.png")</f>
        <v/>
      </c>
      <c r="H71" s="55" t="str">
        <f>IMAGE("https://raw.githubusercontent.com/ltdimages/images/refs/heads/main/Coordinate0323_05.png")</f>
        <v/>
      </c>
      <c r="I71" s="56" t="str">
        <f>IMAGE("https://raw.githubusercontent.com/ltdimages/images/refs/heads/main/Coordinate0323_06.png")</f>
        <v/>
      </c>
      <c r="J71" s="55" t="str">
        <f>IMAGE("https://raw.githubusercontent.com/ltdimages/images/refs/heads/main/Coordinate0323_07.png")</f>
        <v/>
      </c>
      <c r="K71" s="20" t="s">
        <v>3474</v>
      </c>
      <c r="L71" s="20" t="s">
        <v>3097</v>
      </c>
      <c r="M71" s="55" t="s">
        <v>3098</v>
      </c>
      <c r="N71" s="55" t="s">
        <v>3123</v>
      </c>
      <c r="O71" s="55" t="s">
        <v>45</v>
      </c>
      <c r="P71" s="55" t="s">
        <v>45</v>
      </c>
      <c r="Q71" s="55" t="s">
        <v>45</v>
      </c>
      <c r="R71" s="55" t="s">
        <v>45</v>
      </c>
      <c r="S71" s="55" t="s">
        <v>45</v>
      </c>
      <c r="T71" s="55" t="s">
        <v>45</v>
      </c>
      <c r="U71" s="55" t="s">
        <v>3475</v>
      </c>
      <c r="V71" s="55" t="s">
        <v>3095</v>
      </c>
      <c r="W71" s="55" t="s">
        <v>3476</v>
      </c>
      <c r="X71" s="55" t="s">
        <v>3445</v>
      </c>
      <c r="Y71" s="55" t="s">
        <v>3095</v>
      </c>
      <c r="Z71" s="55" t="s">
        <v>3477</v>
      </c>
      <c r="AA71" s="55" t="s">
        <v>3384</v>
      </c>
      <c r="AB71" s="55" t="s">
        <v>3095</v>
      </c>
      <c r="AC71" s="55" t="s">
        <v>3103</v>
      </c>
      <c r="AD71" s="55" t="s">
        <v>3478</v>
      </c>
      <c r="AE71" s="55" t="s">
        <v>3095</v>
      </c>
      <c r="AF71" s="55" t="s">
        <v>3095</v>
      </c>
      <c r="AG71" s="55" t="s">
        <v>3095</v>
      </c>
      <c r="AH71" s="55" t="s">
        <v>3095</v>
      </c>
      <c r="AI71" s="55" t="s">
        <v>3095</v>
      </c>
      <c r="AJ71" s="55" t="s">
        <v>3095</v>
      </c>
      <c r="AK71" s="55" t="s">
        <v>3095</v>
      </c>
      <c r="AL71" s="55" t="s">
        <v>3095</v>
      </c>
      <c r="AM71" s="55" t="s">
        <v>3095</v>
      </c>
    </row>
    <row r="72" ht="45.0" customHeight="1">
      <c r="A72" s="55" t="s">
        <v>358</v>
      </c>
      <c r="B72" s="55" t="s">
        <v>3479</v>
      </c>
      <c r="C72" s="55" t="str">
        <f>IMAGE("https://raw.githubusercontent.com/ltdimages/images/refs/heads/main/Coordinate0244_00.png")</f>
        <v/>
      </c>
      <c r="D72" s="55" t="str">
        <f>IMAGE("https://raw.githubusercontent.com/ltdimages/images/refs/heads/main/Coordinate0244_01.png")</f>
        <v/>
      </c>
      <c r="E72" s="55" t="str">
        <f>IMAGE("https://raw.githubusercontent.com/ltdimages/images/refs/heads/main/Coordinate0244_02.png")</f>
        <v/>
      </c>
      <c r="F72" s="55" t="str">
        <f>IMAGE("https://raw.githubusercontent.com/ltdimages/images/refs/heads/main/Coordinate0244_03.png")</f>
        <v/>
      </c>
      <c r="G72" s="55" t="s">
        <v>3095</v>
      </c>
      <c r="H72" s="55" t="s">
        <v>3095</v>
      </c>
      <c r="I72" s="56" t="s">
        <v>3095</v>
      </c>
      <c r="J72" s="55" t="s">
        <v>3095</v>
      </c>
      <c r="K72" s="20" t="s">
        <v>3480</v>
      </c>
      <c r="L72" s="20" t="s">
        <v>3097</v>
      </c>
      <c r="M72" s="55" t="s">
        <v>3098</v>
      </c>
      <c r="N72" s="55" t="s">
        <v>3123</v>
      </c>
      <c r="O72" s="55" t="s">
        <v>45</v>
      </c>
      <c r="P72" s="55" t="s">
        <v>45</v>
      </c>
      <c r="Q72" s="55" t="s">
        <v>45</v>
      </c>
      <c r="R72" s="55" t="s">
        <v>49</v>
      </c>
      <c r="S72" s="55" t="s">
        <v>45</v>
      </c>
      <c r="T72" s="55" t="s">
        <v>45</v>
      </c>
      <c r="U72" s="55" t="s">
        <v>3095</v>
      </c>
      <c r="V72" s="55" t="s">
        <v>3481</v>
      </c>
      <c r="W72" s="55" t="s">
        <v>3095</v>
      </c>
      <c r="X72" s="55" t="s">
        <v>3482</v>
      </c>
      <c r="Y72" s="55" t="s">
        <v>3483</v>
      </c>
      <c r="Z72" s="55" t="s">
        <v>3118</v>
      </c>
      <c r="AA72" s="55" t="s">
        <v>3157</v>
      </c>
      <c r="AB72" s="55" t="s">
        <v>3095</v>
      </c>
      <c r="AC72" s="55" t="s">
        <v>3110</v>
      </c>
      <c r="AD72" s="55" t="s">
        <v>3484</v>
      </c>
      <c r="AE72" s="55" t="s">
        <v>3095</v>
      </c>
      <c r="AF72" s="55" t="s">
        <v>3095</v>
      </c>
      <c r="AG72" s="55" t="s">
        <v>3095</v>
      </c>
      <c r="AH72" s="55" t="s">
        <v>3095</v>
      </c>
      <c r="AI72" s="55" t="s">
        <v>3095</v>
      </c>
      <c r="AJ72" s="55" t="s">
        <v>3095</v>
      </c>
      <c r="AK72" s="55" t="s">
        <v>3095</v>
      </c>
      <c r="AL72" s="55" t="s">
        <v>3095</v>
      </c>
      <c r="AM72" s="55" t="s">
        <v>3095</v>
      </c>
    </row>
    <row r="73" ht="45.0" customHeight="1">
      <c r="A73" s="55" t="s">
        <v>362</v>
      </c>
      <c r="B73" s="55" t="s">
        <v>3485</v>
      </c>
      <c r="C73" s="55" t="str">
        <f>IMAGE("https://raw.githubusercontent.com/ltdimages/images/refs/heads/main/Coordinate0204_00.png")</f>
        <v/>
      </c>
      <c r="D73" s="55" t="str">
        <f>IMAGE("https://raw.githubusercontent.com/ltdimages/images/refs/heads/main/Coordinate0204_01.png")</f>
        <v/>
      </c>
      <c r="E73" s="55" t="str">
        <f>IMAGE("https://raw.githubusercontent.com/ltdimages/images/refs/heads/main/Coordinate0204_02.png")</f>
        <v/>
      </c>
      <c r="F73" s="55" t="str">
        <f>IMAGE("https://raw.githubusercontent.com/ltdimages/images/refs/heads/main/Coordinate0204_03.png")</f>
        <v/>
      </c>
      <c r="G73" s="55" t="str">
        <f>IMAGE("https://raw.githubusercontent.com/ltdimages/images/refs/heads/main/Coordinate0204_04.png")</f>
        <v/>
      </c>
      <c r="H73" s="55" t="str">
        <f>IMAGE("https://raw.githubusercontent.com/ltdimages/images/refs/heads/main/Coordinate0204_05.png")</f>
        <v/>
      </c>
      <c r="I73" s="56" t="s">
        <v>3095</v>
      </c>
      <c r="J73" s="55" t="s">
        <v>3095</v>
      </c>
      <c r="K73" s="20" t="s">
        <v>3197</v>
      </c>
      <c r="L73" s="20" t="s">
        <v>3097</v>
      </c>
      <c r="M73" s="55" t="s">
        <v>2574</v>
      </c>
      <c r="N73" s="55" t="s">
        <v>3099</v>
      </c>
      <c r="O73" s="55" t="s">
        <v>45</v>
      </c>
      <c r="P73" s="55" t="s">
        <v>45</v>
      </c>
      <c r="Q73" s="55" t="s">
        <v>45</v>
      </c>
      <c r="R73" s="55" t="s">
        <v>49</v>
      </c>
      <c r="S73" s="55" t="s">
        <v>45</v>
      </c>
      <c r="T73" s="55" t="s">
        <v>45</v>
      </c>
      <c r="U73" s="55" t="s">
        <v>3095</v>
      </c>
      <c r="V73" s="55" t="s">
        <v>3095</v>
      </c>
      <c r="W73" s="55" t="s">
        <v>3095</v>
      </c>
      <c r="X73" s="55" t="s">
        <v>3486</v>
      </c>
      <c r="Y73" s="55" t="s">
        <v>3095</v>
      </c>
      <c r="Z73" s="55" t="s">
        <v>3095</v>
      </c>
      <c r="AA73" s="55" t="s">
        <v>3095</v>
      </c>
      <c r="AB73" s="55" t="s">
        <v>3487</v>
      </c>
      <c r="AC73" s="55" t="s">
        <v>3099</v>
      </c>
      <c r="AD73" s="55" t="s">
        <v>3488</v>
      </c>
      <c r="AE73" s="55" t="s">
        <v>3095</v>
      </c>
      <c r="AF73" s="55" t="s">
        <v>3095</v>
      </c>
      <c r="AG73" s="55" t="s">
        <v>3095</v>
      </c>
      <c r="AH73" s="55" t="s">
        <v>3095</v>
      </c>
      <c r="AI73" s="55" t="s">
        <v>3095</v>
      </c>
      <c r="AJ73" s="55" t="s">
        <v>3095</v>
      </c>
      <c r="AK73" s="55" t="s">
        <v>3095</v>
      </c>
      <c r="AL73" s="55" t="s">
        <v>3095</v>
      </c>
      <c r="AM73" s="55" t="s">
        <v>3095</v>
      </c>
    </row>
    <row r="74" ht="45.0" customHeight="1">
      <c r="A74" s="55" t="s">
        <v>367</v>
      </c>
      <c r="B74" s="55" t="s">
        <v>3489</v>
      </c>
      <c r="C74" s="55" t="str">
        <f>IMAGE("https://raw.githubusercontent.com/ltdimages/images/refs/heads/main/Coordinate0222_00.png")</f>
        <v/>
      </c>
      <c r="D74" s="55" t="str">
        <f>IMAGE("https://raw.githubusercontent.com/ltdimages/images/refs/heads/main/Coordinate0222_01.png")</f>
        <v/>
      </c>
      <c r="E74" s="55" t="str">
        <f>IMAGE("https://raw.githubusercontent.com/ltdimages/images/refs/heads/main/Coordinate0222_02.png")</f>
        <v/>
      </c>
      <c r="F74" s="55" t="str">
        <f>IMAGE("https://raw.githubusercontent.com/ltdimages/images/refs/heads/main/Coordinate0222_03.png")</f>
        <v/>
      </c>
      <c r="G74" s="55" t="str">
        <f>IMAGE("https://raw.githubusercontent.com/ltdimages/images/refs/heads/main/Coordinate0222_04.png")</f>
        <v/>
      </c>
      <c r="H74" s="55" t="str">
        <f>IMAGE("https://raw.githubusercontent.com/ltdimages/images/refs/heads/main/Coordinate0222_05.png")</f>
        <v/>
      </c>
      <c r="I74" s="56" t="str">
        <f>IMAGE("https://raw.githubusercontent.com/ltdimages/images/refs/heads/main/Coordinate0222_06.png")</f>
        <v/>
      </c>
      <c r="J74" s="55" t="str">
        <f>IMAGE("https://raw.githubusercontent.com/ltdimages/images/refs/heads/main/Coordinate0222_07.png")</f>
        <v/>
      </c>
      <c r="K74" s="20" t="s">
        <v>3449</v>
      </c>
      <c r="L74" s="20" t="s">
        <v>3097</v>
      </c>
      <c r="M74" s="55" t="s">
        <v>3098</v>
      </c>
      <c r="N74" s="55" t="s">
        <v>3114</v>
      </c>
      <c r="O74" s="55" t="s">
        <v>45</v>
      </c>
      <c r="P74" s="55" t="s">
        <v>45</v>
      </c>
      <c r="Q74" s="55" t="s">
        <v>45</v>
      </c>
      <c r="R74" s="55" t="s">
        <v>45</v>
      </c>
      <c r="S74" s="55" t="s">
        <v>45</v>
      </c>
      <c r="T74" s="55" t="s">
        <v>45</v>
      </c>
      <c r="U74" s="55" t="s">
        <v>3490</v>
      </c>
      <c r="V74" s="55" t="s">
        <v>3095</v>
      </c>
      <c r="W74" s="55" t="s">
        <v>3277</v>
      </c>
      <c r="X74" s="55" t="s">
        <v>3095</v>
      </c>
      <c r="Y74" s="55" t="s">
        <v>3095</v>
      </c>
      <c r="Z74" s="55" t="s">
        <v>3164</v>
      </c>
      <c r="AA74" s="55" t="s">
        <v>3491</v>
      </c>
      <c r="AB74" s="55" t="s">
        <v>3095</v>
      </c>
      <c r="AC74" s="55" t="s">
        <v>3103</v>
      </c>
      <c r="AD74" s="55" t="s">
        <v>3492</v>
      </c>
      <c r="AE74" s="55" t="s">
        <v>3095</v>
      </c>
      <c r="AF74" s="55" t="s">
        <v>3095</v>
      </c>
      <c r="AG74" s="55" t="s">
        <v>3095</v>
      </c>
      <c r="AH74" s="55" t="s">
        <v>3095</v>
      </c>
      <c r="AI74" s="55" t="s">
        <v>3095</v>
      </c>
      <c r="AJ74" s="55" t="s">
        <v>3095</v>
      </c>
      <c r="AK74" s="55" t="s">
        <v>3095</v>
      </c>
      <c r="AL74" s="55" t="s">
        <v>3095</v>
      </c>
      <c r="AM74" s="55" t="s">
        <v>3095</v>
      </c>
    </row>
    <row r="75" ht="45.0" customHeight="1">
      <c r="A75" s="55" t="s">
        <v>371</v>
      </c>
      <c r="B75" s="55" t="s">
        <v>3493</v>
      </c>
      <c r="C75" s="55" t="str">
        <f>IMAGE("https://raw.githubusercontent.com/ltdimages/images/refs/heads/main/Coordinate0271_00.png")</f>
        <v/>
      </c>
      <c r="D75" s="55" t="str">
        <f>IMAGE("https://raw.githubusercontent.com/ltdimages/images/refs/heads/main/Coordinate0271_01.png")</f>
        <v/>
      </c>
      <c r="E75" s="55" t="str">
        <f>IMAGE("https://raw.githubusercontent.com/ltdimages/images/refs/heads/main/Coordinate0271_02.png")</f>
        <v/>
      </c>
      <c r="F75" s="55" t="str">
        <f>IMAGE("https://raw.githubusercontent.com/ltdimages/images/refs/heads/main/Coordinate0271_03.png")</f>
        <v/>
      </c>
      <c r="G75" s="55" t="s">
        <v>3095</v>
      </c>
      <c r="H75" s="55" t="s">
        <v>3095</v>
      </c>
      <c r="I75" s="56" t="s">
        <v>3095</v>
      </c>
      <c r="J75" s="55" t="s">
        <v>3095</v>
      </c>
      <c r="K75" s="20" t="s">
        <v>3494</v>
      </c>
      <c r="L75" s="20" t="s">
        <v>3097</v>
      </c>
      <c r="M75" s="55" t="s">
        <v>2574</v>
      </c>
      <c r="N75" s="55" t="s">
        <v>3099</v>
      </c>
      <c r="O75" s="55" t="s">
        <v>45</v>
      </c>
      <c r="P75" s="55" t="s">
        <v>45</v>
      </c>
      <c r="Q75" s="55" t="s">
        <v>45</v>
      </c>
      <c r="R75" s="55" t="s">
        <v>49</v>
      </c>
      <c r="S75" s="55" t="s">
        <v>45</v>
      </c>
      <c r="T75" s="55" t="s">
        <v>45</v>
      </c>
      <c r="U75" s="55" t="s">
        <v>3095</v>
      </c>
      <c r="V75" s="55" t="s">
        <v>3495</v>
      </c>
      <c r="W75" s="55" t="s">
        <v>3095</v>
      </c>
      <c r="X75" s="55" t="s">
        <v>3496</v>
      </c>
      <c r="Y75" s="55" t="s">
        <v>3095</v>
      </c>
      <c r="Z75" s="55" t="s">
        <v>3118</v>
      </c>
      <c r="AA75" s="55" t="s">
        <v>3434</v>
      </c>
      <c r="AB75" s="55" t="s">
        <v>3095</v>
      </c>
      <c r="AC75" s="55" t="s">
        <v>3110</v>
      </c>
      <c r="AD75" s="55" t="s">
        <v>3497</v>
      </c>
      <c r="AE75" s="55" t="s">
        <v>3095</v>
      </c>
      <c r="AF75" s="55" t="s">
        <v>3095</v>
      </c>
      <c r="AG75" s="55" t="s">
        <v>3095</v>
      </c>
      <c r="AH75" s="55" t="s">
        <v>3095</v>
      </c>
      <c r="AI75" s="55" t="s">
        <v>3095</v>
      </c>
      <c r="AJ75" s="55" t="s">
        <v>3095</v>
      </c>
      <c r="AK75" s="55" t="s">
        <v>3095</v>
      </c>
      <c r="AL75" s="55" t="s">
        <v>3095</v>
      </c>
      <c r="AM75" s="55" t="s">
        <v>3095</v>
      </c>
    </row>
    <row r="76" ht="45.0" customHeight="1">
      <c r="A76" s="55" t="s">
        <v>375</v>
      </c>
      <c r="B76" s="55" t="s">
        <v>3498</v>
      </c>
      <c r="C76" s="55" t="str">
        <f>IMAGE("https://raw.githubusercontent.com/ltdimages/images/refs/heads/main/Coordinate0210_00.png")</f>
        <v/>
      </c>
      <c r="D76" s="55" t="str">
        <f>IMAGE("https://raw.githubusercontent.com/ltdimages/images/refs/heads/main/Coordinate0210_01.png")</f>
        <v/>
      </c>
      <c r="E76" s="55" t="str">
        <f>IMAGE("https://raw.githubusercontent.com/ltdimages/images/refs/heads/main/Coordinate0210_02.png")</f>
        <v/>
      </c>
      <c r="F76" s="55" t="str">
        <f>IMAGE("https://raw.githubusercontent.com/ltdimages/images/refs/heads/main/Coordinate0210_03.png")</f>
        <v/>
      </c>
      <c r="G76" s="55" t="str">
        <f>IMAGE("https://raw.githubusercontent.com/ltdimages/images/refs/heads/main/Coordinate0210_04.png")</f>
        <v/>
      </c>
      <c r="H76" s="55" t="str">
        <f>IMAGE("https://raw.githubusercontent.com/ltdimages/images/refs/heads/main/Coordinate0210_05.png")</f>
        <v/>
      </c>
      <c r="I76" s="56" t="str">
        <f>IMAGE("https://raw.githubusercontent.com/ltdimages/images/refs/heads/main/Coordinate0210_06.png")</f>
        <v/>
      </c>
      <c r="J76" s="55" t="str">
        <f>IMAGE("https://raw.githubusercontent.com/ltdimages/images/refs/heads/main/Coordinate0210_07.png")</f>
        <v/>
      </c>
      <c r="K76" s="20" t="s">
        <v>3499</v>
      </c>
      <c r="L76" s="20" t="s">
        <v>3097</v>
      </c>
      <c r="M76" s="55" t="s">
        <v>2574</v>
      </c>
      <c r="N76" s="55" t="s">
        <v>3099</v>
      </c>
      <c r="O76" s="55" t="s">
        <v>45</v>
      </c>
      <c r="P76" s="55" t="s">
        <v>45</v>
      </c>
      <c r="Q76" s="55" t="s">
        <v>45</v>
      </c>
      <c r="R76" s="55" t="s">
        <v>49</v>
      </c>
      <c r="S76" s="55" t="s">
        <v>45</v>
      </c>
      <c r="T76" s="55" t="s">
        <v>45</v>
      </c>
      <c r="U76" s="55" t="s">
        <v>3095</v>
      </c>
      <c r="V76" s="55" t="s">
        <v>3095</v>
      </c>
      <c r="W76" s="55" t="s">
        <v>3095</v>
      </c>
      <c r="X76" s="55" t="s">
        <v>3500</v>
      </c>
      <c r="Y76" s="55" t="s">
        <v>3095</v>
      </c>
      <c r="Z76" s="55" t="s">
        <v>3095</v>
      </c>
      <c r="AA76" s="55" t="s">
        <v>3095</v>
      </c>
      <c r="AB76" s="55" t="s">
        <v>3501</v>
      </c>
      <c r="AC76" s="55" t="s">
        <v>3099</v>
      </c>
      <c r="AD76" s="55" t="s">
        <v>3502</v>
      </c>
      <c r="AE76" s="55" t="s">
        <v>3095</v>
      </c>
      <c r="AF76" s="55" t="s">
        <v>3095</v>
      </c>
      <c r="AG76" s="55" t="s">
        <v>3095</v>
      </c>
      <c r="AH76" s="55" t="s">
        <v>3095</v>
      </c>
      <c r="AI76" s="55" t="s">
        <v>3095</v>
      </c>
      <c r="AJ76" s="55" t="s">
        <v>3095</v>
      </c>
      <c r="AK76" s="55" t="s">
        <v>3095</v>
      </c>
      <c r="AL76" s="55" t="s">
        <v>3095</v>
      </c>
      <c r="AM76" s="55" t="s">
        <v>3095</v>
      </c>
    </row>
    <row r="77" ht="45.0" customHeight="1">
      <c r="A77" s="55" t="s">
        <v>380</v>
      </c>
      <c r="B77" s="55" t="s">
        <v>3503</v>
      </c>
      <c r="C77" s="55" t="str">
        <f>IMAGE("https://raw.githubusercontent.com/ltdimages/images/refs/heads/main/Coordinate0032_00.png")</f>
        <v/>
      </c>
      <c r="D77" s="55" t="str">
        <f>IMAGE("https://raw.githubusercontent.com/ltdimages/images/refs/heads/main/Coordinate0032_01.png")</f>
        <v/>
      </c>
      <c r="E77" s="55" t="str">
        <f>IMAGE("https://raw.githubusercontent.com/ltdimages/images/refs/heads/main/Coordinate0032_02.png")</f>
        <v/>
      </c>
      <c r="F77" s="55" t="str">
        <f>IMAGE("https://raw.githubusercontent.com/ltdimages/images/refs/heads/main/Coordinate0032_03.png")</f>
        <v/>
      </c>
      <c r="G77" s="55" t="str">
        <f>IMAGE("https://raw.githubusercontent.com/ltdimages/images/refs/heads/main/Coordinate0032_04.png")</f>
        <v/>
      </c>
      <c r="H77" s="55" t="str">
        <f>IMAGE("https://raw.githubusercontent.com/ltdimages/images/refs/heads/main/Coordinate0032_05.png")</f>
        <v/>
      </c>
      <c r="I77" s="56" t="s">
        <v>3095</v>
      </c>
      <c r="J77" s="55" t="s">
        <v>3095</v>
      </c>
      <c r="K77" s="20" t="s">
        <v>3504</v>
      </c>
      <c r="L77" s="20" t="s">
        <v>3097</v>
      </c>
      <c r="M77" s="55" t="s">
        <v>3098</v>
      </c>
      <c r="N77" s="55" t="s">
        <v>3099</v>
      </c>
      <c r="O77" s="55" t="s">
        <v>45</v>
      </c>
      <c r="P77" s="55" t="s">
        <v>45</v>
      </c>
      <c r="Q77" s="55" t="s">
        <v>45</v>
      </c>
      <c r="R77" s="55" t="s">
        <v>45</v>
      </c>
      <c r="S77" s="55" t="s">
        <v>45</v>
      </c>
      <c r="T77" s="55" t="s">
        <v>45</v>
      </c>
      <c r="U77" s="55" t="s">
        <v>3505</v>
      </c>
      <c r="V77" s="55" t="s">
        <v>3095</v>
      </c>
      <c r="W77" s="55" t="s">
        <v>3254</v>
      </c>
      <c r="X77" s="55" t="s">
        <v>3095</v>
      </c>
      <c r="Y77" s="55" t="s">
        <v>3095</v>
      </c>
      <c r="Z77" s="55" t="s">
        <v>3193</v>
      </c>
      <c r="AA77" s="55" t="s">
        <v>3506</v>
      </c>
      <c r="AB77" s="55" t="s">
        <v>3095</v>
      </c>
      <c r="AC77" s="55" t="s">
        <v>3103</v>
      </c>
      <c r="AD77" s="55" t="s">
        <v>3507</v>
      </c>
      <c r="AE77" s="55" t="s">
        <v>3095</v>
      </c>
      <c r="AF77" s="55" t="s">
        <v>3095</v>
      </c>
      <c r="AG77" s="55" t="s">
        <v>3095</v>
      </c>
      <c r="AH77" s="55" t="s">
        <v>3095</v>
      </c>
      <c r="AI77" s="55" t="s">
        <v>3095</v>
      </c>
      <c r="AJ77" s="55" t="s">
        <v>3095</v>
      </c>
      <c r="AK77" s="55" t="s">
        <v>3095</v>
      </c>
      <c r="AL77" s="55" t="s">
        <v>3095</v>
      </c>
      <c r="AM77" s="55" t="s">
        <v>3095</v>
      </c>
    </row>
    <row r="78" ht="45.0" customHeight="1">
      <c r="A78" s="55" t="s">
        <v>384</v>
      </c>
      <c r="B78" s="55" t="s">
        <v>3508</v>
      </c>
      <c r="C78" s="55" t="str">
        <f>IMAGE("https://raw.githubusercontent.com/ltdimages/images/refs/heads/main/Coordinate0163_00.png")</f>
        <v/>
      </c>
      <c r="D78" s="55" t="str">
        <f>IMAGE("https://raw.githubusercontent.com/ltdimages/images/refs/heads/main/Coordinate0163_01.png")</f>
        <v/>
      </c>
      <c r="E78" s="55" t="str">
        <f>IMAGE("https://raw.githubusercontent.com/ltdimages/images/refs/heads/main/Coordinate0163_02.png")</f>
        <v/>
      </c>
      <c r="F78" s="55" t="str">
        <f>IMAGE("https://raw.githubusercontent.com/ltdimages/images/refs/heads/main/Coordinate0163_03.png")</f>
        <v/>
      </c>
      <c r="G78" s="55" t="str">
        <f>IMAGE("https://raw.githubusercontent.com/ltdimages/images/refs/heads/main/Coordinate0163_04.png")</f>
        <v/>
      </c>
      <c r="H78" s="55" t="str">
        <f>IMAGE("https://raw.githubusercontent.com/ltdimages/images/refs/heads/main/Coordinate0163_05.png")</f>
        <v/>
      </c>
      <c r="I78" s="56" t="str">
        <f>IMAGE("https://raw.githubusercontent.com/ltdimages/images/refs/heads/main/Coordinate0163_06.png")</f>
        <v/>
      </c>
      <c r="J78" s="55" t="str">
        <f>IMAGE("https://raw.githubusercontent.com/ltdimages/images/refs/heads/main/Coordinate0163_07.png")</f>
        <v/>
      </c>
      <c r="K78" s="20" t="s">
        <v>3509</v>
      </c>
      <c r="L78" s="20" t="s">
        <v>3097</v>
      </c>
      <c r="M78" s="55" t="s">
        <v>3098</v>
      </c>
      <c r="N78" s="55" t="s">
        <v>3114</v>
      </c>
      <c r="O78" s="55" t="s">
        <v>45</v>
      </c>
      <c r="P78" s="55" t="s">
        <v>45</v>
      </c>
      <c r="Q78" s="55" t="s">
        <v>45</v>
      </c>
      <c r="R78" s="55" t="s">
        <v>45</v>
      </c>
      <c r="S78" s="55" t="s">
        <v>45</v>
      </c>
      <c r="T78" s="55" t="s">
        <v>45</v>
      </c>
      <c r="U78" s="55" t="s">
        <v>3510</v>
      </c>
      <c r="V78" s="55" t="s">
        <v>3095</v>
      </c>
      <c r="W78" s="55" t="s">
        <v>3351</v>
      </c>
      <c r="X78" s="55" t="s">
        <v>3511</v>
      </c>
      <c r="Y78" s="55" t="s">
        <v>3095</v>
      </c>
      <c r="Z78" s="55" t="s">
        <v>3352</v>
      </c>
      <c r="AA78" s="55" t="s">
        <v>3512</v>
      </c>
      <c r="AB78" s="55" t="s">
        <v>3095</v>
      </c>
      <c r="AC78" s="55" t="s">
        <v>3103</v>
      </c>
      <c r="AD78" s="55" t="s">
        <v>3513</v>
      </c>
      <c r="AE78" s="55" t="s">
        <v>3095</v>
      </c>
      <c r="AF78" s="55" t="s">
        <v>3095</v>
      </c>
      <c r="AG78" s="55" t="s">
        <v>3095</v>
      </c>
      <c r="AH78" s="55" t="s">
        <v>3095</v>
      </c>
      <c r="AI78" s="55" t="s">
        <v>3095</v>
      </c>
      <c r="AJ78" s="55" t="s">
        <v>3095</v>
      </c>
      <c r="AK78" s="55" t="s">
        <v>3095</v>
      </c>
      <c r="AL78" s="55" t="s">
        <v>3095</v>
      </c>
      <c r="AM78" s="55" t="s">
        <v>3095</v>
      </c>
    </row>
    <row r="79" ht="45.0" customHeight="1">
      <c r="A79" s="55" t="s">
        <v>388</v>
      </c>
      <c r="B79" s="55" t="s">
        <v>3514</v>
      </c>
      <c r="C79" s="55" t="str">
        <f>IMAGE("https://raw.githubusercontent.com/ltdimages/images/refs/heads/main/Coordinate0190_00.png")</f>
        <v/>
      </c>
      <c r="D79" s="55" t="str">
        <f>IMAGE("https://raw.githubusercontent.com/ltdimages/images/refs/heads/main/Coordinate0190_01.png")</f>
        <v/>
      </c>
      <c r="E79" s="55" t="str">
        <f>IMAGE("https://raw.githubusercontent.com/ltdimages/images/refs/heads/main/Coordinate0190_02.png")</f>
        <v/>
      </c>
      <c r="F79" s="55" t="str">
        <f>IMAGE("https://raw.githubusercontent.com/ltdimages/images/refs/heads/main/Coordinate0190_03.png")</f>
        <v/>
      </c>
      <c r="G79" s="55" t="str">
        <f>IMAGE("https://raw.githubusercontent.com/ltdimages/images/refs/heads/main/Coordinate0190_04.png")</f>
        <v/>
      </c>
      <c r="H79" s="55" t="str">
        <f>IMAGE("https://raw.githubusercontent.com/ltdimages/images/refs/heads/main/Coordinate0190_05.png")</f>
        <v/>
      </c>
      <c r="I79" s="56" t="str">
        <f>IMAGE("https://raw.githubusercontent.com/ltdimages/images/refs/heads/main/Coordinate0190_06.png")</f>
        <v/>
      </c>
      <c r="J79" s="55" t="str">
        <f>IMAGE("https://raw.githubusercontent.com/ltdimages/images/refs/heads/main/Coordinate0190_07.png")</f>
        <v/>
      </c>
      <c r="K79" s="20" t="s">
        <v>3247</v>
      </c>
      <c r="L79" s="20" t="s">
        <v>3097</v>
      </c>
      <c r="M79" s="55" t="s">
        <v>2574</v>
      </c>
      <c r="N79" s="55" t="s">
        <v>3099</v>
      </c>
      <c r="O79" s="55" t="s">
        <v>45</v>
      </c>
      <c r="P79" s="55" t="s">
        <v>45</v>
      </c>
      <c r="Q79" s="55" t="s">
        <v>45</v>
      </c>
      <c r="R79" s="55" t="s">
        <v>49</v>
      </c>
      <c r="S79" s="55" t="s">
        <v>45</v>
      </c>
      <c r="T79" s="55" t="s">
        <v>45</v>
      </c>
      <c r="U79" s="55" t="s">
        <v>3095</v>
      </c>
      <c r="V79" s="55" t="s">
        <v>3095</v>
      </c>
      <c r="W79" s="55" t="s">
        <v>3095</v>
      </c>
      <c r="X79" s="55" t="s">
        <v>3515</v>
      </c>
      <c r="Y79" s="55" t="s">
        <v>3095</v>
      </c>
      <c r="Z79" s="55" t="s">
        <v>3095</v>
      </c>
      <c r="AA79" s="55" t="s">
        <v>3095</v>
      </c>
      <c r="AB79" s="55" t="s">
        <v>3269</v>
      </c>
      <c r="AC79" s="55" t="s">
        <v>3244</v>
      </c>
      <c r="AD79" s="55" t="s">
        <v>3516</v>
      </c>
      <c r="AE79" s="55" t="s">
        <v>3095</v>
      </c>
      <c r="AF79" s="55" t="s">
        <v>3095</v>
      </c>
      <c r="AG79" s="55" t="s">
        <v>3095</v>
      </c>
      <c r="AH79" s="55" t="s">
        <v>3095</v>
      </c>
      <c r="AI79" s="55" t="s">
        <v>3095</v>
      </c>
      <c r="AJ79" s="55" t="s">
        <v>3095</v>
      </c>
      <c r="AK79" s="55" t="s">
        <v>3095</v>
      </c>
      <c r="AL79" s="55" t="s">
        <v>3095</v>
      </c>
      <c r="AM79" s="55" t="s">
        <v>3095</v>
      </c>
    </row>
    <row r="80" ht="45.0" customHeight="1">
      <c r="A80" s="55" t="s">
        <v>392</v>
      </c>
      <c r="B80" s="55" t="s">
        <v>3517</v>
      </c>
      <c r="C80" s="55" t="str">
        <f>IMAGE("https://raw.githubusercontent.com/ltdimages/images/refs/heads/main/Coordinate0157_00.png")</f>
        <v/>
      </c>
      <c r="D80" s="55" t="str">
        <f>IMAGE("https://raw.githubusercontent.com/ltdimages/images/refs/heads/main/Coordinate0157_01.png")</f>
        <v/>
      </c>
      <c r="E80" s="55" t="str">
        <f>IMAGE("https://raw.githubusercontent.com/ltdimages/images/refs/heads/main/Coordinate0157_02.png")</f>
        <v/>
      </c>
      <c r="F80" s="55" t="str">
        <f>IMAGE("https://raw.githubusercontent.com/ltdimages/images/refs/heads/main/Coordinate0157_03.png")</f>
        <v/>
      </c>
      <c r="G80" s="55" t="str">
        <f>IMAGE("https://raw.githubusercontent.com/ltdimages/images/refs/heads/main/Coordinate0157_04.png")</f>
        <v/>
      </c>
      <c r="H80" s="55" t="str">
        <f>IMAGE("https://raw.githubusercontent.com/ltdimages/images/refs/heads/main/Coordinate0157_05.png")</f>
        <v/>
      </c>
      <c r="I80" s="56" t="str">
        <f>IMAGE("https://raw.githubusercontent.com/ltdimages/images/refs/heads/main/Coordinate0157_06.png")</f>
        <v/>
      </c>
      <c r="J80" s="55" t="str">
        <f>IMAGE("https://raw.githubusercontent.com/ltdimages/images/refs/heads/main/Coordinate0157_07.png")</f>
        <v/>
      </c>
      <c r="K80" s="20" t="s">
        <v>3518</v>
      </c>
      <c r="L80" s="20" t="s">
        <v>3097</v>
      </c>
      <c r="M80" s="55" t="s">
        <v>3098</v>
      </c>
      <c r="N80" s="55" t="s">
        <v>3123</v>
      </c>
      <c r="O80" s="55" t="s">
        <v>45</v>
      </c>
      <c r="P80" s="55" t="s">
        <v>45</v>
      </c>
      <c r="Q80" s="55" t="s">
        <v>45</v>
      </c>
      <c r="R80" s="55" t="s">
        <v>45</v>
      </c>
      <c r="S80" s="55" t="s">
        <v>45</v>
      </c>
      <c r="T80" s="55" t="s">
        <v>45</v>
      </c>
      <c r="U80" s="55" t="s">
        <v>3095</v>
      </c>
      <c r="V80" s="55" t="s">
        <v>3519</v>
      </c>
      <c r="W80" s="55" t="s">
        <v>3095</v>
      </c>
      <c r="X80" s="55" t="s">
        <v>3520</v>
      </c>
      <c r="Y80" s="55" t="s">
        <v>3095</v>
      </c>
      <c r="Z80" s="55" t="s">
        <v>3365</v>
      </c>
      <c r="AA80" s="55" t="s">
        <v>3389</v>
      </c>
      <c r="AB80" s="55" t="s">
        <v>3095</v>
      </c>
      <c r="AC80" s="55" t="s">
        <v>3110</v>
      </c>
      <c r="AD80" s="55" t="s">
        <v>3521</v>
      </c>
      <c r="AE80" s="55" t="s">
        <v>3095</v>
      </c>
      <c r="AF80" s="55" t="s">
        <v>3095</v>
      </c>
      <c r="AG80" s="55" t="s">
        <v>3095</v>
      </c>
      <c r="AH80" s="55" t="s">
        <v>3095</v>
      </c>
      <c r="AI80" s="55" t="s">
        <v>3095</v>
      </c>
      <c r="AJ80" s="55" t="s">
        <v>3095</v>
      </c>
      <c r="AK80" s="55" t="s">
        <v>3095</v>
      </c>
      <c r="AL80" s="55" t="s">
        <v>3095</v>
      </c>
      <c r="AM80" s="55" t="s">
        <v>3095</v>
      </c>
    </row>
    <row r="81" ht="45.0" customHeight="1">
      <c r="A81" s="55" t="s">
        <v>396</v>
      </c>
      <c r="B81" s="55" t="s">
        <v>3522</v>
      </c>
      <c r="C81" s="55" t="str">
        <f>IMAGE("https://raw.githubusercontent.com/ltdimages/images/refs/heads/main/Coordinate0344_00.png")</f>
        <v/>
      </c>
      <c r="D81" s="55" t="str">
        <f>IMAGE("https://raw.githubusercontent.com/ltdimages/images/refs/heads/main/Coordinate0344_01.png")</f>
        <v/>
      </c>
      <c r="E81" s="55" t="str">
        <f>IMAGE("https://raw.githubusercontent.com/ltdimages/images/refs/heads/main/Coordinate0344_02.png")</f>
        <v/>
      </c>
      <c r="F81" s="55" t="str">
        <f>IMAGE("https://raw.githubusercontent.com/ltdimages/images/refs/heads/main/Coordinate0344_03.png")</f>
        <v/>
      </c>
      <c r="G81" s="55" t="str">
        <f>IMAGE("https://raw.githubusercontent.com/ltdimages/images/refs/heads/main/Coordinate0344_04.png")</f>
        <v/>
      </c>
      <c r="H81" s="55" t="str">
        <f>IMAGE("https://raw.githubusercontent.com/ltdimages/images/refs/heads/main/Coordinate0344_05.png")</f>
        <v/>
      </c>
      <c r="I81" s="56" t="s">
        <v>3095</v>
      </c>
      <c r="J81" s="55" t="s">
        <v>3095</v>
      </c>
      <c r="K81" s="20" t="s">
        <v>3523</v>
      </c>
      <c r="L81" s="20" t="s">
        <v>3097</v>
      </c>
      <c r="M81" s="55" t="s">
        <v>3098</v>
      </c>
      <c r="N81" s="55" t="s">
        <v>3099</v>
      </c>
      <c r="O81" s="55" t="s">
        <v>45</v>
      </c>
      <c r="P81" s="55" t="s">
        <v>45</v>
      </c>
      <c r="Q81" s="55" t="s">
        <v>45</v>
      </c>
      <c r="R81" s="55" t="s">
        <v>45</v>
      </c>
      <c r="S81" s="55" t="s">
        <v>45</v>
      </c>
      <c r="T81" s="55" t="s">
        <v>45</v>
      </c>
      <c r="U81" s="55" t="s">
        <v>3095</v>
      </c>
      <c r="V81" s="55" t="s">
        <v>3524</v>
      </c>
      <c r="W81" s="55" t="s">
        <v>3095</v>
      </c>
      <c r="X81" s="55" t="s">
        <v>3525</v>
      </c>
      <c r="Y81" s="55" t="s">
        <v>3095</v>
      </c>
      <c r="Z81" s="55" t="s">
        <v>3200</v>
      </c>
      <c r="AA81" s="55" t="s">
        <v>3201</v>
      </c>
      <c r="AB81" s="55" t="s">
        <v>3095</v>
      </c>
      <c r="AC81" s="55" t="s">
        <v>3110</v>
      </c>
      <c r="AD81" s="55" t="s">
        <v>3526</v>
      </c>
      <c r="AE81" s="55" t="s">
        <v>3095</v>
      </c>
      <c r="AF81" s="55" t="s">
        <v>3095</v>
      </c>
      <c r="AG81" s="55" t="s">
        <v>3095</v>
      </c>
      <c r="AH81" s="55" t="s">
        <v>3095</v>
      </c>
      <c r="AI81" s="55" t="s">
        <v>3095</v>
      </c>
      <c r="AJ81" s="55" t="s">
        <v>3095</v>
      </c>
      <c r="AK81" s="55" t="s">
        <v>3095</v>
      </c>
      <c r="AL81" s="55" t="s">
        <v>3095</v>
      </c>
      <c r="AM81" s="55" t="s">
        <v>3095</v>
      </c>
    </row>
    <row r="82" ht="45.0" customHeight="1">
      <c r="A82" s="55" t="s">
        <v>400</v>
      </c>
      <c r="B82" s="55" t="s">
        <v>3527</v>
      </c>
      <c r="C82" s="55" t="str">
        <f>IMAGE("https://raw.githubusercontent.com/ltdimages/images/refs/heads/main/Coordinate0339_00.png")</f>
        <v/>
      </c>
      <c r="D82" s="55" t="str">
        <f>IMAGE("https://raw.githubusercontent.com/ltdimages/images/refs/heads/main/Coordinate0339_01.png")</f>
        <v/>
      </c>
      <c r="E82" s="55" t="str">
        <f>IMAGE("https://raw.githubusercontent.com/ltdimages/images/refs/heads/main/Coordinate0339_02.png")</f>
        <v/>
      </c>
      <c r="F82" s="55" t="str">
        <f>IMAGE("https://raw.githubusercontent.com/ltdimages/images/refs/heads/main/Coordinate0339_03.png")</f>
        <v/>
      </c>
      <c r="G82" s="55" t="str">
        <f>IMAGE("https://raw.githubusercontent.com/ltdimages/images/refs/heads/main/Coordinate0339_04.png")</f>
        <v/>
      </c>
      <c r="H82" s="55" t="str">
        <f>IMAGE("https://raw.githubusercontent.com/ltdimages/images/refs/heads/main/Coordinate0339_05.png")</f>
        <v/>
      </c>
      <c r="I82" s="56" t="s">
        <v>3095</v>
      </c>
      <c r="J82" s="55" t="s">
        <v>3095</v>
      </c>
      <c r="K82" s="20" t="s">
        <v>3528</v>
      </c>
      <c r="L82" s="20" t="s">
        <v>3097</v>
      </c>
      <c r="M82" s="55" t="s">
        <v>3098</v>
      </c>
      <c r="N82" s="55" t="s">
        <v>3099</v>
      </c>
      <c r="O82" s="55" t="s">
        <v>45</v>
      </c>
      <c r="P82" s="55" t="s">
        <v>45</v>
      </c>
      <c r="Q82" s="55" t="s">
        <v>45</v>
      </c>
      <c r="R82" s="55" t="s">
        <v>45</v>
      </c>
      <c r="S82" s="55" t="s">
        <v>45</v>
      </c>
      <c r="T82" s="55" t="s">
        <v>45</v>
      </c>
      <c r="U82" s="55" t="s">
        <v>3095</v>
      </c>
      <c r="V82" s="55" t="s">
        <v>3529</v>
      </c>
      <c r="W82" s="55" t="s">
        <v>3095</v>
      </c>
      <c r="X82" s="55" t="s">
        <v>3095</v>
      </c>
      <c r="Y82" s="55" t="s">
        <v>3095</v>
      </c>
      <c r="Z82" s="55" t="s">
        <v>3156</v>
      </c>
      <c r="AA82" s="55" t="s">
        <v>3157</v>
      </c>
      <c r="AB82" s="55" t="s">
        <v>3095</v>
      </c>
      <c r="AC82" s="55" t="s">
        <v>3110</v>
      </c>
      <c r="AD82" s="55" t="s">
        <v>3530</v>
      </c>
      <c r="AE82" s="55" t="s">
        <v>3095</v>
      </c>
      <c r="AF82" s="55" t="s">
        <v>3095</v>
      </c>
      <c r="AG82" s="55" t="s">
        <v>3095</v>
      </c>
      <c r="AH82" s="55" t="s">
        <v>3095</v>
      </c>
      <c r="AI82" s="55" t="s">
        <v>3095</v>
      </c>
      <c r="AJ82" s="55" t="s">
        <v>3095</v>
      </c>
      <c r="AK82" s="55" t="s">
        <v>3095</v>
      </c>
      <c r="AL82" s="55" t="s">
        <v>3095</v>
      </c>
      <c r="AM82" s="55" t="s">
        <v>3095</v>
      </c>
    </row>
    <row r="83" ht="45.0" customHeight="1">
      <c r="A83" s="55" t="s">
        <v>404</v>
      </c>
      <c r="B83" s="55" t="s">
        <v>3531</v>
      </c>
      <c r="C83" s="55" t="str">
        <f>IMAGE("https://raw.githubusercontent.com/ltdimages/images/refs/heads/main/Coordinate0162_00.png")</f>
        <v/>
      </c>
      <c r="D83" s="55" t="str">
        <f>IMAGE("https://raw.githubusercontent.com/ltdimages/images/refs/heads/main/Coordinate0162_01.png")</f>
        <v/>
      </c>
      <c r="E83" s="55" t="str">
        <f>IMAGE("https://raw.githubusercontent.com/ltdimages/images/refs/heads/main/Coordinate0162_02.png")</f>
        <v/>
      </c>
      <c r="F83" s="55" t="str">
        <f>IMAGE("https://raw.githubusercontent.com/ltdimages/images/refs/heads/main/Coordinate0162_03.png")</f>
        <v/>
      </c>
      <c r="G83" s="55" t="str">
        <f>IMAGE("https://raw.githubusercontent.com/ltdimages/images/refs/heads/main/Coordinate0162_04.png")</f>
        <v/>
      </c>
      <c r="H83" s="55" t="s">
        <v>3095</v>
      </c>
      <c r="I83" s="56" t="s">
        <v>3095</v>
      </c>
      <c r="J83" s="55" t="s">
        <v>3095</v>
      </c>
      <c r="K83" s="20" t="s">
        <v>3532</v>
      </c>
      <c r="L83" s="20" t="s">
        <v>3097</v>
      </c>
      <c r="M83" s="55" t="s">
        <v>3098</v>
      </c>
      <c r="N83" s="55" t="s">
        <v>3099</v>
      </c>
      <c r="O83" s="55" t="s">
        <v>45</v>
      </c>
      <c r="P83" s="55" t="s">
        <v>45</v>
      </c>
      <c r="Q83" s="55" t="s">
        <v>45</v>
      </c>
      <c r="R83" s="55" t="s">
        <v>45</v>
      </c>
      <c r="S83" s="55" t="s">
        <v>45</v>
      </c>
      <c r="T83" s="55" t="s">
        <v>45</v>
      </c>
      <c r="U83" s="55" t="s">
        <v>3533</v>
      </c>
      <c r="V83" s="55" t="s">
        <v>3095</v>
      </c>
      <c r="W83" s="55" t="s">
        <v>3277</v>
      </c>
      <c r="X83" s="55" t="s">
        <v>3095</v>
      </c>
      <c r="Y83" s="55" t="s">
        <v>3095</v>
      </c>
      <c r="Z83" s="55" t="s">
        <v>3118</v>
      </c>
      <c r="AA83" s="55" t="s">
        <v>3150</v>
      </c>
      <c r="AB83" s="55" t="s">
        <v>3095</v>
      </c>
      <c r="AC83" s="55" t="s">
        <v>3103</v>
      </c>
      <c r="AD83" s="55" t="s">
        <v>3534</v>
      </c>
      <c r="AE83" s="55" t="s">
        <v>3095</v>
      </c>
      <c r="AF83" s="55" t="s">
        <v>3095</v>
      </c>
      <c r="AG83" s="55" t="s">
        <v>3095</v>
      </c>
      <c r="AH83" s="55" t="s">
        <v>3095</v>
      </c>
      <c r="AI83" s="55" t="s">
        <v>3095</v>
      </c>
      <c r="AJ83" s="55" t="s">
        <v>3095</v>
      </c>
      <c r="AK83" s="55" t="s">
        <v>3095</v>
      </c>
      <c r="AL83" s="55" t="s">
        <v>3095</v>
      </c>
      <c r="AM83" s="55" t="s">
        <v>3095</v>
      </c>
    </row>
    <row r="84" ht="45.0" customHeight="1">
      <c r="A84" s="55" t="s">
        <v>410</v>
      </c>
      <c r="B84" s="55" t="s">
        <v>3535</v>
      </c>
      <c r="C84" s="55" t="str">
        <f>IMAGE("https://raw.githubusercontent.com/ltdimages/images/refs/heads/main/Coordinate0094_00.png")</f>
        <v/>
      </c>
      <c r="D84" s="55" t="s">
        <v>3095</v>
      </c>
      <c r="E84" s="55" t="s">
        <v>3095</v>
      </c>
      <c r="F84" s="55" t="s">
        <v>3095</v>
      </c>
      <c r="G84" s="55" t="s">
        <v>3095</v>
      </c>
      <c r="H84" s="55" t="s">
        <v>3095</v>
      </c>
      <c r="I84" s="56" t="s">
        <v>3095</v>
      </c>
      <c r="J84" s="55" t="s">
        <v>3095</v>
      </c>
      <c r="K84" s="20" t="s">
        <v>3536</v>
      </c>
      <c r="L84" s="20" t="s">
        <v>3097</v>
      </c>
      <c r="M84" s="55" t="s">
        <v>2574</v>
      </c>
      <c r="N84" s="55" t="s">
        <v>3099</v>
      </c>
      <c r="O84" s="55" t="s">
        <v>45</v>
      </c>
      <c r="P84" s="55" t="s">
        <v>45</v>
      </c>
      <c r="Q84" s="55" t="s">
        <v>45</v>
      </c>
      <c r="R84" s="55" t="s">
        <v>49</v>
      </c>
      <c r="S84" s="55" t="s">
        <v>45</v>
      </c>
      <c r="T84" s="55" t="s">
        <v>45</v>
      </c>
      <c r="U84" s="55" t="s">
        <v>3095</v>
      </c>
      <c r="V84" s="55" t="s">
        <v>3095</v>
      </c>
      <c r="W84" s="55" t="s">
        <v>3095</v>
      </c>
      <c r="X84" s="55" t="s">
        <v>3537</v>
      </c>
      <c r="Y84" s="55" t="s">
        <v>3095</v>
      </c>
      <c r="Z84" s="55" t="s">
        <v>3095</v>
      </c>
      <c r="AA84" s="55" t="s">
        <v>3095</v>
      </c>
      <c r="AB84" s="55" t="s">
        <v>3538</v>
      </c>
      <c r="AC84" s="55" t="s">
        <v>3099</v>
      </c>
      <c r="AD84" s="55" t="s">
        <v>3539</v>
      </c>
      <c r="AE84" s="55" t="s">
        <v>3095</v>
      </c>
      <c r="AF84" s="55" t="s">
        <v>3095</v>
      </c>
      <c r="AG84" s="55" t="s">
        <v>3095</v>
      </c>
      <c r="AH84" s="55" t="s">
        <v>3095</v>
      </c>
      <c r="AI84" s="55" t="s">
        <v>3095</v>
      </c>
      <c r="AJ84" s="55" t="s">
        <v>3095</v>
      </c>
      <c r="AK84" s="55" t="s">
        <v>3095</v>
      </c>
      <c r="AL84" s="55" t="s">
        <v>3095</v>
      </c>
      <c r="AM84" s="55" t="s">
        <v>3095</v>
      </c>
    </row>
    <row r="85" ht="45.0" customHeight="1">
      <c r="A85" s="55" t="s">
        <v>414</v>
      </c>
      <c r="B85" s="55" t="s">
        <v>3540</v>
      </c>
      <c r="C85" s="55" t="str">
        <f>IMAGE("https://raw.githubusercontent.com/ltdimages/images/refs/heads/main/Coordinate0043_00.png")</f>
        <v/>
      </c>
      <c r="D85" s="55" t="str">
        <f>IMAGE("https://raw.githubusercontent.com/ltdimages/images/refs/heads/main/Coordinate0043_01.png")</f>
        <v/>
      </c>
      <c r="E85" s="55" t="str">
        <f>IMAGE("https://raw.githubusercontent.com/ltdimages/images/refs/heads/main/Coordinate0043_02.png")</f>
        <v/>
      </c>
      <c r="F85" s="55" t="str">
        <f>IMAGE("https://raw.githubusercontent.com/ltdimages/images/refs/heads/main/Coordinate0043_03.png")</f>
        <v/>
      </c>
      <c r="G85" s="55" t="str">
        <f>IMAGE("https://raw.githubusercontent.com/ltdimages/images/refs/heads/main/Coordinate0043_04.png")</f>
        <v/>
      </c>
      <c r="H85" s="55" t="str">
        <f>IMAGE("https://raw.githubusercontent.com/ltdimages/images/refs/heads/main/Coordinate0043_05.png")</f>
        <v/>
      </c>
      <c r="I85" s="56" t="s">
        <v>3095</v>
      </c>
      <c r="J85" s="55" t="s">
        <v>3095</v>
      </c>
      <c r="K85" s="20" t="s">
        <v>3541</v>
      </c>
      <c r="L85" s="20" t="s">
        <v>3097</v>
      </c>
      <c r="M85" s="55" t="s">
        <v>3098</v>
      </c>
      <c r="N85" s="55" t="s">
        <v>3123</v>
      </c>
      <c r="O85" s="55" t="s">
        <v>45</v>
      </c>
      <c r="P85" s="55" t="s">
        <v>45</v>
      </c>
      <c r="Q85" s="55" t="s">
        <v>45</v>
      </c>
      <c r="R85" s="55" t="s">
        <v>45</v>
      </c>
      <c r="S85" s="55" t="s">
        <v>49</v>
      </c>
      <c r="T85" s="55" t="s">
        <v>45</v>
      </c>
      <c r="U85" s="55" t="s">
        <v>3542</v>
      </c>
      <c r="V85" s="55" t="s">
        <v>3095</v>
      </c>
      <c r="W85" s="55" t="s">
        <v>3543</v>
      </c>
      <c r="X85" s="55" t="s">
        <v>3095</v>
      </c>
      <c r="Y85" s="55" t="s">
        <v>3095</v>
      </c>
      <c r="Z85" s="55" t="s">
        <v>3095</v>
      </c>
      <c r="AA85" s="55" t="s">
        <v>3127</v>
      </c>
      <c r="AB85" s="55" t="s">
        <v>3095</v>
      </c>
      <c r="AC85" s="55" t="s">
        <v>3103</v>
      </c>
      <c r="AD85" s="55" t="s">
        <v>3544</v>
      </c>
      <c r="AE85" s="55" t="s">
        <v>3095</v>
      </c>
      <c r="AF85" s="55" t="s">
        <v>3095</v>
      </c>
      <c r="AG85" s="55" t="s">
        <v>3095</v>
      </c>
      <c r="AH85" s="55" t="s">
        <v>3095</v>
      </c>
      <c r="AI85" s="55" t="s">
        <v>3095</v>
      </c>
      <c r="AJ85" s="55" t="s">
        <v>3095</v>
      </c>
      <c r="AK85" s="55" t="s">
        <v>3095</v>
      </c>
      <c r="AL85" s="55" t="s">
        <v>3095</v>
      </c>
      <c r="AM85" s="55" t="s">
        <v>3095</v>
      </c>
    </row>
    <row r="86" ht="45.0" customHeight="1">
      <c r="A86" s="55" t="s">
        <v>418</v>
      </c>
      <c r="B86" s="55" t="s">
        <v>3545</v>
      </c>
      <c r="C86" s="55" t="str">
        <f>IMAGE("https://raw.githubusercontent.com/ltdimages/images/refs/heads/main/Coordinate0266_00.png")</f>
        <v/>
      </c>
      <c r="D86" s="55" t="str">
        <f>IMAGE("https://raw.githubusercontent.com/ltdimages/images/refs/heads/main/Coordinate0266_01.png")</f>
        <v/>
      </c>
      <c r="E86" s="55" t="str">
        <f>IMAGE("https://raw.githubusercontent.com/ltdimages/images/refs/heads/main/Coordinate0266_02.png")</f>
        <v/>
      </c>
      <c r="F86" s="55" t="str">
        <f>IMAGE("https://raw.githubusercontent.com/ltdimages/images/refs/heads/main/Coordinate0266_03.png")</f>
        <v/>
      </c>
      <c r="G86" s="55" t="str">
        <f>IMAGE("https://raw.githubusercontent.com/ltdimages/images/refs/heads/main/Coordinate0266_04.png")</f>
        <v/>
      </c>
      <c r="H86" s="55" t="str">
        <f>IMAGE("https://raw.githubusercontent.com/ltdimages/images/refs/heads/main/Coordinate0266_05.png")</f>
        <v/>
      </c>
      <c r="I86" s="56" t="str">
        <f>IMAGE("https://raw.githubusercontent.com/ltdimages/images/refs/heads/main/Coordinate0266_06.png")</f>
        <v/>
      </c>
      <c r="J86" s="55" t="str">
        <f>IMAGE("https://raw.githubusercontent.com/ltdimages/images/refs/heads/main/Coordinate0266_07.png")</f>
        <v/>
      </c>
      <c r="K86" s="20" t="s">
        <v>3546</v>
      </c>
      <c r="L86" s="20" t="s">
        <v>3097</v>
      </c>
      <c r="M86" s="55" t="s">
        <v>3098</v>
      </c>
      <c r="N86" s="55" t="s">
        <v>3099</v>
      </c>
      <c r="O86" s="55" t="s">
        <v>45</v>
      </c>
      <c r="P86" s="55" t="s">
        <v>45</v>
      </c>
      <c r="Q86" s="55" t="s">
        <v>45</v>
      </c>
      <c r="R86" s="55" t="s">
        <v>49</v>
      </c>
      <c r="S86" s="55" t="s">
        <v>45</v>
      </c>
      <c r="T86" s="55" t="s">
        <v>45</v>
      </c>
      <c r="U86" s="55" t="s">
        <v>3547</v>
      </c>
      <c r="V86" s="55" t="s">
        <v>3095</v>
      </c>
      <c r="W86" s="55" t="s">
        <v>3548</v>
      </c>
      <c r="X86" s="55" t="s">
        <v>3549</v>
      </c>
      <c r="Y86" s="55" t="s">
        <v>3095</v>
      </c>
      <c r="Z86" s="55" t="s">
        <v>3095</v>
      </c>
      <c r="AA86" s="55" t="s">
        <v>3550</v>
      </c>
      <c r="AB86" s="55" t="s">
        <v>3095</v>
      </c>
      <c r="AC86" s="55" t="s">
        <v>3103</v>
      </c>
      <c r="AD86" s="55" t="s">
        <v>3551</v>
      </c>
      <c r="AE86" s="55" t="s">
        <v>3095</v>
      </c>
      <c r="AF86" s="55" t="s">
        <v>3095</v>
      </c>
      <c r="AG86" s="55" t="s">
        <v>3095</v>
      </c>
      <c r="AH86" s="55" t="s">
        <v>3095</v>
      </c>
      <c r="AI86" s="55" t="s">
        <v>3095</v>
      </c>
      <c r="AJ86" s="55" t="s">
        <v>3095</v>
      </c>
      <c r="AK86" s="55" t="s">
        <v>3095</v>
      </c>
      <c r="AL86" s="55" t="s">
        <v>3095</v>
      </c>
      <c r="AM86" s="55" t="s">
        <v>3095</v>
      </c>
    </row>
    <row r="87" ht="45.0" customHeight="1">
      <c r="A87" s="55" t="s">
        <v>422</v>
      </c>
      <c r="B87" s="55" t="s">
        <v>3552</v>
      </c>
      <c r="C87" s="55" t="str">
        <f>IMAGE("https://raw.githubusercontent.com/ltdimages/images/refs/heads/main/Coordinate0098_00.png")</f>
        <v/>
      </c>
      <c r="D87" s="55" t="str">
        <f>IMAGE("https://raw.githubusercontent.com/ltdimages/images/refs/heads/main/Coordinate0098_01.png")</f>
        <v/>
      </c>
      <c r="E87" s="55" t="str">
        <f>IMAGE("https://raw.githubusercontent.com/ltdimages/images/refs/heads/main/Coordinate0098_02.png")</f>
        <v/>
      </c>
      <c r="F87" s="55" t="str">
        <f>IMAGE("https://raw.githubusercontent.com/ltdimages/images/refs/heads/main/Coordinate0098_03.png")</f>
        <v/>
      </c>
      <c r="G87" s="55" t="str">
        <f>IMAGE("https://raw.githubusercontent.com/ltdimages/images/refs/heads/main/Coordinate0098_04.png")</f>
        <v/>
      </c>
      <c r="H87" s="55" t="str">
        <f>IMAGE("https://raw.githubusercontent.com/ltdimages/images/refs/heads/main/Coordinate0098_05.png")</f>
        <v/>
      </c>
      <c r="I87" s="56" t="s">
        <v>3095</v>
      </c>
      <c r="J87" s="55" t="s">
        <v>3095</v>
      </c>
      <c r="K87" s="20" t="s">
        <v>3553</v>
      </c>
      <c r="L87" s="20" t="s">
        <v>3097</v>
      </c>
      <c r="M87" s="55" t="s">
        <v>3098</v>
      </c>
      <c r="N87" s="55" t="s">
        <v>3099</v>
      </c>
      <c r="O87" s="55" t="s">
        <v>45</v>
      </c>
      <c r="P87" s="55" t="s">
        <v>45</v>
      </c>
      <c r="Q87" s="55" t="s">
        <v>45</v>
      </c>
      <c r="R87" s="55" t="s">
        <v>45</v>
      </c>
      <c r="S87" s="55" t="s">
        <v>45</v>
      </c>
      <c r="T87" s="55" t="s">
        <v>45</v>
      </c>
      <c r="U87" s="55" t="s">
        <v>3554</v>
      </c>
      <c r="V87" s="55" t="s">
        <v>3095</v>
      </c>
      <c r="W87" s="55" t="s">
        <v>3277</v>
      </c>
      <c r="X87" s="55" t="s">
        <v>3095</v>
      </c>
      <c r="Y87" s="55" t="s">
        <v>3095</v>
      </c>
      <c r="Z87" s="55" t="s">
        <v>3118</v>
      </c>
      <c r="AA87" s="55" t="s">
        <v>3119</v>
      </c>
      <c r="AB87" s="55" t="s">
        <v>3095</v>
      </c>
      <c r="AC87" s="55" t="s">
        <v>3103</v>
      </c>
      <c r="AD87" s="55" t="s">
        <v>3555</v>
      </c>
      <c r="AE87" s="55" t="s">
        <v>3095</v>
      </c>
      <c r="AF87" s="55" t="s">
        <v>3095</v>
      </c>
      <c r="AG87" s="55" t="s">
        <v>3095</v>
      </c>
      <c r="AH87" s="55" t="s">
        <v>3095</v>
      </c>
      <c r="AI87" s="55" t="s">
        <v>3095</v>
      </c>
      <c r="AJ87" s="55" t="s">
        <v>3095</v>
      </c>
      <c r="AK87" s="55" t="s">
        <v>3095</v>
      </c>
      <c r="AL87" s="55" t="s">
        <v>3095</v>
      </c>
      <c r="AM87" s="55" t="s">
        <v>3095</v>
      </c>
    </row>
    <row r="88" ht="45.0" customHeight="1">
      <c r="A88" s="55" t="s">
        <v>426</v>
      </c>
      <c r="B88" s="55" t="s">
        <v>3556</v>
      </c>
      <c r="C88" s="55" t="str">
        <f>IMAGE("https://raw.githubusercontent.com/ltdimages/images/refs/heads/main/Coordinate0056_00.png")</f>
        <v/>
      </c>
      <c r="D88" s="55" t="str">
        <f>IMAGE("https://raw.githubusercontent.com/ltdimages/images/refs/heads/main/Coordinate0056_01.png")</f>
        <v/>
      </c>
      <c r="E88" s="55" t="str">
        <f>IMAGE("https://raw.githubusercontent.com/ltdimages/images/refs/heads/main/Coordinate0056_02.png")</f>
        <v/>
      </c>
      <c r="F88" s="55" t="str">
        <f>IMAGE("https://raw.githubusercontent.com/ltdimages/images/refs/heads/main/Coordinate0056_03.png")</f>
        <v/>
      </c>
      <c r="G88" s="55" t="s">
        <v>3095</v>
      </c>
      <c r="H88" s="55" t="s">
        <v>3095</v>
      </c>
      <c r="I88" s="56" t="s">
        <v>3095</v>
      </c>
      <c r="J88" s="55" t="s">
        <v>3095</v>
      </c>
      <c r="K88" s="20" t="s">
        <v>3557</v>
      </c>
      <c r="L88" s="20" t="s">
        <v>3097</v>
      </c>
      <c r="M88" s="55" t="s">
        <v>3098</v>
      </c>
      <c r="N88" s="55" t="s">
        <v>3099</v>
      </c>
      <c r="O88" s="55" t="s">
        <v>45</v>
      </c>
      <c r="P88" s="55" t="s">
        <v>45</v>
      </c>
      <c r="Q88" s="55" t="s">
        <v>45</v>
      </c>
      <c r="R88" s="55" t="s">
        <v>45</v>
      </c>
      <c r="S88" s="55" t="s">
        <v>45</v>
      </c>
      <c r="T88" s="55" t="s">
        <v>45</v>
      </c>
      <c r="U88" s="55" t="s">
        <v>3558</v>
      </c>
      <c r="V88" s="55" t="s">
        <v>3095</v>
      </c>
      <c r="W88" s="55" t="s">
        <v>3148</v>
      </c>
      <c r="X88" s="55" t="s">
        <v>3559</v>
      </c>
      <c r="Y88" s="55" t="s">
        <v>3095</v>
      </c>
      <c r="Z88" s="55" t="s">
        <v>3200</v>
      </c>
      <c r="AA88" s="55" t="s">
        <v>3360</v>
      </c>
      <c r="AB88" s="55" t="s">
        <v>3095</v>
      </c>
      <c r="AC88" s="55" t="s">
        <v>3103</v>
      </c>
      <c r="AD88" s="55" t="s">
        <v>3560</v>
      </c>
      <c r="AE88" s="55" t="s">
        <v>3095</v>
      </c>
      <c r="AF88" s="55" t="s">
        <v>3095</v>
      </c>
      <c r="AG88" s="55" t="s">
        <v>3095</v>
      </c>
      <c r="AH88" s="55" t="s">
        <v>3095</v>
      </c>
      <c r="AI88" s="55" t="s">
        <v>3095</v>
      </c>
      <c r="AJ88" s="55" t="s">
        <v>3095</v>
      </c>
      <c r="AK88" s="55" t="s">
        <v>3095</v>
      </c>
      <c r="AL88" s="55" t="s">
        <v>3095</v>
      </c>
      <c r="AM88" s="55" t="s">
        <v>3095</v>
      </c>
    </row>
    <row r="89" ht="45.0" customHeight="1">
      <c r="A89" s="55" t="s">
        <v>430</v>
      </c>
      <c r="B89" s="55" t="s">
        <v>3561</v>
      </c>
      <c r="C89" s="55" t="str">
        <f>IMAGE("https://raw.githubusercontent.com/ltdimages/images/refs/heads/main/Coordinate0028_00.png")</f>
        <v/>
      </c>
      <c r="D89" s="55" t="str">
        <f>IMAGE("https://raw.githubusercontent.com/ltdimages/images/refs/heads/main/Coordinate0028_01.png")</f>
        <v/>
      </c>
      <c r="E89" s="55" t="str">
        <f>IMAGE("https://raw.githubusercontent.com/ltdimages/images/refs/heads/main/Coordinate0028_02.png")</f>
        <v/>
      </c>
      <c r="F89" s="55" t="str">
        <f>IMAGE("https://raw.githubusercontent.com/ltdimages/images/refs/heads/main/Coordinate0028_03.png")</f>
        <v/>
      </c>
      <c r="G89" s="55" t="str">
        <f>IMAGE("https://raw.githubusercontent.com/ltdimages/images/refs/heads/main/Coordinate0028_04.png")</f>
        <v/>
      </c>
      <c r="H89" s="55" t="str">
        <f>IMAGE("https://raw.githubusercontent.com/ltdimages/images/refs/heads/main/Coordinate0028_05.png")</f>
        <v/>
      </c>
      <c r="I89" s="56" t="str">
        <f>IMAGE("https://raw.githubusercontent.com/ltdimages/images/refs/heads/main/Coordinate0028_06.png")</f>
        <v/>
      </c>
      <c r="J89" s="55" t="str">
        <f>IMAGE("https://raw.githubusercontent.com/ltdimages/images/refs/heads/main/Coordinate0028_07.png")</f>
        <v/>
      </c>
      <c r="K89" s="20" t="s">
        <v>3562</v>
      </c>
      <c r="L89" s="20" t="s">
        <v>3097</v>
      </c>
      <c r="M89" s="55" t="s">
        <v>3098</v>
      </c>
      <c r="N89" s="55" t="s">
        <v>3099</v>
      </c>
      <c r="O89" s="55" t="s">
        <v>45</v>
      </c>
      <c r="P89" s="55" t="s">
        <v>45</v>
      </c>
      <c r="Q89" s="55" t="s">
        <v>45</v>
      </c>
      <c r="R89" s="55" t="s">
        <v>45</v>
      </c>
      <c r="S89" s="55" t="s">
        <v>45</v>
      </c>
      <c r="T89" s="55" t="s">
        <v>45</v>
      </c>
      <c r="U89" s="55" t="s">
        <v>3563</v>
      </c>
      <c r="V89" s="55" t="s">
        <v>3095</v>
      </c>
      <c r="W89" s="55" t="s">
        <v>3564</v>
      </c>
      <c r="X89" s="55" t="s">
        <v>3095</v>
      </c>
      <c r="Y89" s="55" t="s">
        <v>3095</v>
      </c>
      <c r="Z89" s="55" t="s">
        <v>3118</v>
      </c>
      <c r="AA89" s="55" t="s">
        <v>3217</v>
      </c>
      <c r="AB89" s="55" t="s">
        <v>3095</v>
      </c>
      <c r="AC89" s="55" t="s">
        <v>3103</v>
      </c>
      <c r="AD89" s="55" t="s">
        <v>3565</v>
      </c>
      <c r="AE89" s="55" t="s">
        <v>3095</v>
      </c>
      <c r="AF89" s="55" t="s">
        <v>3095</v>
      </c>
      <c r="AG89" s="55" t="s">
        <v>3095</v>
      </c>
      <c r="AH89" s="55" t="s">
        <v>3095</v>
      </c>
      <c r="AI89" s="55" t="s">
        <v>3095</v>
      </c>
      <c r="AJ89" s="55" t="s">
        <v>3095</v>
      </c>
      <c r="AK89" s="55" t="s">
        <v>3095</v>
      </c>
      <c r="AL89" s="55" t="s">
        <v>3095</v>
      </c>
      <c r="AM89" s="55" t="s">
        <v>3095</v>
      </c>
    </row>
    <row r="90" ht="45.0" customHeight="1">
      <c r="A90" s="55" t="s">
        <v>434</v>
      </c>
      <c r="B90" s="55" t="s">
        <v>3566</v>
      </c>
      <c r="C90" s="55" t="str">
        <f>IMAGE("https://raw.githubusercontent.com/ltdimages/images/refs/heads/main/Coordinate0314_00.png")</f>
        <v/>
      </c>
      <c r="D90" s="55" t="str">
        <f>IMAGE("https://raw.githubusercontent.com/ltdimages/images/refs/heads/main/Coordinate0314_01.png")</f>
        <v/>
      </c>
      <c r="E90" s="55" t="s">
        <v>3095</v>
      </c>
      <c r="F90" s="55" t="s">
        <v>3095</v>
      </c>
      <c r="G90" s="55" t="s">
        <v>3095</v>
      </c>
      <c r="H90" s="55" t="s">
        <v>3095</v>
      </c>
      <c r="I90" s="56" t="s">
        <v>3095</v>
      </c>
      <c r="J90" s="55" t="s">
        <v>3095</v>
      </c>
      <c r="K90" s="20" t="s">
        <v>3567</v>
      </c>
      <c r="L90" s="20" t="s">
        <v>3097</v>
      </c>
      <c r="M90" s="55" t="s">
        <v>3098</v>
      </c>
      <c r="N90" s="55" t="s">
        <v>3099</v>
      </c>
      <c r="O90" s="55" t="s">
        <v>45</v>
      </c>
      <c r="P90" s="55" t="s">
        <v>45</v>
      </c>
      <c r="Q90" s="55" t="s">
        <v>45</v>
      </c>
      <c r="R90" s="55" t="s">
        <v>49</v>
      </c>
      <c r="S90" s="55" t="s">
        <v>45</v>
      </c>
      <c r="T90" s="55" t="s">
        <v>45</v>
      </c>
      <c r="U90" s="55" t="s">
        <v>3568</v>
      </c>
      <c r="V90" s="55" t="s">
        <v>3095</v>
      </c>
      <c r="W90" s="55" t="s">
        <v>3476</v>
      </c>
      <c r="X90" s="55" t="s">
        <v>3569</v>
      </c>
      <c r="Y90" s="55" t="s">
        <v>3570</v>
      </c>
      <c r="Z90" s="55" t="s">
        <v>3095</v>
      </c>
      <c r="AA90" s="55" t="s">
        <v>3135</v>
      </c>
      <c r="AB90" s="55" t="s">
        <v>3095</v>
      </c>
      <c r="AC90" s="55" t="s">
        <v>3103</v>
      </c>
      <c r="AD90" s="55" t="s">
        <v>3571</v>
      </c>
      <c r="AE90" s="55" t="s">
        <v>3095</v>
      </c>
      <c r="AF90" s="55" t="s">
        <v>3095</v>
      </c>
      <c r="AG90" s="55" t="s">
        <v>3095</v>
      </c>
      <c r="AH90" s="55" t="s">
        <v>3095</v>
      </c>
      <c r="AI90" s="55" t="s">
        <v>3095</v>
      </c>
      <c r="AJ90" s="55" t="s">
        <v>3095</v>
      </c>
      <c r="AK90" s="55" t="s">
        <v>3095</v>
      </c>
      <c r="AL90" s="55" t="s">
        <v>3095</v>
      </c>
      <c r="AM90" s="55" t="s">
        <v>3095</v>
      </c>
    </row>
    <row r="91" ht="45.0" customHeight="1">
      <c r="A91" s="55" t="s">
        <v>438</v>
      </c>
      <c r="B91" s="55" t="s">
        <v>3572</v>
      </c>
      <c r="C91" s="55" t="str">
        <f>IMAGE("https://raw.githubusercontent.com/ltdimages/images/refs/heads/main/Coordinate0111_00.png")</f>
        <v/>
      </c>
      <c r="D91" s="55" t="str">
        <f>IMAGE("https://raw.githubusercontent.com/ltdimages/images/refs/heads/main/Coordinate0111_01.png")</f>
        <v/>
      </c>
      <c r="E91" s="55" t="str">
        <f>IMAGE("https://raw.githubusercontent.com/ltdimages/images/refs/heads/main/Coordinate0111_02.png")</f>
        <v/>
      </c>
      <c r="F91" s="55" t="str">
        <f>IMAGE("https://raw.githubusercontent.com/ltdimages/images/refs/heads/main/Coordinate0111_03.png")</f>
        <v/>
      </c>
      <c r="G91" s="55" t="str">
        <f>IMAGE("https://raw.githubusercontent.com/ltdimages/images/refs/heads/main/Coordinate0111_04.png")</f>
        <v/>
      </c>
      <c r="H91" s="55" t="str">
        <f>IMAGE("https://raw.githubusercontent.com/ltdimages/images/refs/heads/main/Coordinate0111_05.png")</f>
        <v/>
      </c>
      <c r="I91" s="56" t="str">
        <f>IMAGE("https://raw.githubusercontent.com/ltdimages/images/refs/heads/main/Coordinate0111_06.png")</f>
        <v/>
      </c>
      <c r="J91" s="55" t="str">
        <f>IMAGE("https://raw.githubusercontent.com/ltdimages/images/refs/heads/main/Coordinate0111_07.png")</f>
        <v/>
      </c>
      <c r="K91" s="20" t="s">
        <v>3573</v>
      </c>
      <c r="L91" s="20" t="s">
        <v>3097</v>
      </c>
      <c r="M91" s="55" t="s">
        <v>3098</v>
      </c>
      <c r="N91" s="55" t="s">
        <v>3099</v>
      </c>
      <c r="O91" s="55" t="s">
        <v>45</v>
      </c>
      <c r="P91" s="55" t="s">
        <v>45</v>
      </c>
      <c r="Q91" s="55" t="s">
        <v>45</v>
      </c>
      <c r="R91" s="55" t="s">
        <v>45</v>
      </c>
      <c r="S91" s="55" t="s">
        <v>45</v>
      </c>
      <c r="T91" s="55" t="s">
        <v>45</v>
      </c>
      <c r="U91" s="55" t="s">
        <v>3574</v>
      </c>
      <c r="V91" s="55" t="s">
        <v>3095</v>
      </c>
      <c r="W91" s="55" t="s">
        <v>3575</v>
      </c>
      <c r="X91" s="55" t="s">
        <v>3576</v>
      </c>
      <c r="Y91" s="55" t="s">
        <v>3095</v>
      </c>
      <c r="Z91" s="55" t="s">
        <v>3095</v>
      </c>
      <c r="AA91" s="55" t="s">
        <v>3095</v>
      </c>
      <c r="AB91" s="55" t="s">
        <v>3095</v>
      </c>
      <c r="AC91" s="55" t="s">
        <v>3103</v>
      </c>
      <c r="AD91" s="55" t="s">
        <v>3577</v>
      </c>
      <c r="AE91" s="55" t="s">
        <v>3095</v>
      </c>
      <c r="AF91" s="55" t="s">
        <v>3095</v>
      </c>
      <c r="AG91" s="55" t="s">
        <v>3095</v>
      </c>
      <c r="AH91" s="55" t="s">
        <v>3095</v>
      </c>
      <c r="AI91" s="55" t="s">
        <v>3095</v>
      </c>
      <c r="AJ91" s="55" t="s">
        <v>3095</v>
      </c>
      <c r="AK91" s="55" t="s">
        <v>3095</v>
      </c>
      <c r="AL91" s="55" t="s">
        <v>3095</v>
      </c>
      <c r="AM91" s="55" t="s">
        <v>3095</v>
      </c>
    </row>
    <row r="92" ht="45.0" customHeight="1">
      <c r="A92" s="55" t="s">
        <v>442</v>
      </c>
      <c r="B92" s="55" t="s">
        <v>3578</v>
      </c>
      <c r="C92" s="55" t="str">
        <f>IMAGE("https://raw.githubusercontent.com/ltdimages/images/refs/heads/main/Coordinate0025_00.png")</f>
        <v/>
      </c>
      <c r="D92" s="55" t="str">
        <f>IMAGE("https://raw.githubusercontent.com/ltdimages/images/refs/heads/main/Coordinate0025_01.png")</f>
        <v/>
      </c>
      <c r="E92" s="55" t="str">
        <f>IMAGE("https://raw.githubusercontent.com/ltdimages/images/refs/heads/main/Coordinate0025_02.png")</f>
        <v/>
      </c>
      <c r="F92" s="55" t="s">
        <v>3095</v>
      </c>
      <c r="G92" s="55" t="s">
        <v>3095</v>
      </c>
      <c r="H92" s="55" t="s">
        <v>3095</v>
      </c>
      <c r="I92" s="56" t="s">
        <v>3095</v>
      </c>
      <c r="J92" s="55" t="s">
        <v>3095</v>
      </c>
      <c r="K92" s="20" t="s">
        <v>3579</v>
      </c>
      <c r="L92" s="20" t="s">
        <v>3097</v>
      </c>
      <c r="M92" s="55" t="s">
        <v>3098</v>
      </c>
      <c r="N92" s="55" t="s">
        <v>3099</v>
      </c>
      <c r="O92" s="55" t="s">
        <v>45</v>
      </c>
      <c r="P92" s="55" t="s">
        <v>45</v>
      </c>
      <c r="Q92" s="55" t="s">
        <v>45</v>
      </c>
      <c r="R92" s="55" t="s">
        <v>45</v>
      </c>
      <c r="S92" s="55" t="s">
        <v>45</v>
      </c>
      <c r="T92" s="55" t="s">
        <v>45</v>
      </c>
      <c r="U92" s="55" t="s">
        <v>3580</v>
      </c>
      <c r="V92" s="55" t="s">
        <v>3095</v>
      </c>
      <c r="W92" s="55" t="s">
        <v>3581</v>
      </c>
      <c r="X92" s="55" t="s">
        <v>3582</v>
      </c>
      <c r="Y92" s="55" t="s">
        <v>3095</v>
      </c>
      <c r="Z92" s="55" t="s">
        <v>3583</v>
      </c>
      <c r="AA92" s="55" t="s">
        <v>3157</v>
      </c>
      <c r="AB92" s="55" t="s">
        <v>3095</v>
      </c>
      <c r="AC92" s="55" t="s">
        <v>3103</v>
      </c>
      <c r="AD92" s="55" t="s">
        <v>3584</v>
      </c>
      <c r="AE92" s="55" t="s">
        <v>3095</v>
      </c>
      <c r="AF92" s="55" t="s">
        <v>3095</v>
      </c>
      <c r="AG92" s="55" t="s">
        <v>3095</v>
      </c>
      <c r="AH92" s="55" t="s">
        <v>3095</v>
      </c>
      <c r="AI92" s="55" t="s">
        <v>3095</v>
      </c>
      <c r="AJ92" s="55" t="s">
        <v>3095</v>
      </c>
      <c r="AK92" s="55" t="s">
        <v>3095</v>
      </c>
      <c r="AL92" s="55" t="s">
        <v>3095</v>
      </c>
      <c r="AM92" s="55" t="s">
        <v>3095</v>
      </c>
    </row>
    <row r="93" ht="45.0" customHeight="1">
      <c r="A93" s="55" t="s">
        <v>446</v>
      </c>
      <c r="B93" s="55" t="s">
        <v>3585</v>
      </c>
      <c r="C93" s="55" t="str">
        <f>IMAGE("https://raw.githubusercontent.com/ltdimages/images/refs/heads/main/Coordinate0068_00.png")</f>
        <v/>
      </c>
      <c r="D93" s="55" t="str">
        <f>IMAGE("https://raw.githubusercontent.com/ltdimages/images/refs/heads/main/Coordinate0068_01.png")</f>
        <v/>
      </c>
      <c r="E93" s="55" t="str">
        <f>IMAGE("https://raw.githubusercontent.com/ltdimages/images/refs/heads/main/Coordinate0068_02.png")</f>
        <v/>
      </c>
      <c r="F93" s="55" t="str">
        <f>IMAGE("https://raw.githubusercontent.com/ltdimages/images/refs/heads/main/Coordinate0068_03.png")</f>
        <v/>
      </c>
      <c r="G93" s="55" t="s">
        <v>3095</v>
      </c>
      <c r="H93" s="55" t="s">
        <v>3095</v>
      </c>
      <c r="I93" s="56" t="s">
        <v>3095</v>
      </c>
      <c r="J93" s="55" t="s">
        <v>3095</v>
      </c>
      <c r="K93" s="20" t="s">
        <v>3536</v>
      </c>
      <c r="L93" s="20" t="s">
        <v>3097</v>
      </c>
      <c r="M93" s="55" t="s">
        <v>3098</v>
      </c>
      <c r="N93" s="55" t="s">
        <v>3099</v>
      </c>
      <c r="O93" s="55" t="s">
        <v>45</v>
      </c>
      <c r="P93" s="55" t="s">
        <v>45</v>
      </c>
      <c r="Q93" s="55" t="s">
        <v>45</v>
      </c>
      <c r="R93" s="55" t="s">
        <v>45</v>
      </c>
      <c r="S93" s="55" t="s">
        <v>45</v>
      </c>
      <c r="T93" s="55" t="s">
        <v>45</v>
      </c>
      <c r="U93" s="55" t="s">
        <v>3586</v>
      </c>
      <c r="V93" s="55" t="s">
        <v>3095</v>
      </c>
      <c r="W93" s="55" t="s">
        <v>3277</v>
      </c>
      <c r="X93" s="55" t="s">
        <v>3587</v>
      </c>
      <c r="Y93" s="55" t="s">
        <v>3095</v>
      </c>
      <c r="Z93" s="55" t="s">
        <v>3156</v>
      </c>
      <c r="AA93" s="55" t="s">
        <v>3157</v>
      </c>
      <c r="AB93" s="55" t="s">
        <v>3095</v>
      </c>
      <c r="AC93" s="55" t="s">
        <v>3244</v>
      </c>
      <c r="AD93" s="55" t="s">
        <v>3588</v>
      </c>
      <c r="AE93" s="55" t="s">
        <v>3095</v>
      </c>
      <c r="AF93" s="55" t="s">
        <v>3095</v>
      </c>
      <c r="AG93" s="55" t="s">
        <v>3095</v>
      </c>
      <c r="AH93" s="55" t="s">
        <v>3095</v>
      </c>
      <c r="AI93" s="55" t="s">
        <v>3095</v>
      </c>
      <c r="AJ93" s="55" t="s">
        <v>3095</v>
      </c>
      <c r="AK93" s="55" t="s">
        <v>3095</v>
      </c>
      <c r="AL93" s="55" t="s">
        <v>3095</v>
      </c>
      <c r="AM93" s="55" t="s">
        <v>3095</v>
      </c>
    </row>
    <row r="94" ht="45.0" customHeight="1">
      <c r="A94" s="55" t="s">
        <v>450</v>
      </c>
      <c r="B94" s="55" t="s">
        <v>3589</v>
      </c>
      <c r="C94" s="55" t="str">
        <f>IMAGE("https://raw.githubusercontent.com/ltdimages/images/refs/heads/main/Coordinate0219_00.png")</f>
        <v/>
      </c>
      <c r="D94" s="55" t="str">
        <f>IMAGE("https://raw.githubusercontent.com/ltdimages/images/refs/heads/main/Coordinate0219_01.png")</f>
        <v/>
      </c>
      <c r="E94" s="55" t="str">
        <f>IMAGE("https://raw.githubusercontent.com/ltdimages/images/refs/heads/main/Coordinate0219_02.png")</f>
        <v/>
      </c>
      <c r="F94" s="55" t="str">
        <f>IMAGE("https://raw.githubusercontent.com/ltdimages/images/refs/heads/main/Coordinate0219_03.png")</f>
        <v/>
      </c>
      <c r="G94" s="55" t="str">
        <f>IMAGE("https://raw.githubusercontent.com/ltdimages/images/refs/heads/main/Coordinate0219_04.png")</f>
        <v/>
      </c>
      <c r="H94" s="55" t="str">
        <f>IMAGE("https://raw.githubusercontent.com/ltdimages/images/refs/heads/main/Coordinate0219_05.png")</f>
        <v/>
      </c>
      <c r="I94" s="56" t="s">
        <v>3095</v>
      </c>
      <c r="J94" s="55" t="s">
        <v>3095</v>
      </c>
      <c r="K94" s="20" t="s">
        <v>3590</v>
      </c>
      <c r="L94" s="20" t="s">
        <v>3097</v>
      </c>
      <c r="M94" s="55" t="s">
        <v>3098</v>
      </c>
      <c r="N94" s="55" t="s">
        <v>3123</v>
      </c>
      <c r="O94" s="55" t="s">
        <v>45</v>
      </c>
      <c r="P94" s="55" t="s">
        <v>45</v>
      </c>
      <c r="Q94" s="55" t="s">
        <v>45</v>
      </c>
      <c r="R94" s="55" t="s">
        <v>45</v>
      </c>
      <c r="S94" s="55" t="s">
        <v>45</v>
      </c>
      <c r="T94" s="55" t="s">
        <v>45</v>
      </c>
      <c r="U94" s="55" t="s">
        <v>3591</v>
      </c>
      <c r="V94" s="55" t="s">
        <v>3095</v>
      </c>
      <c r="W94" s="55" t="s">
        <v>3295</v>
      </c>
      <c r="X94" s="55" t="s">
        <v>3592</v>
      </c>
      <c r="Y94" s="55" t="s">
        <v>3095</v>
      </c>
      <c r="Z94" s="55" t="s">
        <v>3142</v>
      </c>
      <c r="AA94" s="55" t="s">
        <v>3143</v>
      </c>
      <c r="AB94" s="55" t="s">
        <v>3095</v>
      </c>
      <c r="AC94" s="55" t="s">
        <v>3103</v>
      </c>
      <c r="AD94" s="55" t="s">
        <v>3593</v>
      </c>
      <c r="AE94" s="55" t="s">
        <v>3095</v>
      </c>
      <c r="AF94" s="55" t="s">
        <v>3095</v>
      </c>
      <c r="AG94" s="55" t="s">
        <v>3095</v>
      </c>
      <c r="AH94" s="55" t="s">
        <v>3095</v>
      </c>
      <c r="AI94" s="55" t="s">
        <v>3095</v>
      </c>
      <c r="AJ94" s="55" t="s">
        <v>3095</v>
      </c>
      <c r="AK94" s="55" t="s">
        <v>3095</v>
      </c>
      <c r="AL94" s="55" t="s">
        <v>3095</v>
      </c>
      <c r="AM94" s="55" t="s">
        <v>3095</v>
      </c>
    </row>
    <row r="95" ht="45.0" customHeight="1">
      <c r="A95" s="55" t="s">
        <v>454</v>
      </c>
      <c r="B95" s="55" t="s">
        <v>3594</v>
      </c>
      <c r="C95" s="55" t="str">
        <f>IMAGE("https://raw.githubusercontent.com/ltdimages/images/refs/heads/main/Coordinate0197_00.png")</f>
        <v/>
      </c>
      <c r="D95" s="55" t="str">
        <f>IMAGE("https://raw.githubusercontent.com/ltdimages/images/refs/heads/main/Coordinate0197_01.png")</f>
        <v/>
      </c>
      <c r="E95" s="55" t="str">
        <f>IMAGE("https://raw.githubusercontent.com/ltdimages/images/refs/heads/main/Coordinate0197_02.png")</f>
        <v/>
      </c>
      <c r="F95" s="55" t="str">
        <f>IMAGE("https://raw.githubusercontent.com/ltdimages/images/refs/heads/main/Coordinate0197_03.png")</f>
        <v/>
      </c>
      <c r="G95" s="55" t="str">
        <f>IMAGE("https://raw.githubusercontent.com/ltdimages/images/refs/heads/main/Coordinate0197_04.png")</f>
        <v/>
      </c>
      <c r="H95" s="55" t="str">
        <f>IMAGE("https://raw.githubusercontent.com/ltdimages/images/refs/heads/main/Coordinate0197_05.png")</f>
        <v/>
      </c>
      <c r="I95" s="56" t="s">
        <v>3095</v>
      </c>
      <c r="J95" s="55" t="s">
        <v>3095</v>
      </c>
      <c r="K95" s="20" t="s">
        <v>3235</v>
      </c>
      <c r="L95" s="20" t="s">
        <v>3097</v>
      </c>
      <c r="M95" s="55" t="s">
        <v>2574</v>
      </c>
      <c r="N95" s="55" t="s">
        <v>3099</v>
      </c>
      <c r="O95" s="55" t="s">
        <v>45</v>
      </c>
      <c r="P95" s="55" t="s">
        <v>45</v>
      </c>
      <c r="Q95" s="55" t="s">
        <v>45</v>
      </c>
      <c r="R95" s="55" t="s">
        <v>49</v>
      </c>
      <c r="S95" s="55" t="s">
        <v>45</v>
      </c>
      <c r="T95" s="55" t="s">
        <v>45</v>
      </c>
      <c r="U95" s="55" t="s">
        <v>3095</v>
      </c>
      <c r="V95" s="55" t="s">
        <v>3095</v>
      </c>
      <c r="W95" s="55" t="s">
        <v>3095</v>
      </c>
      <c r="X95" s="55" t="s">
        <v>3595</v>
      </c>
      <c r="Y95" s="55" t="s">
        <v>3095</v>
      </c>
      <c r="Z95" s="55" t="s">
        <v>3095</v>
      </c>
      <c r="AA95" s="55" t="s">
        <v>3095</v>
      </c>
      <c r="AB95" s="55" t="s">
        <v>3596</v>
      </c>
      <c r="AC95" s="55" t="s">
        <v>3099</v>
      </c>
      <c r="AD95" s="55" t="s">
        <v>3597</v>
      </c>
      <c r="AE95" s="55" t="s">
        <v>3095</v>
      </c>
      <c r="AF95" s="55" t="s">
        <v>3095</v>
      </c>
      <c r="AG95" s="55" t="s">
        <v>3095</v>
      </c>
      <c r="AH95" s="55" t="s">
        <v>3095</v>
      </c>
      <c r="AI95" s="55" t="s">
        <v>3095</v>
      </c>
      <c r="AJ95" s="55" t="s">
        <v>3095</v>
      </c>
      <c r="AK95" s="55" t="s">
        <v>3095</v>
      </c>
      <c r="AL95" s="55" t="s">
        <v>3095</v>
      </c>
      <c r="AM95" s="55" t="s">
        <v>3095</v>
      </c>
    </row>
    <row r="96" ht="45.0" customHeight="1">
      <c r="A96" s="55" t="s">
        <v>459</v>
      </c>
      <c r="B96" s="55" t="s">
        <v>3598</v>
      </c>
      <c r="C96" s="55" t="str">
        <f>IMAGE("https://raw.githubusercontent.com/ltdimages/images/refs/heads/main/Coordinate0155_00.png")</f>
        <v/>
      </c>
      <c r="D96" s="55" t="str">
        <f>IMAGE("https://raw.githubusercontent.com/ltdimages/images/refs/heads/main/Coordinate0155_01.png")</f>
        <v/>
      </c>
      <c r="E96" s="55" t="str">
        <f>IMAGE("https://raw.githubusercontent.com/ltdimages/images/refs/heads/main/Coordinate0155_02.png")</f>
        <v/>
      </c>
      <c r="F96" s="55" t="str">
        <f>IMAGE("https://raw.githubusercontent.com/ltdimages/images/refs/heads/main/Coordinate0155_03.png")</f>
        <v/>
      </c>
      <c r="G96" s="55" t="str">
        <f>IMAGE("https://raw.githubusercontent.com/ltdimages/images/refs/heads/main/Coordinate0155_04.png")</f>
        <v/>
      </c>
      <c r="H96" s="55" t="str">
        <f>IMAGE("https://raw.githubusercontent.com/ltdimages/images/refs/heads/main/Coordinate0155_05.png")</f>
        <v/>
      </c>
      <c r="I96" s="56" t="s">
        <v>3095</v>
      </c>
      <c r="J96" s="55" t="s">
        <v>3095</v>
      </c>
      <c r="K96" s="20" t="s">
        <v>3599</v>
      </c>
      <c r="L96" s="20" t="s">
        <v>3097</v>
      </c>
      <c r="M96" s="55" t="s">
        <v>3098</v>
      </c>
      <c r="N96" s="55" t="s">
        <v>3099</v>
      </c>
      <c r="O96" s="55" t="s">
        <v>45</v>
      </c>
      <c r="P96" s="55" t="s">
        <v>45</v>
      </c>
      <c r="Q96" s="55" t="s">
        <v>45</v>
      </c>
      <c r="R96" s="55" t="s">
        <v>45</v>
      </c>
      <c r="S96" s="55" t="s">
        <v>45</v>
      </c>
      <c r="T96" s="55" t="s">
        <v>45</v>
      </c>
      <c r="U96" s="55" t="s">
        <v>3241</v>
      </c>
      <c r="V96" s="55" t="s">
        <v>3095</v>
      </c>
      <c r="W96" s="55" t="s">
        <v>3310</v>
      </c>
      <c r="X96" s="55" t="s">
        <v>3600</v>
      </c>
      <c r="Y96" s="55" t="s">
        <v>3095</v>
      </c>
      <c r="Z96" s="55" t="s">
        <v>3118</v>
      </c>
      <c r="AA96" s="55" t="s">
        <v>3222</v>
      </c>
      <c r="AB96" s="55" t="s">
        <v>3095</v>
      </c>
      <c r="AC96" s="55" t="s">
        <v>3244</v>
      </c>
      <c r="AD96" s="55" t="s">
        <v>3601</v>
      </c>
      <c r="AE96" s="55" t="s">
        <v>3095</v>
      </c>
      <c r="AF96" s="55" t="s">
        <v>3095</v>
      </c>
      <c r="AG96" s="55" t="s">
        <v>3095</v>
      </c>
      <c r="AH96" s="55" t="s">
        <v>3095</v>
      </c>
      <c r="AI96" s="55" t="s">
        <v>3095</v>
      </c>
      <c r="AJ96" s="55" t="s">
        <v>3095</v>
      </c>
      <c r="AK96" s="55" t="s">
        <v>3095</v>
      </c>
      <c r="AL96" s="55" t="s">
        <v>3095</v>
      </c>
      <c r="AM96" s="55" t="s">
        <v>3095</v>
      </c>
    </row>
    <row r="97" ht="45.0" customHeight="1">
      <c r="A97" s="55" t="s">
        <v>463</v>
      </c>
      <c r="B97" s="55" t="s">
        <v>3602</v>
      </c>
      <c r="C97" s="55" t="str">
        <f>IMAGE("https://raw.githubusercontent.com/ltdimages/images/refs/heads/main/Coordinate0269_00.png")</f>
        <v/>
      </c>
      <c r="D97" s="55" t="str">
        <f>IMAGE("https://raw.githubusercontent.com/ltdimages/images/refs/heads/main/Coordinate0269_01.png")</f>
        <v/>
      </c>
      <c r="E97" s="55" t="str">
        <f>IMAGE("https://raw.githubusercontent.com/ltdimages/images/refs/heads/main/Coordinate0269_02.png")</f>
        <v/>
      </c>
      <c r="F97" s="55" t="str">
        <f>IMAGE("https://raw.githubusercontent.com/ltdimages/images/refs/heads/main/Coordinate0269_03.png")</f>
        <v/>
      </c>
      <c r="G97" s="55" t="str">
        <f>IMAGE("https://raw.githubusercontent.com/ltdimages/images/refs/heads/main/Coordinate0269_04.png")</f>
        <v/>
      </c>
      <c r="H97" s="55" t="str">
        <f>IMAGE("https://raw.githubusercontent.com/ltdimages/images/refs/heads/main/Coordinate0269_05.png")</f>
        <v/>
      </c>
      <c r="I97" s="56" t="str">
        <f>IMAGE("https://raw.githubusercontent.com/ltdimages/images/refs/heads/main/Coordinate0269_06.png")</f>
        <v/>
      </c>
      <c r="J97" s="55" t="str">
        <f>IMAGE("https://raw.githubusercontent.com/ltdimages/images/refs/heads/main/Coordinate0269_07.png")</f>
        <v/>
      </c>
      <c r="K97" s="20" t="s">
        <v>3603</v>
      </c>
      <c r="L97" s="20" t="s">
        <v>3097</v>
      </c>
      <c r="M97" s="55" t="s">
        <v>3131</v>
      </c>
      <c r="N97" s="55" t="s">
        <v>3123</v>
      </c>
      <c r="O97" s="55" t="s">
        <v>45</v>
      </c>
      <c r="P97" s="55" t="s">
        <v>45</v>
      </c>
      <c r="Q97" s="55" t="s">
        <v>45</v>
      </c>
      <c r="R97" s="55" t="s">
        <v>45</v>
      </c>
      <c r="S97" s="55" t="s">
        <v>49</v>
      </c>
      <c r="T97" s="55" t="s">
        <v>45</v>
      </c>
      <c r="U97" s="55" t="s">
        <v>3095</v>
      </c>
      <c r="V97" s="55" t="s">
        <v>3604</v>
      </c>
      <c r="W97" s="55" t="s">
        <v>3095</v>
      </c>
      <c r="X97" s="55" t="s">
        <v>3095</v>
      </c>
      <c r="Y97" s="55" t="s">
        <v>3095</v>
      </c>
      <c r="Z97" s="55" t="s">
        <v>3095</v>
      </c>
      <c r="AA97" s="55" t="s">
        <v>3605</v>
      </c>
      <c r="AB97" s="55" t="s">
        <v>3095</v>
      </c>
      <c r="AC97" s="55" t="s">
        <v>3110</v>
      </c>
      <c r="AD97" s="55" t="s">
        <v>3606</v>
      </c>
      <c r="AE97" s="55" t="s">
        <v>3095</v>
      </c>
      <c r="AF97" s="55" t="s">
        <v>3095</v>
      </c>
      <c r="AG97" s="55" t="s">
        <v>3095</v>
      </c>
      <c r="AH97" s="55" t="s">
        <v>3095</v>
      </c>
      <c r="AI97" s="55" t="s">
        <v>3095</v>
      </c>
      <c r="AJ97" s="55" t="s">
        <v>3095</v>
      </c>
      <c r="AK97" s="55" t="s">
        <v>3095</v>
      </c>
      <c r="AL97" s="55" t="s">
        <v>3095</v>
      </c>
      <c r="AM97" s="55" t="s">
        <v>3095</v>
      </c>
    </row>
    <row r="98" ht="45.0" customHeight="1">
      <c r="A98" s="55" t="s">
        <v>467</v>
      </c>
      <c r="B98" s="55" t="s">
        <v>3607</v>
      </c>
      <c r="C98" s="55" t="str">
        <f>IMAGE("https://raw.githubusercontent.com/ltdimages/images/refs/heads/main/Coordinate0122_00.png")</f>
        <v/>
      </c>
      <c r="D98" s="55" t="str">
        <f>IMAGE("https://raw.githubusercontent.com/ltdimages/images/refs/heads/main/Coordinate0122_01.png")</f>
        <v/>
      </c>
      <c r="E98" s="55" t="str">
        <f>IMAGE("https://raw.githubusercontent.com/ltdimages/images/refs/heads/main/Coordinate0122_02.png")</f>
        <v/>
      </c>
      <c r="F98" s="55" t="str">
        <f>IMAGE("https://raw.githubusercontent.com/ltdimages/images/refs/heads/main/Coordinate0122_03.png")</f>
        <v/>
      </c>
      <c r="G98" s="55" t="str">
        <f>IMAGE("https://raw.githubusercontent.com/ltdimages/images/refs/heads/main/Coordinate0122_04.png")</f>
        <v/>
      </c>
      <c r="H98" s="55" t="str">
        <f>IMAGE("https://raw.githubusercontent.com/ltdimages/images/refs/heads/main/Coordinate0122_05.png")</f>
        <v/>
      </c>
      <c r="I98" s="56" t="str">
        <f>IMAGE("https://raw.githubusercontent.com/ltdimages/images/refs/heads/main/Coordinate0122_06.png")</f>
        <v/>
      </c>
      <c r="J98" s="55" t="str">
        <f>IMAGE("https://raw.githubusercontent.com/ltdimages/images/refs/heads/main/Coordinate0122_07.png")</f>
        <v/>
      </c>
      <c r="K98" s="20" t="s">
        <v>3608</v>
      </c>
      <c r="L98" s="20" t="s">
        <v>3097</v>
      </c>
      <c r="M98" s="55" t="s">
        <v>2574</v>
      </c>
      <c r="N98" s="55" t="s">
        <v>3099</v>
      </c>
      <c r="O98" s="55" t="s">
        <v>45</v>
      </c>
      <c r="P98" s="55" t="s">
        <v>45</v>
      </c>
      <c r="Q98" s="55" t="s">
        <v>45</v>
      </c>
      <c r="R98" s="55" t="s">
        <v>49</v>
      </c>
      <c r="S98" s="55" t="s">
        <v>45</v>
      </c>
      <c r="T98" s="55" t="s">
        <v>45</v>
      </c>
      <c r="U98" s="55" t="s">
        <v>3095</v>
      </c>
      <c r="V98" s="55" t="s">
        <v>3095</v>
      </c>
      <c r="W98" s="55" t="s">
        <v>3095</v>
      </c>
      <c r="X98" s="55" t="s">
        <v>3609</v>
      </c>
      <c r="Y98" s="55" t="s">
        <v>3095</v>
      </c>
      <c r="Z98" s="55" t="s">
        <v>3095</v>
      </c>
      <c r="AA98" s="55" t="s">
        <v>3095</v>
      </c>
      <c r="AB98" s="55" t="s">
        <v>3610</v>
      </c>
      <c r="AC98" s="55" t="s">
        <v>3099</v>
      </c>
      <c r="AD98" s="55" t="s">
        <v>3611</v>
      </c>
      <c r="AE98" s="55" t="s">
        <v>3095</v>
      </c>
      <c r="AF98" s="55" t="s">
        <v>3095</v>
      </c>
      <c r="AG98" s="55" t="s">
        <v>3095</v>
      </c>
      <c r="AH98" s="55" t="s">
        <v>3095</v>
      </c>
      <c r="AI98" s="55" t="s">
        <v>3095</v>
      </c>
      <c r="AJ98" s="55" t="s">
        <v>3095</v>
      </c>
      <c r="AK98" s="55" t="s">
        <v>3095</v>
      </c>
      <c r="AL98" s="55" t="s">
        <v>3095</v>
      </c>
      <c r="AM98" s="55" t="s">
        <v>3095</v>
      </c>
    </row>
    <row r="99" ht="45.0" customHeight="1">
      <c r="A99" s="55" t="s">
        <v>471</v>
      </c>
      <c r="B99" s="55" t="s">
        <v>3612</v>
      </c>
      <c r="C99" s="55" t="str">
        <f>IMAGE("https://raw.githubusercontent.com/ltdimages/images/refs/heads/main/Coordinate0042_00.png")</f>
        <v/>
      </c>
      <c r="D99" s="55" t="str">
        <f>IMAGE("https://raw.githubusercontent.com/ltdimages/images/refs/heads/main/Coordinate0042_01.png")</f>
        <v/>
      </c>
      <c r="E99" s="55" t="str">
        <f>IMAGE("https://raw.githubusercontent.com/ltdimages/images/refs/heads/main/Coordinate0042_02.png")</f>
        <v/>
      </c>
      <c r="F99" s="55" t="str">
        <f>IMAGE("https://raw.githubusercontent.com/ltdimages/images/refs/heads/main/Coordinate0042_03.png")</f>
        <v/>
      </c>
      <c r="G99" s="55" t="s">
        <v>3095</v>
      </c>
      <c r="H99" s="55" t="s">
        <v>3095</v>
      </c>
      <c r="I99" s="56" t="s">
        <v>3095</v>
      </c>
      <c r="J99" s="55" t="s">
        <v>3095</v>
      </c>
      <c r="K99" s="20" t="s">
        <v>3613</v>
      </c>
      <c r="L99" s="20" t="s">
        <v>3097</v>
      </c>
      <c r="M99" s="55" t="s">
        <v>3098</v>
      </c>
      <c r="N99" s="55" t="s">
        <v>3123</v>
      </c>
      <c r="O99" s="55" t="s">
        <v>45</v>
      </c>
      <c r="P99" s="55" t="s">
        <v>45</v>
      </c>
      <c r="Q99" s="55" t="s">
        <v>45</v>
      </c>
      <c r="R99" s="55" t="s">
        <v>45</v>
      </c>
      <c r="S99" s="55" t="s">
        <v>45</v>
      </c>
      <c r="T99" s="55" t="s">
        <v>45</v>
      </c>
      <c r="U99" s="55" t="s">
        <v>3614</v>
      </c>
      <c r="V99" s="55" t="s">
        <v>3095</v>
      </c>
      <c r="W99" s="55" t="s">
        <v>3581</v>
      </c>
      <c r="X99" s="55" t="s">
        <v>3095</v>
      </c>
      <c r="Y99" s="55" t="s">
        <v>3095</v>
      </c>
      <c r="Z99" s="55" t="s">
        <v>3095</v>
      </c>
      <c r="AA99" s="55" t="s">
        <v>3360</v>
      </c>
      <c r="AB99" s="55" t="s">
        <v>3095</v>
      </c>
      <c r="AC99" s="55" t="s">
        <v>3103</v>
      </c>
      <c r="AD99" s="55" t="s">
        <v>3615</v>
      </c>
      <c r="AE99" s="55" t="s">
        <v>3095</v>
      </c>
      <c r="AF99" s="55" t="s">
        <v>3095</v>
      </c>
      <c r="AG99" s="55" t="s">
        <v>3095</v>
      </c>
      <c r="AH99" s="55" t="s">
        <v>3095</v>
      </c>
      <c r="AI99" s="55" t="s">
        <v>3095</v>
      </c>
      <c r="AJ99" s="55" t="s">
        <v>3095</v>
      </c>
      <c r="AK99" s="55" t="s">
        <v>3095</v>
      </c>
      <c r="AL99" s="55" t="s">
        <v>3095</v>
      </c>
      <c r="AM99" s="55" t="s">
        <v>3095</v>
      </c>
    </row>
    <row r="100" ht="45.0" customHeight="1">
      <c r="A100" s="55" t="s">
        <v>475</v>
      </c>
      <c r="B100" s="55" t="s">
        <v>3616</v>
      </c>
      <c r="C100" s="55" t="str">
        <f>IMAGE("https://raw.githubusercontent.com/ltdimages/images/refs/heads/main/Coordinate0048_00.png")</f>
        <v/>
      </c>
      <c r="D100" s="55" t="str">
        <f>IMAGE("https://raw.githubusercontent.com/ltdimages/images/refs/heads/main/Coordinate0048_01.png")</f>
        <v/>
      </c>
      <c r="E100" s="55" t="str">
        <f>IMAGE("https://raw.githubusercontent.com/ltdimages/images/refs/heads/main/Coordinate0048_02.png")</f>
        <v/>
      </c>
      <c r="F100" s="55" t="str">
        <f>IMAGE("https://raw.githubusercontent.com/ltdimages/images/refs/heads/main/Coordinate0048_03.png")</f>
        <v/>
      </c>
      <c r="G100" s="55" t="str">
        <f>IMAGE("https://raw.githubusercontent.com/ltdimages/images/refs/heads/main/Coordinate0048_04.png")</f>
        <v/>
      </c>
      <c r="H100" s="55" t="str">
        <f>IMAGE("https://raw.githubusercontent.com/ltdimages/images/refs/heads/main/Coordinate0048_05.png")</f>
        <v/>
      </c>
      <c r="I100" s="56" t="str">
        <f>IMAGE("https://raw.githubusercontent.com/ltdimages/images/refs/heads/main/Coordinate0048_06.png")</f>
        <v/>
      </c>
      <c r="J100" s="55" t="str">
        <f>IMAGE("https://raw.githubusercontent.com/ltdimages/images/refs/heads/main/Coordinate0048_07.png")</f>
        <v/>
      </c>
      <c r="K100" s="20" t="s">
        <v>3617</v>
      </c>
      <c r="L100" s="20" t="s">
        <v>3097</v>
      </c>
      <c r="M100" s="55" t="s">
        <v>3098</v>
      </c>
      <c r="N100" s="55" t="s">
        <v>3114</v>
      </c>
      <c r="O100" s="55" t="s">
        <v>45</v>
      </c>
      <c r="P100" s="55" t="s">
        <v>45</v>
      </c>
      <c r="Q100" s="55" t="s">
        <v>45</v>
      </c>
      <c r="R100" s="55" t="s">
        <v>45</v>
      </c>
      <c r="S100" s="55" t="s">
        <v>45</v>
      </c>
      <c r="T100" s="55" t="s">
        <v>45</v>
      </c>
      <c r="U100" s="55" t="s">
        <v>3618</v>
      </c>
      <c r="V100" s="55" t="s">
        <v>3095</v>
      </c>
      <c r="W100" s="55" t="s">
        <v>3216</v>
      </c>
      <c r="X100" s="55" t="s">
        <v>3095</v>
      </c>
      <c r="Y100" s="55" t="s">
        <v>3095</v>
      </c>
      <c r="Z100" s="55" t="s">
        <v>3296</v>
      </c>
      <c r="AA100" s="55" t="s">
        <v>3211</v>
      </c>
      <c r="AB100" s="55" t="s">
        <v>3095</v>
      </c>
      <c r="AC100" s="55" t="s">
        <v>3103</v>
      </c>
      <c r="AD100" s="55" t="s">
        <v>3619</v>
      </c>
      <c r="AE100" s="55" t="s">
        <v>3095</v>
      </c>
      <c r="AF100" s="55" t="s">
        <v>3095</v>
      </c>
      <c r="AG100" s="55" t="s">
        <v>3095</v>
      </c>
      <c r="AH100" s="55" t="s">
        <v>3095</v>
      </c>
      <c r="AI100" s="55" t="s">
        <v>3095</v>
      </c>
      <c r="AJ100" s="55" t="s">
        <v>3095</v>
      </c>
      <c r="AK100" s="55" t="s">
        <v>3095</v>
      </c>
      <c r="AL100" s="55" t="s">
        <v>3095</v>
      </c>
      <c r="AM100" s="55" t="s">
        <v>3095</v>
      </c>
    </row>
    <row r="101" ht="45.0" customHeight="1">
      <c r="A101" s="55" t="s">
        <v>479</v>
      </c>
      <c r="B101" s="55" t="s">
        <v>3620</v>
      </c>
      <c r="C101" s="55" t="str">
        <f>IMAGE("https://raw.githubusercontent.com/ltdimages/images/refs/heads/main/Coordinate0130_00.png")</f>
        <v/>
      </c>
      <c r="D101" s="55" t="str">
        <f>IMAGE("https://raw.githubusercontent.com/ltdimages/images/refs/heads/main/Coordinate0130_01.png")</f>
        <v/>
      </c>
      <c r="E101" s="55" t="str">
        <f>IMAGE("https://raw.githubusercontent.com/ltdimages/images/refs/heads/main/Coordinate0130_02.png")</f>
        <v/>
      </c>
      <c r="F101" s="55" t="str">
        <f>IMAGE("https://raw.githubusercontent.com/ltdimages/images/refs/heads/main/Coordinate0130_03.png")</f>
        <v/>
      </c>
      <c r="G101" s="55" t="str">
        <f>IMAGE("https://raw.githubusercontent.com/ltdimages/images/refs/heads/main/Coordinate0130_04.png")</f>
        <v/>
      </c>
      <c r="H101" s="55" t="s">
        <v>3095</v>
      </c>
      <c r="I101" s="56" t="s">
        <v>3095</v>
      </c>
      <c r="J101" s="55" t="s">
        <v>3095</v>
      </c>
      <c r="K101" s="20" t="s">
        <v>3621</v>
      </c>
      <c r="L101" s="20" t="s">
        <v>3097</v>
      </c>
      <c r="M101" s="55" t="s">
        <v>3098</v>
      </c>
      <c r="N101" s="55" t="s">
        <v>3099</v>
      </c>
      <c r="O101" s="55" t="s">
        <v>45</v>
      </c>
      <c r="P101" s="55" t="s">
        <v>45</v>
      </c>
      <c r="Q101" s="55" t="s">
        <v>45</v>
      </c>
      <c r="R101" s="55" t="s">
        <v>45</v>
      </c>
      <c r="S101" s="55" t="s">
        <v>45</v>
      </c>
      <c r="T101" s="55" t="s">
        <v>45</v>
      </c>
      <c r="U101" s="55" t="s">
        <v>3622</v>
      </c>
      <c r="V101" s="55" t="s">
        <v>3095</v>
      </c>
      <c r="W101" s="55" t="s">
        <v>3254</v>
      </c>
      <c r="X101" s="55" t="s">
        <v>3445</v>
      </c>
      <c r="Y101" s="55" t="s">
        <v>3623</v>
      </c>
      <c r="Z101" s="55" t="s">
        <v>3200</v>
      </c>
      <c r="AA101" s="55" t="s">
        <v>3232</v>
      </c>
      <c r="AB101" s="55" t="s">
        <v>3095</v>
      </c>
      <c r="AC101" s="55" t="s">
        <v>3103</v>
      </c>
      <c r="AD101" s="55" t="s">
        <v>3624</v>
      </c>
      <c r="AE101" s="55" t="s">
        <v>3095</v>
      </c>
      <c r="AF101" s="55" t="s">
        <v>3095</v>
      </c>
      <c r="AG101" s="55" t="s">
        <v>3095</v>
      </c>
      <c r="AH101" s="55" t="s">
        <v>3095</v>
      </c>
      <c r="AI101" s="55" t="s">
        <v>3095</v>
      </c>
      <c r="AJ101" s="55" t="s">
        <v>3095</v>
      </c>
      <c r="AK101" s="55" t="s">
        <v>3095</v>
      </c>
      <c r="AL101" s="55" t="s">
        <v>3095</v>
      </c>
      <c r="AM101" s="55" t="s">
        <v>3095</v>
      </c>
    </row>
    <row r="102" ht="45.0" customHeight="1">
      <c r="A102" s="55" t="s">
        <v>483</v>
      </c>
      <c r="B102" s="55" t="s">
        <v>3625</v>
      </c>
      <c r="C102" s="55" t="str">
        <f>IMAGE("https://raw.githubusercontent.com/ltdimages/images/refs/heads/main/Coordinate0236_00.png")</f>
        <v/>
      </c>
      <c r="D102" s="55" t="str">
        <f>IMAGE("https://raw.githubusercontent.com/ltdimages/images/refs/heads/main/Coordinate0236_01.png")</f>
        <v/>
      </c>
      <c r="E102" s="55" t="str">
        <f>IMAGE("https://raw.githubusercontent.com/ltdimages/images/refs/heads/main/Coordinate0236_02.png")</f>
        <v/>
      </c>
      <c r="F102" s="55" t="str">
        <f>IMAGE("https://raw.githubusercontent.com/ltdimages/images/refs/heads/main/Coordinate0236_03.png")</f>
        <v/>
      </c>
      <c r="G102" s="55" t="str">
        <f>IMAGE("https://raw.githubusercontent.com/ltdimages/images/refs/heads/main/Coordinate0236_04.png")</f>
        <v/>
      </c>
      <c r="H102" s="55" t="str">
        <f>IMAGE("https://raw.githubusercontent.com/ltdimages/images/refs/heads/main/Coordinate0236_05.png")</f>
        <v/>
      </c>
      <c r="I102" s="56" t="s">
        <v>3095</v>
      </c>
      <c r="J102" s="55" t="s">
        <v>3095</v>
      </c>
      <c r="K102" s="20" t="s">
        <v>3626</v>
      </c>
      <c r="L102" s="20" t="s">
        <v>3097</v>
      </c>
      <c r="M102" s="55" t="s">
        <v>3098</v>
      </c>
      <c r="N102" s="55" t="s">
        <v>3114</v>
      </c>
      <c r="O102" s="55" t="s">
        <v>45</v>
      </c>
      <c r="P102" s="55" t="s">
        <v>45</v>
      </c>
      <c r="Q102" s="55" t="s">
        <v>45</v>
      </c>
      <c r="R102" s="55" t="s">
        <v>45</v>
      </c>
      <c r="S102" s="55" t="s">
        <v>49</v>
      </c>
      <c r="T102" s="55" t="s">
        <v>45</v>
      </c>
      <c r="U102" s="55" t="s">
        <v>3627</v>
      </c>
      <c r="V102" s="55" t="s">
        <v>3095</v>
      </c>
      <c r="W102" s="55" t="s">
        <v>3310</v>
      </c>
      <c r="X102" s="55" t="s">
        <v>3628</v>
      </c>
      <c r="Y102" s="55" t="s">
        <v>3095</v>
      </c>
      <c r="Z102" s="55" t="s">
        <v>3243</v>
      </c>
      <c r="AA102" s="55" t="s">
        <v>3629</v>
      </c>
      <c r="AB102" s="55" t="s">
        <v>3095</v>
      </c>
      <c r="AC102" s="55" t="s">
        <v>3103</v>
      </c>
      <c r="AD102" s="55" t="s">
        <v>3630</v>
      </c>
      <c r="AE102" s="55" t="s">
        <v>3095</v>
      </c>
      <c r="AF102" s="55" t="s">
        <v>3095</v>
      </c>
      <c r="AG102" s="55" t="s">
        <v>3095</v>
      </c>
      <c r="AH102" s="55" t="s">
        <v>3095</v>
      </c>
      <c r="AI102" s="55" t="s">
        <v>3095</v>
      </c>
      <c r="AJ102" s="55" t="s">
        <v>3095</v>
      </c>
      <c r="AK102" s="55" t="s">
        <v>3095</v>
      </c>
      <c r="AL102" s="55" t="s">
        <v>3095</v>
      </c>
      <c r="AM102" s="55" t="s">
        <v>3095</v>
      </c>
    </row>
    <row r="103" ht="45.0" customHeight="1">
      <c r="A103" s="55" t="s">
        <v>488</v>
      </c>
      <c r="B103" s="55" t="s">
        <v>3631</v>
      </c>
      <c r="C103" s="55" t="str">
        <f>IMAGE("https://raw.githubusercontent.com/ltdimages/images/refs/heads/main/Coordinate0115_00.png")</f>
        <v/>
      </c>
      <c r="D103" s="55" t="s">
        <v>3095</v>
      </c>
      <c r="E103" s="55" t="s">
        <v>3095</v>
      </c>
      <c r="F103" s="55" t="s">
        <v>3095</v>
      </c>
      <c r="G103" s="55" t="s">
        <v>3095</v>
      </c>
      <c r="H103" s="55" t="s">
        <v>3095</v>
      </c>
      <c r="I103" s="56" t="s">
        <v>3095</v>
      </c>
      <c r="J103" s="55" t="s">
        <v>3095</v>
      </c>
      <c r="K103" s="20" t="s">
        <v>3632</v>
      </c>
      <c r="L103" s="20" t="s">
        <v>3097</v>
      </c>
      <c r="M103" s="55" t="s">
        <v>3131</v>
      </c>
      <c r="N103" s="55" t="s">
        <v>3114</v>
      </c>
      <c r="O103" s="55" t="s">
        <v>45</v>
      </c>
      <c r="P103" s="55" t="s">
        <v>45</v>
      </c>
      <c r="Q103" s="55" t="s">
        <v>45</v>
      </c>
      <c r="R103" s="55" t="s">
        <v>49</v>
      </c>
      <c r="S103" s="55" t="s">
        <v>49</v>
      </c>
      <c r="T103" s="55" t="s">
        <v>45</v>
      </c>
      <c r="U103" s="55" t="s">
        <v>3095</v>
      </c>
      <c r="V103" s="55" t="s">
        <v>3633</v>
      </c>
      <c r="W103" s="55" t="s">
        <v>3095</v>
      </c>
      <c r="X103" s="55" t="s">
        <v>3634</v>
      </c>
      <c r="Y103" s="55" t="s">
        <v>3095</v>
      </c>
      <c r="Z103" s="55" t="s">
        <v>3164</v>
      </c>
      <c r="AA103" s="55" t="s">
        <v>3095</v>
      </c>
      <c r="AB103" s="55" t="s">
        <v>3095</v>
      </c>
      <c r="AC103" s="55" t="s">
        <v>3110</v>
      </c>
      <c r="AD103" s="55" t="s">
        <v>3635</v>
      </c>
      <c r="AE103" s="55" t="s">
        <v>3095</v>
      </c>
      <c r="AF103" s="55" t="s">
        <v>3095</v>
      </c>
      <c r="AG103" s="55" t="s">
        <v>3095</v>
      </c>
      <c r="AH103" s="55" t="s">
        <v>3095</v>
      </c>
      <c r="AI103" s="55" t="s">
        <v>3095</v>
      </c>
      <c r="AJ103" s="55" t="s">
        <v>3095</v>
      </c>
      <c r="AK103" s="55" t="s">
        <v>3095</v>
      </c>
      <c r="AL103" s="55" t="s">
        <v>3095</v>
      </c>
      <c r="AM103" s="55" t="s">
        <v>3095</v>
      </c>
    </row>
    <row r="104" ht="45.0" customHeight="1">
      <c r="A104" s="55" t="s">
        <v>492</v>
      </c>
      <c r="B104" s="55" t="s">
        <v>3636</v>
      </c>
      <c r="C104" s="55" t="str">
        <f>IMAGE("https://raw.githubusercontent.com/ltdimages/images/refs/heads/main/Coordinate0320_00.png")</f>
        <v/>
      </c>
      <c r="D104" s="55" t="str">
        <f>IMAGE("https://raw.githubusercontent.com/ltdimages/images/refs/heads/main/Coordinate0320_01.png")</f>
        <v/>
      </c>
      <c r="E104" s="55" t="str">
        <f>IMAGE("https://raw.githubusercontent.com/ltdimages/images/refs/heads/main/Coordinate0320_02.png")</f>
        <v/>
      </c>
      <c r="F104" s="55" t="str">
        <f>IMAGE("https://raw.githubusercontent.com/ltdimages/images/refs/heads/main/Coordinate0320_03.png")</f>
        <v/>
      </c>
      <c r="G104" s="55" t="str">
        <f>IMAGE("https://raw.githubusercontent.com/ltdimages/images/refs/heads/main/Coordinate0320_04.png")</f>
        <v/>
      </c>
      <c r="H104" s="55" t="str">
        <f>IMAGE("https://raw.githubusercontent.com/ltdimages/images/refs/heads/main/Coordinate0320_05.png")</f>
        <v/>
      </c>
      <c r="I104" s="56" t="s">
        <v>3095</v>
      </c>
      <c r="J104" s="55" t="s">
        <v>3095</v>
      </c>
      <c r="K104" s="20" t="s">
        <v>3332</v>
      </c>
      <c r="L104" s="20" t="s">
        <v>3097</v>
      </c>
      <c r="M104" s="55" t="s">
        <v>2574</v>
      </c>
      <c r="N104" s="55" t="s">
        <v>3099</v>
      </c>
      <c r="O104" s="55" t="s">
        <v>45</v>
      </c>
      <c r="P104" s="55" t="s">
        <v>45</v>
      </c>
      <c r="Q104" s="55" t="s">
        <v>45</v>
      </c>
      <c r="R104" s="55" t="s">
        <v>49</v>
      </c>
      <c r="S104" s="55" t="s">
        <v>45</v>
      </c>
      <c r="T104" s="55" t="s">
        <v>45</v>
      </c>
      <c r="U104" s="55" t="s">
        <v>3095</v>
      </c>
      <c r="V104" s="55" t="s">
        <v>3095</v>
      </c>
      <c r="W104" s="55" t="s">
        <v>3095</v>
      </c>
      <c r="X104" s="55" t="s">
        <v>3637</v>
      </c>
      <c r="Y104" s="55" t="s">
        <v>3095</v>
      </c>
      <c r="Z104" s="55" t="s">
        <v>3095</v>
      </c>
      <c r="AA104" s="55" t="s">
        <v>3095</v>
      </c>
      <c r="AB104" s="55" t="s">
        <v>3638</v>
      </c>
      <c r="AC104" s="55" t="s">
        <v>3099</v>
      </c>
      <c r="AD104" s="55" t="s">
        <v>3639</v>
      </c>
      <c r="AE104" s="55" t="s">
        <v>3095</v>
      </c>
      <c r="AF104" s="55" t="s">
        <v>3095</v>
      </c>
      <c r="AG104" s="55" t="s">
        <v>3095</v>
      </c>
      <c r="AH104" s="55" t="s">
        <v>3095</v>
      </c>
      <c r="AI104" s="55" t="s">
        <v>3095</v>
      </c>
      <c r="AJ104" s="55" t="s">
        <v>3095</v>
      </c>
      <c r="AK104" s="55" t="s">
        <v>3095</v>
      </c>
      <c r="AL104" s="55" t="s">
        <v>3095</v>
      </c>
      <c r="AM104" s="55" t="s">
        <v>3095</v>
      </c>
    </row>
    <row r="105" ht="45.0" customHeight="1">
      <c r="A105" s="55" t="s">
        <v>496</v>
      </c>
      <c r="B105" s="55" t="s">
        <v>3640</v>
      </c>
      <c r="C105" s="55" t="str">
        <f>IMAGE("https://raw.githubusercontent.com/ltdimages/images/refs/heads/main/Coordinate0100_00.png")</f>
        <v/>
      </c>
      <c r="D105" s="55" t="s">
        <v>3095</v>
      </c>
      <c r="E105" s="55" t="s">
        <v>3095</v>
      </c>
      <c r="F105" s="55" t="s">
        <v>3095</v>
      </c>
      <c r="G105" s="55" t="s">
        <v>3095</v>
      </c>
      <c r="H105" s="55" t="s">
        <v>3095</v>
      </c>
      <c r="I105" s="56" t="s">
        <v>3095</v>
      </c>
      <c r="J105" s="55" t="s">
        <v>3095</v>
      </c>
      <c r="K105" s="20" t="s">
        <v>3499</v>
      </c>
      <c r="L105" s="20" t="s">
        <v>3097</v>
      </c>
      <c r="M105" s="55" t="s">
        <v>2574</v>
      </c>
      <c r="N105" s="55" t="s">
        <v>3099</v>
      </c>
      <c r="O105" s="55" t="s">
        <v>45</v>
      </c>
      <c r="P105" s="55" t="s">
        <v>45</v>
      </c>
      <c r="Q105" s="55" t="s">
        <v>45</v>
      </c>
      <c r="R105" s="55" t="s">
        <v>49</v>
      </c>
      <c r="S105" s="55" t="s">
        <v>45</v>
      </c>
      <c r="T105" s="55" t="s">
        <v>45</v>
      </c>
      <c r="U105" s="55" t="s">
        <v>3095</v>
      </c>
      <c r="V105" s="55" t="s">
        <v>3095</v>
      </c>
      <c r="W105" s="55" t="s">
        <v>3095</v>
      </c>
      <c r="X105" s="55" t="s">
        <v>3641</v>
      </c>
      <c r="Y105" s="55" t="s">
        <v>3095</v>
      </c>
      <c r="Z105" s="55" t="s">
        <v>3095</v>
      </c>
      <c r="AA105" s="55" t="s">
        <v>3095</v>
      </c>
      <c r="AB105" s="55" t="s">
        <v>3642</v>
      </c>
      <c r="AC105" s="55" t="s">
        <v>3099</v>
      </c>
      <c r="AD105" s="55" t="s">
        <v>3643</v>
      </c>
      <c r="AE105" s="55" t="s">
        <v>3095</v>
      </c>
      <c r="AF105" s="55" t="s">
        <v>3095</v>
      </c>
      <c r="AG105" s="55" t="s">
        <v>3095</v>
      </c>
      <c r="AH105" s="55" t="s">
        <v>3095</v>
      </c>
      <c r="AI105" s="55" t="s">
        <v>3095</v>
      </c>
      <c r="AJ105" s="55" t="s">
        <v>3095</v>
      </c>
      <c r="AK105" s="55" t="s">
        <v>3095</v>
      </c>
      <c r="AL105" s="55" t="s">
        <v>3095</v>
      </c>
      <c r="AM105" s="55" t="s">
        <v>3095</v>
      </c>
    </row>
    <row r="106" ht="45.0" customHeight="1">
      <c r="A106" s="55" t="s">
        <v>500</v>
      </c>
      <c r="B106" s="55" t="s">
        <v>3644</v>
      </c>
      <c r="C106" s="55" t="str">
        <f>IMAGE("https://raw.githubusercontent.com/ltdimages/images/refs/heads/main/Coordinate0096_00.png")</f>
        <v/>
      </c>
      <c r="D106" s="55" t="str">
        <f>IMAGE("https://raw.githubusercontent.com/ltdimages/images/refs/heads/main/Coordinate0096_01.png")</f>
        <v/>
      </c>
      <c r="E106" s="55" t="str">
        <f>IMAGE("https://raw.githubusercontent.com/ltdimages/images/refs/heads/main/Coordinate0096_02.png")</f>
        <v/>
      </c>
      <c r="F106" s="55" t="str">
        <f>IMAGE("https://raw.githubusercontent.com/ltdimages/images/refs/heads/main/Coordinate0096_03.png")</f>
        <v/>
      </c>
      <c r="G106" s="55" t="str">
        <f>IMAGE("https://raw.githubusercontent.com/ltdimages/images/refs/heads/main/Coordinate0096_04.png")</f>
        <v/>
      </c>
      <c r="H106" s="55" t="str">
        <f>IMAGE("https://raw.githubusercontent.com/ltdimages/images/refs/heads/main/Coordinate0096_05.png")</f>
        <v/>
      </c>
      <c r="I106" s="56" t="s">
        <v>3095</v>
      </c>
      <c r="J106" s="55" t="s">
        <v>3095</v>
      </c>
      <c r="K106" s="20" t="s">
        <v>3209</v>
      </c>
      <c r="L106" s="20" t="s">
        <v>3097</v>
      </c>
      <c r="M106" s="55" t="s">
        <v>3098</v>
      </c>
      <c r="N106" s="55" t="s">
        <v>3123</v>
      </c>
      <c r="O106" s="55" t="s">
        <v>45</v>
      </c>
      <c r="P106" s="55" t="s">
        <v>45</v>
      </c>
      <c r="Q106" s="55" t="s">
        <v>45</v>
      </c>
      <c r="R106" s="55" t="s">
        <v>45</v>
      </c>
      <c r="S106" s="55" t="s">
        <v>45</v>
      </c>
      <c r="T106" s="55" t="s">
        <v>45</v>
      </c>
      <c r="U106" s="55" t="s">
        <v>3645</v>
      </c>
      <c r="V106" s="55" t="s">
        <v>3095</v>
      </c>
      <c r="W106" s="55" t="s">
        <v>3125</v>
      </c>
      <c r="X106" s="55" t="s">
        <v>3095</v>
      </c>
      <c r="Y106" s="55" t="s">
        <v>3095</v>
      </c>
      <c r="Z106" s="55" t="s">
        <v>3193</v>
      </c>
      <c r="AA106" s="55" t="s">
        <v>3217</v>
      </c>
      <c r="AB106" s="55" t="s">
        <v>3095</v>
      </c>
      <c r="AC106" s="55" t="s">
        <v>3103</v>
      </c>
      <c r="AD106" s="55" t="s">
        <v>3646</v>
      </c>
      <c r="AE106" s="55" t="s">
        <v>3095</v>
      </c>
      <c r="AF106" s="55" t="s">
        <v>3095</v>
      </c>
      <c r="AG106" s="55" t="s">
        <v>3095</v>
      </c>
      <c r="AH106" s="55" t="s">
        <v>3095</v>
      </c>
      <c r="AI106" s="55" t="s">
        <v>3095</v>
      </c>
      <c r="AJ106" s="55" t="s">
        <v>3095</v>
      </c>
      <c r="AK106" s="55" t="s">
        <v>3095</v>
      </c>
      <c r="AL106" s="55" t="s">
        <v>3095</v>
      </c>
      <c r="AM106" s="55" t="s">
        <v>3095</v>
      </c>
    </row>
    <row r="107" ht="45.0" customHeight="1">
      <c r="A107" s="55" t="s">
        <v>504</v>
      </c>
      <c r="B107" s="55" t="s">
        <v>3647</v>
      </c>
      <c r="C107" s="55" t="str">
        <f>IMAGE("https://raw.githubusercontent.com/ltdimages/images/refs/heads/main/Coordinate0341_00.png")</f>
        <v/>
      </c>
      <c r="D107" s="55" t="str">
        <f>IMAGE("https://raw.githubusercontent.com/ltdimages/images/refs/heads/main/Coordinate0341_01.png")</f>
        <v/>
      </c>
      <c r="E107" s="55" t="str">
        <f>IMAGE("https://raw.githubusercontent.com/ltdimages/images/refs/heads/main/Coordinate0341_02.png")</f>
        <v/>
      </c>
      <c r="F107" s="55" t="str">
        <f>IMAGE("https://raw.githubusercontent.com/ltdimages/images/refs/heads/main/Coordinate0341_03.png")</f>
        <v/>
      </c>
      <c r="G107" s="55" t="str">
        <f>IMAGE("https://raw.githubusercontent.com/ltdimages/images/refs/heads/main/Coordinate0341_04.png")</f>
        <v/>
      </c>
      <c r="H107" s="55" t="str">
        <f>IMAGE("https://raw.githubusercontent.com/ltdimages/images/refs/heads/main/Coordinate0341_05.png")</f>
        <v/>
      </c>
      <c r="I107" s="56" t="s">
        <v>3095</v>
      </c>
      <c r="J107" s="55" t="s">
        <v>3095</v>
      </c>
      <c r="K107" s="20" t="s">
        <v>3648</v>
      </c>
      <c r="L107" s="20" t="s">
        <v>3097</v>
      </c>
      <c r="M107" s="55" t="s">
        <v>3098</v>
      </c>
      <c r="N107" s="55" t="s">
        <v>3114</v>
      </c>
      <c r="O107" s="55" t="s">
        <v>45</v>
      </c>
      <c r="P107" s="55" t="s">
        <v>45</v>
      </c>
      <c r="Q107" s="55" t="s">
        <v>45</v>
      </c>
      <c r="R107" s="55" t="s">
        <v>45</v>
      </c>
      <c r="S107" s="55" t="s">
        <v>45</v>
      </c>
      <c r="T107" s="55" t="s">
        <v>45</v>
      </c>
      <c r="U107" s="55" t="s">
        <v>3095</v>
      </c>
      <c r="V107" s="55" t="s">
        <v>3649</v>
      </c>
      <c r="W107" s="55" t="s">
        <v>3095</v>
      </c>
      <c r="X107" s="55" t="s">
        <v>3650</v>
      </c>
      <c r="Y107" s="55" t="s">
        <v>3095</v>
      </c>
      <c r="Z107" s="55" t="s">
        <v>3200</v>
      </c>
      <c r="AA107" s="55" t="s">
        <v>3491</v>
      </c>
      <c r="AB107" s="55" t="s">
        <v>3095</v>
      </c>
      <c r="AC107" s="55" t="s">
        <v>3110</v>
      </c>
      <c r="AD107" s="55" t="s">
        <v>3651</v>
      </c>
      <c r="AE107" s="55" t="s">
        <v>3095</v>
      </c>
      <c r="AF107" s="55" t="s">
        <v>3095</v>
      </c>
      <c r="AG107" s="55" t="s">
        <v>3095</v>
      </c>
      <c r="AH107" s="55" t="s">
        <v>3095</v>
      </c>
      <c r="AI107" s="55" t="s">
        <v>3095</v>
      </c>
      <c r="AJ107" s="55" t="s">
        <v>3095</v>
      </c>
      <c r="AK107" s="55" t="s">
        <v>3095</v>
      </c>
      <c r="AL107" s="55" t="s">
        <v>3095</v>
      </c>
      <c r="AM107" s="55" t="s">
        <v>3095</v>
      </c>
    </row>
    <row r="108" ht="45.0" customHeight="1">
      <c r="A108" s="55" t="s">
        <v>508</v>
      </c>
      <c r="B108" s="55" t="s">
        <v>3652</v>
      </c>
      <c r="C108" s="55" t="str">
        <f>IMAGE("https://raw.githubusercontent.com/ltdimages/images/refs/heads/main/Coordinate0188_00.png")</f>
        <v/>
      </c>
      <c r="D108" s="55" t="str">
        <f>IMAGE("https://raw.githubusercontent.com/ltdimages/images/refs/heads/main/Coordinate0188_01.png")</f>
        <v/>
      </c>
      <c r="E108" s="55" t="str">
        <f>IMAGE("https://raw.githubusercontent.com/ltdimages/images/refs/heads/main/Coordinate0188_02.png")</f>
        <v/>
      </c>
      <c r="F108" s="55" t="str">
        <f>IMAGE("https://raw.githubusercontent.com/ltdimages/images/refs/heads/main/Coordinate0188_03.png")</f>
        <v/>
      </c>
      <c r="G108" s="55" t="s">
        <v>3095</v>
      </c>
      <c r="H108" s="55" t="s">
        <v>3095</v>
      </c>
      <c r="I108" s="56" t="s">
        <v>3095</v>
      </c>
      <c r="J108" s="55" t="s">
        <v>3095</v>
      </c>
      <c r="K108" s="20" t="s">
        <v>3653</v>
      </c>
      <c r="L108" s="20" t="s">
        <v>3097</v>
      </c>
      <c r="M108" s="55" t="s">
        <v>2574</v>
      </c>
      <c r="N108" s="55" t="s">
        <v>3654</v>
      </c>
      <c r="O108" s="55" t="s">
        <v>45</v>
      </c>
      <c r="P108" s="55" t="s">
        <v>45</v>
      </c>
      <c r="Q108" s="55" t="s">
        <v>45</v>
      </c>
      <c r="R108" s="55" t="s">
        <v>49</v>
      </c>
      <c r="S108" s="55" t="s">
        <v>45</v>
      </c>
      <c r="T108" s="55" t="s">
        <v>45</v>
      </c>
      <c r="U108" s="55" t="s">
        <v>3095</v>
      </c>
      <c r="V108" s="55" t="s">
        <v>3095</v>
      </c>
      <c r="W108" s="55" t="s">
        <v>3095</v>
      </c>
      <c r="X108" s="55" t="s">
        <v>3655</v>
      </c>
      <c r="Y108" s="55" t="s">
        <v>3095</v>
      </c>
      <c r="Z108" s="55" t="s">
        <v>3095</v>
      </c>
      <c r="AA108" s="55" t="s">
        <v>3095</v>
      </c>
      <c r="AB108" s="55" t="s">
        <v>3656</v>
      </c>
      <c r="AC108" s="55" t="s">
        <v>3099</v>
      </c>
      <c r="AD108" s="55" t="s">
        <v>3657</v>
      </c>
      <c r="AE108" s="55" t="s">
        <v>3095</v>
      </c>
      <c r="AF108" s="55" t="s">
        <v>3095</v>
      </c>
      <c r="AG108" s="55" t="s">
        <v>3095</v>
      </c>
      <c r="AH108" s="55" t="s">
        <v>3095</v>
      </c>
      <c r="AI108" s="55" t="s">
        <v>3095</v>
      </c>
      <c r="AJ108" s="55" t="s">
        <v>3095</v>
      </c>
      <c r="AK108" s="55" t="s">
        <v>3095</v>
      </c>
      <c r="AL108" s="55" t="s">
        <v>3095</v>
      </c>
      <c r="AM108" s="55" t="s">
        <v>3095</v>
      </c>
    </row>
    <row r="109" ht="45.0" customHeight="1">
      <c r="A109" s="55" t="s">
        <v>512</v>
      </c>
      <c r="B109" s="55" t="s">
        <v>3658</v>
      </c>
      <c r="C109" s="55" t="str">
        <f>IMAGE("https://raw.githubusercontent.com/ltdimages/images/refs/heads/main/Coordinate0182_00.png")</f>
        <v/>
      </c>
      <c r="D109" s="55" t="str">
        <f>IMAGE("https://raw.githubusercontent.com/ltdimages/images/refs/heads/main/Coordinate0182_01.png")</f>
        <v/>
      </c>
      <c r="E109" s="55" t="str">
        <f>IMAGE("https://raw.githubusercontent.com/ltdimages/images/refs/heads/main/Coordinate0182_02.png")</f>
        <v/>
      </c>
      <c r="F109" s="55" t="str">
        <f>IMAGE("https://raw.githubusercontent.com/ltdimages/images/refs/heads/main/Coordinate0182_03.png")</f>
        <v/>
      </c>
      <c r="G109" s="55" t="s">
        <v>3095</v>
      </c>
      <c r="H109" s="55" t="s">
        <v>3095</v>
      </c>
      <c r="I109" s="56" t="s">
        <v>3095</v>
      </c>
      <c r="J109" s="55" t="s">
        <v>3095</v>
      </c>
      <c r="K109" s="20" t="s">
        <v>3659</v>
      </c>
      <c r="L109" s="20" t="s">
        <v>3097</v>
      </c>
      <c r="M109" s="55" t="s">
        <v>3098</v>
      </c>
      <c r="N109" s="55" t="s">
        <v>3123</v>
      </c>
      <c r="O109" s="55" t="s">
        <v>45</v>
      </c>
      <c r="P109" s="55" t="s">
        <v>45</v>
      </c>
      <c r="Q109" s="55" t="s">
        <v>45</v>
      </c>
      <c r="R109" s="55" t="s">
        <v>45</v>
      </c>
      <c r="S109" s="55" t="s">
        <v>45</v>
      </c>
      <c r="T109" s="55" t="s">
        <v>45</v>
      </c>
      <c r="U109" s="55" t="s">
        <v>3660</v>
      </c>
      <c r="V109" s="55" t="s">
        <v>3095</v>
      </c>
      <c r="W109" s="55" t="s">
        <v>3661</v>
      </c>
      <c r="X109" s="55" t="s">
        <v>3662</v>
      </c>
      <c r="Y109" s="55" t="s">
        <v>3095</v>
      </c>
      <c r="Z109" s="55" t="s">
        <v>3095</v>
      </c>
      <c r="AA109" s="55" t="s">
        <v>3663</v>
      </c>
      <c r="AB109" s="55" t="s">
        <v>3095</v>
      </c>
      <c r="AC109" s="55" t="s">
        <v>3103</v>
      </c>
      <c r="AD109" s="55" t="s">
        <v>3664</v>
      </c>
      <c r="AE109" s="55" t="s">
        <v>3095</v>
      </c>
      <c r="AF109" s="55" t="s">
        <v>3095</v>
      </c>
      <c r="AG109" s="55" t="s">
        <v>3095</v>
      </c>
      <c r="AH109" s="55" t="s">
        <v>3095</v>
      </c>
      <c r="AI109" s="55" t="s">
        <v>3095</v>
      </c>
      <c r="AJ109" s="55" t="s">
        <v>3095</v>
      </c>
      <c r="AK109" s="55" t="s">
        <v>3095</v>
      </c>
      <c r="AL109" s="55" t="s">
        <v>3095</v>
      </c>
      <c r="AM109" s="55" t="s">
        <v>3095</v>
      </c>
    </row>
    <row r="110" ht="45.0" customHeight="1">
      <c r="A110" s="55" t="s">
        <v>516</v>
      </c>
      <c r="B110" s="55" t="s">
        <v>3665</v>
      </c>
      <c r="C110" s="55" t="str">
        <f>IMAGE("https://raw.githubusercontent.com/ltdimages/images/refs/heads/main/Coordinate0213_00.png")</f>
        <v/>
      </c>
      <c r="D110" s="55" t="str">
        <f>IMAGE("https://raw.githubusercontent.com/ltdimages/images/refs/heads/main/Coordinate0213_01.png")</f>
        <v/>
      </c>
      <c r="E110" s="55" t="str">
        <f>IMAGE("https://raw.githubusercontent.com/ltdimages/images/refs/heads/main/Coordinate0213_02.png")</f>
        <v/>
      </c>
      <c r="F110" s="55" t="str">
        <f>IMAGE("https://raw.githubusercontent.com/ltdimages/images/refs/heads/main/Coordinate0213_03.png")</f>
        <v/>
      </c>
      <c r="G110" s="55" t="s">
        <v>3095</v>
      </c>
      <c r="H110" s="55" t="s">
        <v>3095</v>
      </c>
      <c r="I110" s="56" t="s">
        <v>3095</v>
      </c>
      <c r="J110" s="55" t="s">
        <v>3095</v>
      </c>
      <c r="K110" s="20" t="s">
        <v>3235</v>
      </c>
      <c r="L110" s="20" t="s">
        <v>3097</v>
      </c>
      <c r="M110" s="55" t="s">
        <v>2574</v>
      </c>
      <c r="N110" s="55" t="s">
        <v>3099</v>
      </c>
      <c r="O110" s="55" t="s">
        <v>45</v>
      </c>
      <c r="P110" s="55" t="s">
        <v>45</v>
      </c>
      <c r="Q110" s="55" t="s">
        <v>45</v>
      </c>
      <c r="R110" s="55" t="s">
        <v>49</v>
      </c>
      <c r="S110" s="55" t="s">
        <v>45</v>
      </c>
      <c r="T110" s="55" t="s">
        <v>45</v>
      </c>
      <c r="U110" s="55" t="s">
        <v>3095</v>
      </c>
      <c r="V110" s="55" t="s">
        <v>3095</v>
      </c>
      <c r="W110" s="55" t="s">
        <v>3095</v>
      </c>
      <c r="X110" s="55" t="s">
        <v>3666</v>
      </c>
      <c r="Y110" s="55" t="s">
        <v>3095</v>
      </c>
      <c r="Z110" s="55" t="s">
        <v>3095</v>
      </c>
      <c r="AA110" s="55" t="s">
        <v>3095</v>
      </c>
      <c r="AB110" s="55" t="s">
        <v>3667</v>
      </c>
      <c r="AC110" s="55" t="s">
        <v>3099</v>
      </c>
      <c r="AD110" s="55" t="s">
        <v>3668</v>
      </c>
      <c r="AE110" s="55" t="s">
        <v>3095</v>
      </c>
      <c r="AF110" s="55" t="s">
        <v>3095</v>
      </c>
      <c r="AG110" s="55" t="s">
        <v>3095</v>
      </c>
      <c r="AH110" s="55" t="s">
        <v>3095</v>
      </c>
      <c r="AI110" s="55" t="s">
        <v>3095</v>
      </c>
      <c r="AJ110" s="55" t="s">
        <v>3095</v>
      </c>
      <c r="AK110" s="55" t="s">
        <v>3095</v>
      </c>
      <c r="AL110" s="55" t="s">
        <v>3095</v>
      </c>
      <c r="AM110" s="55" t="s">
        <v>3095</v>
      </c>
    </row>
    <row r="111" ht="45.0" customHeight="1">
      <c r="A111" s="55" t="s">
        <v>521</v>
      </c>
      <c r="B111" s="55" t="s">
        <v>3669</v>
      </c>
      <c r="C111" s="55" t="str">
        <f>IMAGE("https://raw.githubusercontent.com/ltdimages/images/refs/heads/main/Coordinate0338_00.png")</f>
        <v/>
      </c>
      <c r="D111" s="55" t="str">
        <f>IMAGE("https://raw.githubusercontent.com/ltdimages/images/refs/heads/main/Coordinate0338_01.png")</f>
        <v/>
      </c>
      <c r="E111" s="55" t="str">
        <f>IMAGE("https://raw.githubusercontent.com/ltdimages/images/refs/heads/main/Coordinate0338_02.png")</f>
        <v/>
      </c>
      <c r="F111" s="55" t="str">
        <f>IMAGE("https://raw.githubusercontent.com/ltdimages/images/refs/heads/main/Coordinate0338_03.png")</f>
        <v/>
      </c>
      <c r="G111" s="55" t="str">
        <f>IMAGE("https://raw.githubusercontent.com/ltdimages/images/refs/heads/main/Coordinate0338_04.png")</f>
        <v/>
      </c>
      <c r="H111" s="55" t="str">
        <f>IMAGE("https://raw.githubusercontent.com/ltdimages/images/refs/heads/main/Coordinate0338_05.png")</f>
        <v/>
      </c>
      <c r="I111" s="56" t="str">
        <f>IMAGE("https://raw.githubusercontent.com/ltdimages/images/refs/heads/main/Coordinate0338_06.png")</f>
        <v/>
      </c>
      <c r="J111" s="55" t="str">
        <f>IMAGE("https://raw.githubusercontent.com/ltdimages/images/refs/heads/main/Coordinate0338_07.png")</f>
        <v/>
      </c>
      <c r="K111" s="20" t="s">
        <v>3670</v>
      </c>
      <c r="L111" s="20" t="s">
        <v>3097</v>
      </c>
      <c r="M111" s="55" t="s">
        <v>3098</v>
      </c>
      <c r="N111" s="55" t="s">
        <v>3099</v>
      </c>
      <c r="O111" s="55" t="s">
        <v>45</v>
      </c>
      <c r="P111" s="55" t="s">
        <v>45</v>
      </c>
      <c r="Q111" s="55" t="s">
        <v>45</v>
      </c>
      <c r="R111" s="55" t="s">
        <v>49</v>
      </c>
      <c r="S111" s="55" t="s">
        <v>45</v>
      </c>
      <c r="T111" s="55" t="s">
        <v>45</v>
      </c>
      <c r="U111" s="55" t="s">
        <v>3671</v>
      </c>
      <c r="V111" s="55" t="s">
        <v>3095</v>
      </c>
      <c r="W111" s="55" t="s">
        <v>3206</v>
      </c>
      <c r="X111" s="55" t="s">
        <v>3672</v>
      </c>
      <c r="Y111" s="55" t="s">
        <v>3095</v>
      </c>
      <c r="Z111" s="55" t="s">
        <v>3156</v>
      </c>
      <c r="AA111" s="55" t="s">
        <v>3434</v>
      </c>
      <c r="AB111" s="55" t="s">
        <v>3095</v>
      </c>
      <c r="AC111" s="55" t="s">
        <v>3103</v>
      </c>
      <c r="AD111" s="55" t="s">
        <v>3673</v>
      </c>
      <c r="AE111" s="55" t="s">
        <v>3095</v>
      </c>
      <c r="AF111" s="55" t="s">
        <v>3095</v>
      </c>
      <c r="AG111" s="55" t="s">
        <v>3095</v>
      </c>
      <c r="AH111" s="55" t="s">
        <v>3095</v>
      </c>
      <c r="AI111" s="55" t="s">
        <v>3095</v>
      </c>
      <c r="AJ111" s="55" t="s">
        <v>3095</v>
      </c>
      <c r="AK111" s="55" t="s">
        <v>3095</v>
      </c>
      <c r="AL111" s="55" t="s">
        <v>3095</v>
      </c>
      <c r="AM111" s="55" t="s">
        <v>3095</v>
      </c>
    </row>
    <row r="112" ht="45.0" customHeight="1">
      <c r="A112" s="55" t="s">
        <v>525</v>
      </c>
      <c r="B112" s="55" t="s">
        <v>3674</v>
      </c>
      <c r="C112" s="55" t="str">
        <f>IMAGE("https://raw.githubusercontent.com/ltdimages/images/refs/heads/main/Coordinate0179_00.png")</f>
        <v/>
      </c>
      <c r="D112" s="55" t="str">
        <f>IMAGE("https://raw.githubusercontent.com/ltdimages/images/refs/heads/main/Coordinate0179_01.png")</f>
        <v/>
      </c>
      <c r="E112" s="55" t="str">
        <f>IMAGE("https://raw.githubusercontent.com/ltdimages/images/refs/heads/main/Coordinate0179_02.png")</f>
        <v/>
      </c>
      <c r="F112" s="55" t="str">
        <f>IMAGE("https://raw.githubusercontent.com/ltdimages/images/refs/heads/main/Coordinate0179_03.png")</f>
        <v/>
      </c>
      <c r="G112" s="55" t="str">
        <f>IMAGE("https://raw.githubusercontent.com/ltdimages/images/refs/heads/main/Coordinate0179_04.png")</f>
        <v/>
      </c>
      <c r="H112" s="55" t="str">
        <f>IMAGE("https://raw.githubusercontent.com/ltdimages/images/refs/heads/main/Coordinate0179_05.png")</f>
        <v/>
      </c>
      <c r="I112" s="56" t="s">
        <v>3095</v>
      </c>
      <c r="J112" s="55" t="s">
        <v>3095</v>
      </c>
      <c r="K112" s="20" t="s">
        <v>3375</v>
      </c>
      <c r="L112" s="20" t="s">
        <v>3097</v>
      </c>
      <c r="M112" s="55" t="s">
        <v>3098</v>
      </c>
      <c r="N112" s="55" t="s">
        <v>3099</v>
      </c>
      <c r="O112" s="55" t="s">
        <v>45</v>
      </c>
      <c r="P112" s="55" t="s">
        <v>45</v>
      </c>
      <c r="Q112" s="55" t="s">
        <v>45</v>
      </c>
      <c r="R112" s="55" t="s">
        <v>45</v>
      </c>
      <c r="S112" s="55" t="s">
        <v>45</v>
      </c>
      <c r="T112" s="55" t="s">
        <v>45</v>
      </c>
      <c r="U112" s="55" t="s">
        <v>3675</v>
      </c>
      <c r="V112" s="55" t="s">
        <v>3095</v>
      </c>
      <c r="W112" s="55" t="s">
        <v>3676</v>
      </c>
      <c r="X112" s="55" t="s">
        <v>3095</v>
      </c>
      <c r="Y112" s="55" t="s">
        <v>3095</v>
      </c>
      <c r="Z112" s="55" t="s">
        <v>3365</v>
      </c>
      <c r="AA112" s="55" t="s">
        <v>3366</v>
      </c>
      <c r="AB112" s="55" t="s">
        <v>3095</v>
      </c>
      <c r="AC112" s="55" t="s">
        <v>3103</v>
      </c>
      <c r="AD112" s="55" t="s">
        <v>3677</v>
      </c>
      <c r="AE112" s="55" t="s">
        <v>3095</v>
      </c>
      <c r="AF112" s="55" t="s">
        <v>3095</v>
      </c>
      <c r="AG112" s="55" t="s">
        <v>3095</v>
      </c>
      <c r="AH112" s="55" t="s">
        <v>3095</v>
      </c>
      <c r="AI112" s="55" t="s">
        <v>3095</v>
      </c>
      <c r="AJ112" s="55" t="s">
        <v>3095</v>
      </c>
      <c r="AK112" s="55" t="s">
        <v>3095</v>
      </c>
      <c r="AL112" s="55" t="s">
        <v>3095</v>
      </c>
      <c r="AM112" s="55" t="s">
        <v>3095</v>
      </c>
    </row>
    <row r="113" ht="45.0" customHeight="1">
      <c r="A113" s="55" t="s">
        <v>529</v>
      </c>
      <c r="B113" s="55" t="s">
        <v>3678</v>
      </c>
      <c r="C113" s="55" t="str">
        <f>IMAGE("https://raw.githubusercontent.com/ltdimages/images/refs/heads/main/Coordinate0120_00.png")</f>
        <v/>
      </c>
      <c r="D113" s="55" t="str">
        <f>IMAGE("https://raw.githubusercontent.com/ltdimages/images/refs/heads/main/Coordinate0120_01.png")</f>
        <v/>
      </c>
      <c r="E113" s="55" t="str">
        <f>IMAGE("https://raw.githubusercontent.com/ltdimages/images/refs/heads/main/Coordinate0120_02.png")</f>
        <v/>
      </c>
      <c r="F113" s="55" t="str">
        <f>IMAGE("https://raw.githubusercontent.com/ltdimages/images/refs/heads/main/Coordinate0120_03.png")</f>
        <v/>
      </c>
      <c r="G113" s="55" t="s">
        <v>3095</v>
      </c>
      <c r="H113" s="55" t="s">
        <v>3095</v>
      </c>
      <c r="I113" s="56" t="s">
        <v>3095</v>
      </c>
      <c r="J113" s="55" t="s">
        <v>3095</v>
      </c>
      <c r="K113" s="20" t="s">
        <v>3679</v>
      </c>
      <c r="L113" s="20" t="s">
        <v>3097</v>
      </c>
      <c r="M113" s="55" t="s">
        <v>2574</v>
      </c>
      <c r="N113" s="55" t="s">
        <v>3099</v>
      </c>
      <c r="O113" s="55" t="s">
        <v>45</v>
      </c>
      <c r="P113" s="55" t="s">
        <v>45</v>
      </c>
      <c r="Q113" s="55" t="s">
        <v>45</v>
      </c>
      <c r="R113" s="55" t="s">
        <v>49</v>
      </c>
      <c r="S113" s="55" t="s">
        <v>45</v>
      </c>
      <c r="T113" s="55" t="s">
        <v>45</v>
      </c>
      <c r="U113" s="55" t="s">
        <v>3095</v>
      </c>
      <c r="V113" s="55" t="s">
        <v>3095</v>
      </c>
      <c r="W113" s="55" t="s">
        <v>3095</v>
      </c>
      <c r="X113" s="55" t="s">
        <v>3680</v>
      </c>
      <c r="Y113" s="55" t="s">
        <v>3095</v>
      </c>
      <c r="Z113" s="55" t="s">
        <v>3095</v>
      </c>
      <c r="AA113" s="55" t="s">
        <v>3095</v>
      </c>
      <c r="AB113" s="55" t="s">
        <v>3681</v>
      </c>
      <c r="AC113" s="55" t="s">
        <v>3099</v>
      </c>
      <c r="AD113" s="55" t="s">
        <v>3682</v>
      </c>
      <c r="AE113" s="55" t="s">
        <v>3095</v>
      </c>
      <c r="AF113" s="55" t="s">
        <v>3095</v>
      </c>
      <c r="AG113" s="55" t="s">
        <v>3095</v>
      </c>
      <c r="AH113" s="55" t="s">
        <v>3095</v>
      </c>
      <c r="AI113" s="55" t="s">
        <v>3095</v>
      </c>
      <c r="AJ113" s="55" t="s">
        <v>3095</v>
      </c>
      <c r="AK113" s="55" t="s">
        <v>3095</v>
      </c>
      <c r="AL113" s="55" t="s">
        <v>3095</v>
      </c>
      <c r="AM113" s="55" t="s">
        <v>3095</v>
      </c>
    </row>
    <row r="114" ht="45.0" customHeight="1">
      <c r="A114" s="55" t="s">
        <v>533</v>
      </c>
      <c r="B114" s="55" t="s">
        <v>3683</v>
      </c>
      <c r="C114" s="55" t="str">
        <f>IMAGE("https://raw.githubusercontent.com/ltdimages/images/refs/heads/main/Coordinate0265_00.png")</f>
        <v/>
      </c>
      <c r="D114" s="55" t="s">
        <v>3095</v>
      </c>
      <c r="E114" s="55" t="s">
        <v>3095</v>
      </c>
      <c r="F114" s="55" t="s">
        <v>3095</v>
      </c>
      <c r="G114" s="55" t="s">
        <v>3095</v>
      </c>
      <c r="H114" s="55" t="s">
        <v>3095</v>
      </c>
      <c r="I114" s="56" t="s">
        <v>3095</v>
      </c>
      <c r="J114" s="55" t="s">
        <v>3095</v>
      </c>
      <c r="K114" s="20" t="s">
        <v>3332</v>
      </c>
      <c r="L114" s="20" t="s">
        <v>3097</v>
      </c>
      <c r="M114" s="55" t="s">
        <v>2574</v>
      </c>
      <c r="N114" s="55" t="s">
        <v>3099</v>
      </c>
      <c r="O114" s="55" t="s">
        <v>45</v>
      </c>
      <c r="P114" s="55" t="s">
        <v>45</v>
      </c>
      <c r="Q114" s="55" t="s">
        <v>45</v>
      </c>
      <c r="R114" s="55" t="s">
        <v>49</v>
      </c>
      <c r="S114" s="55" t="s">
        <v>45</v>
      </c>
      <c r="T114" s="55" t="s">
        <v>45</v>
      </c>
      <c r="U114" s="55" t="s">
        <v>3095</v>
      </c>
      <c r="V114" s="55" t="s">
        <v>3095</v>
      </c>
      <c r="W114" s="55" t="s">
        <v>3095</v>
      </c>
      <c r="X114" s="55" t="s">
        <v>3684</v>
      </c>
      <c r="Y114" s="55" t="s">
        <v>3095</v>
      </c>
      <c r="Z114" s="55" t="s">
        <v>3095</v>
      </c>
      <c r="AA114" s="55" t="s">
        <v>3095</v>
      </c>
      <c r="AB114" s="55" t="s">
        <v>3685</v>
      </c>
      <c r="AC114" s="55" t="s">
        <v>3099</v>
      </c>
      <c r="AD114" s="55" t="s">
        <v>3686</v>
      </c>
      <c r="AE114" s="55" t="s">
        <v>3095</v>
      </c>
      <c r="AF114" s="55" t="s">
        <v>3095</v>
      </c>
      <c r="AG114" s="55" t="s">
        <v>3095</v>
      </c>
      <c r="AH114" s="55" t="s">
        <v>3095</v>
      </c>
      <c r="AI114" s="55" t="s">
        <v>3095</v>
      </c>
      <c r="AJ114" s="55" t="s">
        <v>3095</v>
      </c>
      <c r="AK114" s="55" t="s">
        <v>3095</v>
      </c>
      <c r="AL114" s="55" t="s">
        <v>3095</v>
      </c>
      <c r="AM114" s="55" t="s">
        <v>3095</v>
      </c>
    </row>
    <row r="115" ht="45.0" customHeight="1">
      <c r="A115" s="55" t="s">
        <v>537</v>
      </c>
      <c r="B115" s="55" t="s">
        <v>3687</v>
      </c>
      <c r="C115" s="55" t="str">
        <f>IMAGE("https://raw.githubusercontent.com/ltdimages/images/refs/heads/main/Coordinate0200_00.png")</f>
        <v/>
      </c>
      <c r="D115" s="55" t="str">
        <f>IMAGE("https://raw.githubusercontent.com/ltdimages/images/refs/heads/main/Coordinate0200_01.png")</f>
        <v/>
      </c>
      <c r="E115" s="55" t="str">
        <f>IMAGE("https://raw.githubusercontent.com/ltdimages/images/refs/heads/main/Coordinate0200_02.png")</f>
        <v/>
      </c>
      <c r="F115" s="55" t="str">
        <f>IMAGE("https://raw.githubusercontent.com/ltdimages/images/refs/heads/main/Coordinate0200_03.png")</f>
        <v/>
      </c>
      <c r="G115" s="55" t="str">
        <f>IMAGE("https://raw.githubusercontent.com/ltdimages/images/refs/heads/main/Coordinate0200_04.png")</f>
        <v/>
      </c>
      <c r="H115" s="55" t="str">
        <f>IMAGE("https://raw.githubusercontent.com/ltdimages/images/refs/heads/main/Coordinate0200_05.png")</f>
        <v/>
      </c>
      <c r="I115" s="56" t="s">
        <v>3095</v>
      </c>
      <c r="J115" s="55" t="s">
        <v>3095</v>
      </c>
      <c r="K115" s="20" t="s">
        <v>3267</v>
      </c>
      <c r="L115" s="20" t="s">
        <v>3097</v>
      </c>
      <c r="M115" s="55" t="s">
        <v>3098</v>
      </c>
      <c r="N115" s="55" t="s">
        <v>3099</v>
      </c>
      <c r="O115" s="55" t="s">
        <v>45</v>
      </c>
      <c r="P115" s="55" t="s">
        <v>45</v>
      </c>
      <c r="Q115" s="55" t="s">
        <v>45</v>
      </c>
      <c r="R115" s="55" t="s">
        <v>45</v>
      </c>
      <c r="S115" s="55" t="s">
        <v>49</v>
      </c>
      <c r="T115" s="55" t="s">
        <v>45</v>
      </c>
      <c r="U115" s="55" t="s">
        <v>3688</v>
      </c>
      <c r="V115" s="55" t="s">
        <v>3095</v>
      </c>
      <c r="W115" s="55" t="s">
        <v>3206</v>
      </c>
      <c r="X115" s="55" t="s">
        <v>3095</v>
      </c>
      <c r="Y115" s="55" t="s">
        <v>3095</v>
      </c>
      <c r="Z115" s="55" t="s">
        <v>3118</v>
      </c>
      <c r="AA115" s="55" t="s">
        <v>3329</v>
      </c>
      <c r="AB115" s="55" t="s">
        <v>3095</v>
      </c>
      <c r="AC115" s="55" t="s">
        <v>3103</v>
      </c>
      <c r="AD115" s="55" t="s">
        <v>3689</v>
      </c>
      <c r="AE115" s="55" t="s">
        <v>3095</v>
      </c>
      <c r="AF115" s="55" t="s">
        <v>3095</v>
      </c>
      <c r="AG115" s="55" t="s">
        <v>3095</v>
      </c>
      <c r="AH115" s="55" t="s">
        <v>3095</v>
      </c>
      <c r="AI115" s="55" t="s">
        <v>3095</v>
      </c>
      <c r="AJ115" s="55" t="s">
        <v>3095</v>
      </c>
      <c r="AK115" s="55" t="s">
        <v>3095</v>
      </c>
      <c r="AL115" s="55" t="s">
        <v>3095</v>
      </c>
      <c r="AM115" s="55" t="s">
        <v>3095</v>
      </c>
    </row>
    <row r="116" ht="45.0" customHeight="1">
      <c r="A116" s="55" t="s">
        <v>541</v>
      </c>
      <c r="B116" s="55" t="s">
        <v>3690</v>
      </c>
      <c r="C116" s="55" t="str">
        <f>IMAGE("https://raw.githubusercontent.com/ltdimages/images/refs/heads/main/Coordinate0273_00.png")</f>
        <v/>
      </c>
      <c r="D116" s="55" t="str">
        <f>IMAGE("https://raw.githubusercontent.com/ltdimages/images/refs/heads/main/Coordinate0273_01.png")</f>
        <v/>
      </c>
      <c r="E116" s="55" t="str">
        <f>IMAGE("https://raw.githubusercontent.com/ltdimages/images/refs/heads/main/Coordinate0273_02.png")</f>
        <v/>
      </c>
      <c r="F116" s="55" t="str">
        <f>IMAGE("https://raw.githubusercontent.com/ltdimages/images/refs/heads/main/Coordinate0273_03.png")</f>
        <v/>
      </c>
      <c r="G116" s="55" t="str">
        <f>IMAGE("https://raw.githubusercontent.com/ltdimages/images/refs/heads/main/Coordinate0273_04.png")</f>
        <v/>
      </c>
      <c r="H116" s="55" t="str">
        <f>IMAGE("https://raw.githubusercontent.com/ltdimages/images/refs/heads/main/Coordinate0273_05.png")</f>
        <v/>
      </c>
      <c r="I116" s="56" t="str">
        <f>IMAGE("https://raw.githubusercontent.com/ltdimages/images/refs/heads/main/Coordinate0273_06.png")</f>
        <v/>
      </c>
      <c r="J116" s="55" t="str">
        <f>IMAGE("https://raw.githubusercontent.com/ltdimages/images/refs/heads/main/Coordinate0273_07.png")</f>
        <v/>
      </c>
      <c r="K116" s="20" t="s">
        <v>3599</v>
      </c>
      <c r="L116" s="20" t="s">
        <v>3097</v>
      </c>
      <c r="M116" s="55" t="s">
        <v>3098</v>
      </c>
      <c r="N116" s="55" t="s">
        <v>3099</v>
      </c>
      <c r="O116" s="55" t="s">
        <v>45</v>
      </c>
      <c r="P116" s="55" t="s">
        <v>45</v>
      </c>
      <c r="Q116" s="55" t="s">
        <v>45</v>
      </c>
      <c r="R116" s="55" t="s">
        <v>45</v>
      </c>
      <c r="S116" s="55" t="s">
        <v>49</v>
      </c>
      <c r="T116" s="55" t="s">
        <v>45</v>
      </c>
      <c r="U116" s="55" t="s">
        <v>3691</v>
      </c>
      <c r="V116" s="55" t="s">
        <v>3095</v>
      </c>
      <c r="W116" s="55" t="s">
        <v>3148</v>
      </c>
      <c r="X116" s="55" t="s">
        <v>3095</v>
      </c>
      <c r="Y116" s="55" t="s">
        <v>3095</v>
      </c>
      <c r="Z116" s="55" t="s">
        <v>3095</v>
      </c>
      <c r="AA116" s="55" t="s">
        <v>3692</v>
      </c>
      <c r="AB116" s="55" t="s">
        <v>3095</v>
      </c>
      <c r="AC116" s="55" t="s">
        <v>3103</v>
      </c>
      <c r="AD116" s="55" t="s">
        <v>3693</v>
      </c>
      <c r="AE116" s="55" t="s">
        <v>3095</v>
      </c>
      <c r="AF116" s="55" t="s">
        <v>3095</v>
      </c>
      <c r="AG116" s="55" t="s">
        <v>3095</v>
      </c>
      <c r="AH116" s="55" t="s">
        <v>3095</v>
      </c>
      <c r="AI116" s="55" t="s">
        <v>3095</v>
      </c>
      <c r="AJ116" s="55" t="s">
        <v>3095</v>
      </c>
      <c r="AK116" s="55" t="s">
        <v>3095</v>
      </c>
      <c r="AL116" s="55" t="s">
        <v>3095</v>
      </c>
      <c r="AM116" s="55" t="s">
        <v>3095</v>
      </c>
    </row>
    <row r="117" ht="45.0" customHeight="1">
      <c r="A117" s="55" t="s">
        <v>546</v>
      </c>
      <c r="B117" s="55" t="s">
        <v>3694</v>
      </c>
      <c r="C117" s="55" t="str">
        <f>IMAGE("https://raw.githubusercontent.com/ltdimages/images/refs/heads/main/Coordinate0132_00.png")</f>
        <v/>
      </c>
      <c r="D117" s="55" t="s">
        <v>3095</v>
      </c>
      <c r="E117" s="55" t="s">
        <v>3095</v>
      </c>
      <c r="F117" s="55" t="s">
        <v>3095</v>
      </c>
      <c r="G117" s="55" t="s">
        <v>3095</v>
      </c>
      <c r="H117" s="55" t="s">
        <v>3095</v>
      </c>
      <c r="I117" s="56" t="s">
        <v>3095</v>
      </c>
      <c r="J117" s="55" t="s">
        <v>3095</v>
      </c>
      <c r="K117" s="20" t="s">
        <v>3695</v>
      </c>
      <c r="L117" s="20" t="s">
        <v>3097</v>
      </c>
      <c r="M117" s="55" t="s">
        <v>3098</v>
      </c>
      <c r="N117" s="55" t="s">
        <v>3099</v>
      </c>
      <c r="O117" s="55" t="s">
        <v>45</v>
      </c>
      <c r="P117" s="55" t="s">
        <v>45</v>
      </c>
      <c r="Q117" s="55" t="s">
        <v>45</v>
      </c>
      <c r="R117" s="55" t="s">
        <v>45</v>
      </c>
      <c r="S117" s="55" t="s">
        <v>45</v>
      </c>
      <c r="T117" s="55" t="s">
        <v>45</v>
      </c>
      <c r="U117" s="55" t="s">
        <v>3696</v>
      </c>
      <c r="V117" s="55" t="s">
        <v>3095</v>
      </c>
      <c r="W117" s="55" t="s">
        <v>3277</v>
      </c>
      <c r="X117" s="55" t="s">
        <v>3095</v>
      </c>
      <c r="Y117" s="55" t="s">
        <v>3095</v>
      </c>
      <c r="Z117" s="55" t="s">
        <v>3118</v>
      </c>
      <c r="AA117" s="55" t="s">
        <v>3157</v>
      </c>
      <c r="AB117" s="55" t="s">
        <v>3095</v>
      </c>
      <c r="AC117" s="55" t="s">
        <v>3103</v>
      </c>
      <c r="AD117" s="55" t="s">
        <v>3697</v>
      </c>
      <c r="AE117" s="55" t="s">
        <v>3095</v>
      </c>
      <c r="AF117" s="55" t="s">
        <v>3095</v>
      </c>
      <c r="AG117" s="55" t="s">
        <v>3095</v>
      </c>
      <c r="AH117" s="55" t="s">
        <v>3095</v>
      </c>
      <c r="AI117" s="55" t="s">
        <v>3095</v>
      </c>
      <c r="AJ117" s="55" t="s">
        <v>3095</v>
      </c>
      <c r="AK117" s="55" t="s">
        <v>3095</v>
      </c>
      <c r="AL117" s="55" t="s">
        <v>3095</v>
      </c>
      <c r="AM117" s="55" t="s">
        <v>3095</v>
      </c>
    </row>
    <row r="118" ht="45.0" customHeight="1">
      <c r="A118" s="55" t="s">
        <v>550</v>
      </c>
      <c r="B118" s="55" t="s">
        <v>3698</v>
      </c>
      <c r="C118" s="55" t="str">
        <f>IMAGE("https://raw.githubusercontent.com/ltdimages/images/refs/heads/main/Coordinate0215_00.png")</f>
        <v/>
      </c>
      <c r="D118" s="55" t="str">
        <f>IMAGE("https://raw.githubusercontent.com/ltdimages/images/refs/heads/main/Coordinate0215_01.png")</f>
        <v/>
      </c>
      <c r="E118" s="55" t="str">
        <f>IMAGE("https://raw.githubusercontent.com/ltdimages/images/refs/heads/main/Coordinate0215_02.png")</f>
        <v/>
      </c>
      <c r="F118" s="55" t="str">
        <f>IMAGE("https://raw.githubusercontent.com/ltdimages/images/refs/heads/main/Coordinate0215_03.png")</f>
        <v/>
      </c>
      <c r="G118" s="55" t="s">
        <v>3095</v>
      </c>
      <c r="H118" s="55" t="s">
        <v>3095</v>
      </c>
      <c r="I118" s="56" t="s">
        <v>3095</v>
      </c>
      <c r="J118" s="55" t="s">
        <v>3095</v>
      </c>
      <c r="K118" s="20" t="s">
        <v>3699</v>
      </c>
      <c r="L118" s="20" t="s">
        <v>3097</v>
      </c>
      <c r="M118" s="55" t="s">
        <v>3098</v>
      </c>
      <c r="N118" s="55" t="s">
        <v>3099</v>
      </c>
      <c r="O118" s="55" t="s">
        <v>45</v>
      </c>
      <c r="P118" s="55" t="s">
        <v>45</v>
      </c>
      <c r="Q118" s="55" t="s">
        <v>45</v>
      </c>
      <c r="R118" s="55" t="s">
        <v>45</v>
      </c>
      <c r="S118" s="55" t="s">
        <v>45</v>
      </c>
      <c r="T118" s="55" t="s">
        <v>45</v>
      </c>
      <c r="U118" s="55" t="s">
        <v>3700</v>
      </c>
      <c r="V118" s="55" t="s">
        <v>3095</v>
      </c>
      <c r="W118" s="55" t="s">
        <v>3254</v>
      </c>
      <c r="X118" s="55" t="s">
        <v>3095</v>
      </c>
      <c r="Y118" s="55" t="s">
        <v>3095</v>
      </c>
      <c r="Z118" s="55" t="s">
        <v>3193</v>
      </c>
      <c r="AA118" s="55" t="s">
        <v>3222</v>
      </c>
      <c r="AB118" s="55" t="s">
        <v>3095</v>
      </c>
      <c r="AC118" s="55" t="s">
        <v>3103</v>
      </c>
      <c r="AD118" s="55" t="s">
        <v>3701</v>
      </c>
      <c r="AE118" s="55" t="s">
        <v>3095</v>
      </c>
      <c r="AF118" s="55" t="s">
        <v>3095</v>
      </c>
      <c r="AG118" s="55" t="s">
        <v>3095</v>
      </c>
      <c r="AH118" s="55" t="s">
        <v>3095</v>
      </c>
      <c r="AI118" s="55" t="s">
        <v>3095</v>
      </c>
      <c r="AJ118" s="55" t="s">
        <v>3095</v>
      </c>
      <c r="AK118" s="55" t="s">
        <v>3095</v>
      </c>
      <c r="AL118" s="55" t="s">
        <v>3095</v>
      </c>
      <c r="AM118" s="55" t="s">
        <v>3095</v>
      </c>
    </row>
    <row r="119" ht="45.0" customHeight="1">
      <c r="A119" s="55" t="s">
        <v>555</v>
      </c>
      <c r="B119" s="55" t="s">
        <v>3702</v>
      </c>
      <c r="C119" s="55" t="str">
        <f>IMAGE("https://raw.githubusercontent.com/ltdimages/images/refs/heads/main/Coordinate0193_00.png")</f>
        <v/>
      </c>
      <c r="D119" s="55" t="str">
        <f>IMAGE("https://raw.githubusercontent.com/ltdimages/images/refs/heads/main/Coordinate0193_01.png")</f>
        <v/>
      </c>
      <c r="E119" s="55" t="s">
        <v>3095</v>
      </c>
      <c r="F119" s="55" t="s">
        <v>3095</v>
      </c>
      <c r="G119" s="55" t="s">
        <v>3095</v>
      </c>
      <c r="H119" s="55" t="s">
        <v>3095</v>
      </c>
      <c r="I119" s="56" t="s">
        <v>3095</v>
      </c>
      <c r="J119" s="55" t="s">
        <v>3095</v>
      </c>
      <c r="K119" s="20" t="s">
        <v>3332</v>
      </c>
      <c r="L119" s="20" t="s">
        <v>3097</v>
      </c>
      <c r="M119" s="55" t="s">
        <v>2574</v>
      </c>
      <c r="N119" s="55" t="s">
        <v>3099</v>
      </c>
      <c r="O119" s="55" t="s">
        <v>45</v>
      </c>
      <c r="P119" s="55" t="s">
        <v>45</v>
      </c>
      <c r="Q119" s="55" t="s">
        <v>45</v>
      </c>
      <c r="R119" s="55" t="s">
        <v>49</v>
      </c>
      <c r="S119" s="55" t="s">
        <v>45</v>
      </c>
      <c r="T119" s="55" t="s">
        <v>45</v>
      </c>
      <c r="U119" s="55" t="s">
        <v>3095</v>
      </c>
      <c r="V119" s="55" t="s">
        <v>3095</v>
      </c>
      <c r="W119" s="55" t="s">
        <v>3095</v>
      </c>
      <c r="X119" s="55" t="s">
        <v>3703</v>
      </c>
      <c r="Y119" s="55" t="s">
        <v>3095</v>
      </c>
      <c r="Z119" s="55" t="s">
        <v>3095</v>
      </c>
      <c r="AA119" s="55" t="s">
        <v>3095</v>
      </c>
      <c r="AB119" s="55" t="s">
        <v>3704</v>
      </c>
      <c r="AC119" s="55" t="s">
        <v>3099</v>
      </c>
      <c r="AD119" s="55" t="s">
        <v>3705</v>
      </c>
      <c r="AE119" s="55" t="s">
        <v>3095</v>
      </c>
      <c r="AF119" s="55" t="s">
        <v>3095</v>
      </c>
      <c r="AG119" s="55" t="s">
        <v>3095</v>
      </c>
      <c r="AH119" s="55" t="s">
        <v>3095</v>
      </c>
      <c r="AI119" s="55" t="s">
        <v>3095</v>
      </c>
      <c r="AJ119" s="55" t="s">
        <v>3095</v>
      </c>
      <c r="AK119" s="55" t="s">
        <v>3095</v>
      </c>
      <c r="AL119" s="55" t="s">
        <v>3095</v>
      </c>
      <c r="AM119" s="55" t="s">
        <v>3095</v>
      </c>
    </row>
    <row r="120" ht="45.0" customHeight="1">
      <c r="A120" s="55" t="s">
        <v>559</v>
      </c>
      <c r="B120" s="55" t="s">
        <v>3706</v>
      </c>
      <c r="C120" s="55" t="str">
        <f>IMAGE("https://raw.githubusercontent.com/ltdimages/images/refs/heads/main/Coordinate0070_00.png")</f>
        <v/>
      </c>
      <c r="D120" s="55" t="str">
        <f>IMAGE("https://raw.githubusercontent.com/ltdimages/images/refs/heads/main/Coordinate0070_01.png")</f>
        <v/>
      </c>
      <c r="E120" s="55" t="str">
        <f>IMAGE("https://raw.githubusercontent.com/ltdimages/images/refs/heads/main/Coordinate0070_02.png")</f>
        <v/>
      </c>
      <c r="F120" s="55" t="str">
        <f>IMAGE("https://raw.githubusercontent.com/ltdimages/images/refs/heads/main/Coordinate0070_03.png")</f>
        <v/>
      </c>
      <c r="G120" s="55" t="str">
        <f>IMAGE("https://raw.githubusercontent.com/ltdimages/images/refs/heads/main/Coordinate0070_04.png")</f>
        <v/>
      </c>
      <c r="H120" s="55" t="str">
        <f>IMAGE("https://raw.githubusercontent.com/ltdimages/images/refs/heads/main/Coordinate0070_05.png")</f>
        <v/>
      </c>
      <c r="I120" s="56" t="str">
        <f>IMAGE("https://raw.githubusercontent.com/ltdimages/images/refs/heads/main/Coordinate0070_06.png")</f>
        <v/>
      </c>
      <c r="J120" s="55" t="str">
        <f>IMAGE("https://raw.githubusercontent.com/ltdimages/images/refs/heads/main/Coordinate0070_07.png")</f>
        <v/>
      </c>
      <c r="K120" s="20" t="s">
        <v>3308</v>
      </c>
      <c r="L120" s="20" t="s">
        <v>3097</v>
      </c>
      <c r="M120" s="55" t="s">
        <v>3098</v>
      </c>
      <c r="N120" s="55" t="s">
        <v>3099</v>
      </c>
      <c r="O120" s="55" t="s">
        <v>45</v>
      </c>
      <c r="P120" s="55" t="s">
        <v>45</v>
      </c>
      <c r="Q120" s="55" t="s">
        <v>45</v>
      </c>
      <c r="R120" s="55" t="s">
        <v>45</v>
      </c>
      <c r="S120" s="55" t="s">
        <v>45</v>
      </c>
      <c r="T120" s="55" t="s">
        <v>45</v>
      </c>
      <c r="U120" s="55" t="s">
        <v>3707</v>
      </c>
      <c r="V120" s="55" t="s">
        <v>3095</v>
      </c>
      <c r="W120" s="55" t="s">
        <v>3148</v>
      </c>
      <c r="X120" s="55" t="s">
        <v>3199</v>
      </c>
      <c r="Y120" s="55" t="s">
        <v>3095</v>
      </c>
      <c r="Z120" s="55" t="s">
        <v>3708</v>
      </c>
      <c r="AA120" s="55" t="s">
        <v>3217</v>
      </c>
      <c r="AB120" s="55" t="s">
        <v>3095</v>
      </c>
      <c r="AC120" s="55" t="s">
        <v>3103</v>
      </c>
      <c r="AD120" s="55" t="s">
        <v>3709</v>
      </c>
      <c r="AE120" s="55" t="s">
        <v>3095</v>
      </c>
      <c r="AF120" s="55" t="s">
        <v>3095</v>
      </c>
      <c r="AG120" s="55" t="s">
        <v>3095</v>
      </c>
      <c r="AH120" s="55" t="s">
        <v>3095</v>
      </c>
      <c r="AI120" s="55" t="s">
        <v>3095</v>
      </c>
      <c r="AJ120" s="55" t="s">
        <v>3095</v>
      </c>
      <c r="AK120" s="55" t="s">
        <v>3095</v>
      </c>
      <c r="AL120" s="55" t="s">
        <v>3095</v>
      </c>
      <c r="AM120" s="55" t="s">
        <v>3095</v>
      </c>
    </row>
    <row r="121" ht="45.0" customHeight="1">
      <c r="A121" s="55" t="s">
        <v>563</v>
      </c>
      <c r="B121" s="55" t="s">
        <v>3710</v>
      </c>
      <c r="C121" s="55" t="str">
        <f>IMAGE("https://raw.githubusercontent.com/ltdimages/images/refs/heads/main/Coordinate0003_00.png")</f>
        <v/>
      </c>
      <c r="D121" s="55" t="str">
        <f>IMAGE("https://raw.githubusercontent.com/ltdimages/images/refs/heads/main/Coordinate0003_01.png")</f>
        <v/>
      </c>
      <c r="E121" s="55" t="str">
        <f>IMAGE("https://raw.githubusercontent.com/ltdimages/images/refs/heads/main/Coordinate0003_02.png")</f>
        <v/>
      </c>
      <c r="F121" s="55" t="str">
        <f>IMAGE("https://raw.githubusercontent.com/ltdimages/images/refs/heads/main/Coordinate0003_03.png")</f>
        <v/>
      </c>
      <c r="G121" s="55" t="str">
        <f>IMAGE("https://raw.githubusercontent.com/ltdimages/images/refs/heads/main/Coordinate0003_04.png")</f>
        <v/>
      </c>
      <c r="H121" s="55" t="str">
        <f>IMAGE("https://raw.githubusercontent.com/ltdimages/images/refs/heads/main/Coordinate0003_05.png")</f>
        <v/>
      </c>
      <c r="I121" s="56" t="str">
        <f>IMAGE("https://raw.githubusercontent.com/ltdimages/images/refs/heads/main/Coordinate0003_06.png")</f>
        <v/>
      </c>
      <c r="J121" s="55" t="str">
        <f>IMAGE("https://raw.githubusercontent.com/ltdimages/images/refs/heads/main/Coordinate0003_07.png")</f>
        <v/>
      </c>
      <c r="K121" s="20" t="s">
        <v>3711</v>
      </c>
      <c r="L121" s="20" t="s">
        <v>3097</v>
      </c>
      <c r="M121" s="55" t="s">
        <v>3098</v>
      </c>
      <c r="N121" s="55" t="s">
        <v>3099</v>
      </c>
      <c r="O121" s="55" t="s">
        <v>45</v>
      </c>
      <c r="P121" s="55" t="s">
        <v>45</v>
      </c>
      <c r="Q121" s="55" t="s">
        <v>45</v>
      </c>
      <c r="R121" s="55" t="s">
        <v>45</v>
      </c>
      <c r="S121" s="55" t="s">
        <v>45</v>
      </c>
      <c r="T121" s="55" t="s">
        <v>45</v>
      </c>
      <c r="U121" s="55" t="s">
        <v>3712</v>
      </c>
      <c r="V121" s="55" t="s">
        <v>3095</v>
      </c>
      <c r="W121" s="55" t="s">
        <v>3359</v>
      </c>
      <c r="X121" s="55" t="s">
        <v>3713</v>
      </c>
      <c r="Y121" s="55" t="s">
        <v>3095</v>
      </c>
      <c r="Z121" s="55" t="s">
        <v>3118</v>
      </c>
      <c r="AA121" s="55" t="s">
        <v>3217</v>
      </c>
      <c r="AB121" s="55" t="s">
        <v>3095</v>
      </c>
      <c r="AC121" s="55" t="s">
        <v>3103</v>
      </c>
      <c r="AD121" s="55" t="s">
        <v>3714</v>
      </c>
      <c r="AE121" s="55" t="s">
        <v>3095</v>
      </c>
      <c r="AF121" s="55" t="s">
        <v>3095</v>
      </c>
      <c r="AG121" s="55" t="s">
        <v>3095</v>
      </c>
      <c r="AH121" s="55" t="s">
        <v>3095</v>
      </c>
      <c r="AI121" s="55" t="s">
        <v>3095</v>
      </c>
      <c r="AJ121" s="55" t="s">
        <v>3095</v>
      </c>
      <c r="AK121" s="55" t="s">
        <v>3095</v>
      </c>
      <c r="AL121" s="55" t="s">
        <v>3095</v>
      </c>
      <c r="AM121" s="55" t="s">
        <v>3095</v>
      </c>
    </row>
    <row r="122" ht="45.0" customHeight="1">
      <c r="A122" s="55" t="s">
        <v>567</v>
      </c>
      <c r="B122" s="55" t="s">
        <v>3715</v>
      </c>
      <c r="C122" s="55" t="str">
        <f>IMAGE("https://raw.githubusercontent.com/ltdimages/images/refs/heads/main/Coordinate0311_00.png")</f>
        <v/>
      </c>
      <c r="D122" s="55" t="str">
        <f>IMAGE("https://raw.githubusercontent.com/ltdimages/images/refs/heads/main/Coordinate0311_01.png")</f>
        <v/>
      </c>
      <c r="E122" s="55" t="str">
        <f>IMAGE("https://raw.githubusercontent.com/ltdimages/images/refs/heads/main/Coordinate0311_02.png")</f>
        <v/>
      </c>
      <c r="F122" s="55" t="str">
        <f>IMAGE("https://raw.githubusercontent.com/ltdimages/images/refs/heads/main/Coordinate0311_03.png")</f>
        <v/>
      </c>
      <c r="G122" s="55" t="str">
        <f>IMAGE("https://raw.githubusercontent.com/ltdimages/images/refs/heads/main/Coordinate0311_04.png")</f>
        <v/>
      </c>
      <c r="H122" s="55" t="str">
        <f>IMAGE("https://raw.githubusercontent.com/ltdimages/images/refs/heads/main/Coordinate0311_05.png")</f>
        <v/>
      </c>
      <c r="I122" s="56" t="str">
        <f>IMAGE("https://raw.githubusercontent.com/ltdimages/images/refs/heads/main/Coordinate0311_06.png")</f>
        <v/>
      </c>
      <c r="J122" s="55" t="str">
        <f>IMAGE("https://raw.githubusercontent.com/ltdimages/images/refs/heads/main/Coordinate0311_07.png")</f>
        <v/>
      </c>
      <c r="K122" s="20" t="s">
        <v>3716</v>
      </c>
      <c r="L122" s="20" t="s">
        <v>3097</v>
      </c>
      <c r="M122" s="55" t="s">
        <v>2574</v>
      </c>
      <c r="N122" s="55" t="s">
        <v>3099</v>
      </c>
      <c r="O122" s="55" t="s">
        <v>45</v>
      </c>
      <c r="P122" s="55" t="s">
        <v>45</v>
      </c>
      <c r="Q122" s="55" t="s">
        <v>45</v>
      </c>
      <c r="R122" s="55" t="s">
        <v>49</v>
      </c>
      <c r="S122" s="55" t="s">
        <v>45</v>
      </c>
      <c r="T122" s="55" t="s">
        <v>45</v>
      </c>
      <c r="U122" s="55" t="s">
        <v>3095</v>
      </c>
      <c r="V122" s="55" t="s">
        <v>3717</v>
      </c>
      <c r="W122" s="55" t="s">
        <v>3095</v>
      </c>
      <c r="X122" s="55" t="s">
        <v>3718</v>
      </c>
      <c r="Y122" s="55" t="s">
        <v>3095</v>
      </c>
      <c r="Z122" s="55" t="s">
        <v>3200</v>
      </c>
      <c r="AA122" s="55" t="s">
        <v>3719</v>
      </c>
      <c r="AB122" s="55" t="s">
        <v>3095</v>
      </c>
      <c r="AC122" s="55" t="s">
        <v>3110</v>
      </c>
      <c r="AD122" s="55" t="s">
        <v>3720</v>
      </c>
      <c r="AE122" s="55" t="s">
        <v>3095</v>
      </c>
      <c r="AF122" s="55" t="s">
        <v>3095</v>
      </c>
      <c r="AG122" s="55" t="s">
        <v>3095</v>
      </c>
      <c r="AH122" s="55" t="s">
        <v>3095</v>
      </c>
      <c r="AI122" s="55" t="s">
        <v>3095</v>
      </c>
      <c r="AJ122" s="55" t="s">
        <v>3095</v>
      </c>
      <c r="AK122" s="55" t="s">
        <v>3095</v>
      </c>
      <c r="AL122" s="55" t="s">
        <v>3095</v>
      </c>
      <c r="AM122" s="55" t="s">
        <v>3095</v>
      </c>
    </row>
    <row r="123" ht="45.0" customHeight="1">
      <c r="A123" s="55" t="s">
        <v>571</v>
      </c>
      <c r="B123" s="55" t="s">
        <v>3721</v>
      </c>
      <c r="C123" s="55" t="str">
        <f>IMAGE("https://raw.githubusercontent.com/ltdimages/images/refs/heads/main/Coordinate0232_00.png")</f>
        <v/>
      </c>
      <c r="D123" s="55" t="str">
        <f>IMAGE("https://raw.githubusercontent.com/ltdimages/images/refs/heads/main/Coordinate0232_01.png")</f>
        <v/>
      </c>
      <c r="E123" s="55" t="str">
        <f>IMAGE("https://raw.githubusercontent.com/ltdimages/images/refs/heads/main/Coordinate0232_02.png")</f>
        <v/>
      </c>
      <c r="F123" s="55" t="str">
        <f>IMAGE("https://raw.githubusercontent.com/ltdimages/images/refs/heads/main/Coordinate0232_03.png")</f>
        <v/>
      </c>
      <c r="G123" s="55" t="str">
        <f>IMAGE("https://raw.githubusercontent.com/ltdimages/images/refs/heads/main/Coordinate0232_04.png")</f>
        <v/>
      </c>
      <c r="H123" s="55" t="str">
        <f>IMAGE("https://raw.githubusercontent.com/ltdimages/images/refs/heads/main/Coordinate0232_05.png")</f>
        <v/>
      </c>
      <c r="I123" s="56" t="str">
        <f>IMAGE("https://raw.githubusercontent.com/ltdimages/images/refs/heads/main/Coordinate0232_06.png")</f>
        <v/>
      </c>
      <c r="J123" s="55" t="str">
        <f>IMAGE("https://raw.githubusercontent.com/ltdimages/images/refs/heads/main/Coordinate0232_07.png")</f>
        <v/>
      </c>
      <c r="K123" s="20" t="s">
        <v>3722</v>
      </c>
      <c r="L123" s="20" t="s">
        <v>3097</v>
      </c>
      <c r="M123" s="55" t="s">
        <v>3098</v>
      </c>
      <c r="N123" s="55" t="s">
        <v>3099</v>
      </c>
      <c r="O123" s="55" t="s">
        <v>45</v>
      </c>
      <c r="P123" s="55" t="s">
        <v>45</v>
      </c>
      <c r="Q123" s="55" t="s">
        <v>45</v>
      </c>
      <c r="R123" s="55" t="s">
        <v>45</v>
      </c>
      <c r="S123" s="55" t="s">
        <v>45</v>
      </c>
      <c r="T123" s="55" t="s">
        <v>45</v>
      </c>
      <c r="U123" s="55" t="s">
        <v>3723</v>
      </c>
      <c r="V123" s="55" t="s">
        <v>3095</v>
      </c>
      <c r="W123" s="55" t="s">
        <v>3676</v>
      </c>
      <c r="X123" s="55" t="s">
        <v>3095</v>
      </c>
      <c r="Y123" s="55" t="s">
        <v>3095</v>
      </c>
      <c r="Z123" s="55" t="s">
        <v>3193</v>
      </c>
      <c r="AA123" s="55" t="s">
        <v>3366</v>
      </c>
      <c r="AB123" s="55" t="s">
        <v>3095</v>
      </c>
      <c r="AC123" s="55" t="s">
        <v>3103</v>
      </c>
      <c r="AD123" s="55" t="s">
        <v>3724</v>
      </c>
      <c r="AE123" s="55" t="s">
        <v>3095</v>
      </c>
      <c r="AF123" s="55" t="s">
        <v>3095</v>
      </c>
      <c r="AG123" s="55" t="s">
        <v>3095</v>
      </c>
      <c r="AH123" s="55" t="s">
        <v>3095</v>
      </c>
      <c r="AI123" s="55" t="s">
        <v>3095</v>
      </c>
      <c r="AJ123" s="55" t="s">
        <v>3095</v>
      </c>
      <c r="AK123" s="55" t="s">
        <v>3095</v>
      </c>
      <c r="AL123" s="55" t="s">
        <v>3095</v>
      </c>
      <c r="AM123" s="55" t="s">
        <v>3095</v>
      </c>
    </row>
    <row r="124" ht="45.0" customHeight="1">
      <c r="A124" s="55" t="s">
        <v>576</v>
      </c>
      <c r="B124" s="55" t="s">
        <v>3725</v>
      </c>
      <c r="C124" s="55" t="str">
        <f>IMAGE("https://raw.githubusercontent.com/ltdimages/images/refs/heads/main/Coordinate0063_00.png")</f>
        <v/>
      </c>
      <c r="D124" s="55" t="str">
        <f>IMAGE("https://raw.githubusercontent.com/ltdimages/images/refs/heads/main/Coordinate0063_01.png")</f>
        <v/>
      </c>
      <c r="E124" s="55" t="str">
        <f>IMAGE("https://raw.githubusercontent.com/ltdimages/images/refs/heads/main/Coordinate0063_02.png")</f>
        <v/>
      </c>
      <c r="F124" s="55" t="str">
        <f>IMAGE("https://raw.githubusercontent.com/ltdimages/images/refs/heads/main/Coordinate0063_03.png")</f>
        <v/>
      </c>
      <c r="G124" s="55" t="str">
        <f>IMAGE("https://raw.githubusercontent.com/ltdimages/images/refs/heads/main/Coordinate0063_04.png")</f>
        <v/>
      </c>
      <c r="H124" s="55" t="str">
        <f>IMAGE("https://raw.githubusercontent.com/ltdimages/images/refs/heads/main/Coordinate0063_05.png")</f>
        <v/>
      </c>
      <c r="I124" s="56" t="s">
        <v>3095</v>
      </c>
      <c r="J124" s="55" t="s">
        <v>3095</v>
      </c>
      <c r="K124" s="20" t="s">
        <v>3699</v>
      </c>
      <c r="L124" s="20" t="s">
        <v>3097</v>
      </c>
      <c r="M124" s="55" t="s">
        <v>2574</v>
      </c>
      <c r="N124" s="55" t="s">
        <v>3099</v>
      </c>
      <c r="O124" s="55" t="s">
        <v>45</v>
      </c>
      <c r="P124" s="55" t="s">
        <v>45</v>
      </c>
      <c r="Q124" s="55" t="s">
        <v>45</v>
      </c>
      <c r="R124" s="55" t="s">
        <v>45</v>
      </c>
      <c r="S124" s="55" t="s">
        <v>45</v>
      </c>
      <c r="T124" s="55" t="s">
        <v>45</v>
      </c>
      <c r="U124" s="55" t="s">
        <v>3095</v>
      </c>
      <c r="V124" s="55" t="s">
        <v>3726</v>
      </c>
      <c r="W124" s="55" t="s">
        <v>3095</v>
      </c>
      <c r="X124" s="55" t="s">
        <v>3727</v>
      </c>
      <c r="Y124" s="55" t="s">
        <v>3095</v>
      </c>
      <c r="Z124" s="55" t="s">
        <v>3095</v>
      </c>
      <c r="AA124" s="55" t="s">
        <v>3102</v>
      </c>
      <c r="AB124" s="55" t="s">
        <v>3095</v>
      </c>
      <c r="AC124" s="55" t="s">
        <v>3110</v>
      </c>
      <c r="AD124" s="55" t="s">
        <v>3728</v>
      </c>
      <c r="AE124" s="55" t="s">
        <v>3095</v>
      </c>
      <c r="AF124" s="55" t="s">
        <v>3095</v>
      </c>
      <c r="AG124" s="55" t="s">
        <v>3095</v>
      </c>
      <c r="AH124" s="55" t="s">
        <v>3095</v>
      </c>
      <c r="AI124" s="55" t="s">
        <v>3095</v>
      </c>
      <c r="AJ124" s="55" t="s">
        <v>3095</v>
      </c>
      <c r="AK124" s="55" t="s">
        <v>3095</v>
      </c>
      <c r="AL124" s="55" t="s">
        <v>3095</v>
      </c>
      <c r="AM124" s="55" t="s">
        <v>3095</v>
      </c>
    </row>
    <row r="125" ht="45.0" customHeight="1">
      <c r="A125" s="55" t="s">
        <v>580</v>
      </c>
      <c r="B125" s="55" t="s">
        <v>3729</v>
      </c>
      <c r="C125" s="55" t="str">
        <f>IMAGE("https://raw.githubusercontent.com/ltdimages/images/refs/heads/main/Coordinate0196_00.png")</f>
        <v/>
      </c>
      <c r="D125" s="55" t="str">
        <f>IMAGE("https://raw.githubusercontent.com/ltdimages/images/refs/heads/main/Coordinate0196_01.png")</f>
        <v/>
      </c>
      <c r="E125" s="55" t="str">
        <f>IMAGE("https://raw.githubusercontent.com/ltdimages/images/refs/heads/main/Coordinate0196_02.png")</f>
        <v/>
      </c>
      <c r="F125" s="55" t="str">
        <f>IMAGE("https://raw.githubusercontent.com/ltdimages/images/refs/heads/main/Coordinate0196_03.png")</f>
        <v/>
      </c>
      <c r="G125" s="55" t="str">
        <f>IMAGE("https://raw.githubusercontent.com/ltdimages/images/refs/heads/main/Coordinate0196_04.png")</f>
        <v/>
      </c>
      <c r="H125" s="55" t="str">
        <f>IMAGE("https://raw.githubusercontent.com/ltdimages/images/refs/heads/main/Coordinate0196_05.png")</f>
        <v/>
      </c>
      <c r="I125" s="56" t="str">
        <f>IMAGE("https://raw.githubusercontent.com/ltdimages/images/refs/heads/main/Coordinate0196_06.png")</f>
        <v/>
      </c>
      <c r="J125" s="55" t="str">
        <f>IMAGE("https://raw.githubusercontent.com/ltdimages/images/refs/heads/main/Coordinate0196_07.png")</f>
        <v/>
      </c>
      <c r="K125" s="20" t="s">
        <v>3730</v>
      </c>
      <c r="L125" s="20" t="s">
        <v>3097</v>
      </c>
      <c r="M125" s="55" t="s">
        <v>3131</v>
      </c>
      <c r="N125" s="55" t="s">
        <v>3099</v>
      </c>
      <c r="O125" s="55" t="s">
        <v>45</v>
      </c>
      <c r="P125" s="55" t="s">
        <v>45</v>
      </c>
      <c r="Q125" s="55" t="s">
        <v>45</v>
      </c>
      <c r="R125" s="55" t="s">
        <v>45</v>
      </c>
      <c r="S125" s="55" t="s">
        <v>45</v>
      </c>
      <c r="T125" s="55" t="s">
        <v>45</v>
      </c>
      <c r="U125" s="55" t="s">
        <v>3095</v>
      </c>
      <c r="V125" s="55" t="s">
        <v>3731</v>
      </c>
      <c r="W125" s="55" t="s">
        <v>3095</v>
      </c>
      <c r="X125" s="55" t="s">
        <v>3727</v>
      </c>
      <c r="Y125" s="55" t="s">
        <v>3095</v>
      </c>
      <c r="Z125" s="55" t="s">
        <v>3095</v>
      </c>
      <c r="AA125" s="55" t="s">
        <v>3095</v>
      </c>
      <c r="AB125" s="55" t="s">
        <v>3095</v>
      </c>
      <c r="AC125" s="55" t="s">
        <v>3110</v>
      </c>
      <c r="AD125" s="55" t="s">
        <v>3732</v>
      </c>
      <c r="AE125" s="55" t="s">
        <v>3095</v>
      </c>
      <c r="AF125" s="55" t="s">
        <v>3095</v>
      </c>
      <c r="AG125" s="55" t="s">
        <v>3095</v>
      </c>
      <c r="AH125" s="55" t="s">
        <v>3095</v>
      </c>
      <c r="AI125" s="55" t="s">
        <v>3095</v>
      </c>
      <c r="AJ125" s="55" t="s">
        <v>3095</v>
      </c>
      <c r="AK125" s="55" t="s">
        <v>3095</v>
      </c>
      <c r="AL125" s="55" t="s">
        <v>3095</v>
      </c>
      <c r="AM125" s="55" t="s">
        <v>3095</v>
      </c>
    </row>
    <row r="126" ht="45.0" customHeight="1">
      <c r="A126" s="55" t="s">
        <v>584</v>
      </c>
      <c r="B126" s="55" t="s">
        <v>3733</v>
      </c>
      <c r="C126" s="55" t="str">
        <f>IMAGE("https://raw.githubusercontent.com/ltdimages/images/refs/heads/main/Coordinate0176_00.png")</f>
        <v/>
      </c>
      <c r="D126" s="55" t="str">
        <f>IMAGE("https://raw.githubusercontent.com/ltdimages/images/refs/heads/main/Coordinate0176_01.png")</f>
        <v/>
      </c>
      <c r="E126" s="55" t="str">
        <f>IMAGE("https://raw.githubusercontent.com/ltdimages/images/refs/heads/main/Coordinate0176_02.png")</f>
        <v/>
      </c>
      <c r="F126" s="55" t="str">
        <f>IMAGE("https://raw.githubusercontent.com/ltdimages/images/refs/heads/main/Coordinate0176_03.png")</f>
        <v/>
      </c>
      <c r="G126" s="55" t="str">
        <f>IMAGE("https://raw.githubusercontent.com/ltdimages/images/refs/heads/main/Coordinate0176_04.png")</f>
        <v/>
      </c>
      <c r="H126" s="55" t="str">
        <f>IMAGE("https://raw.githubusercontent.com/ltdimages/images/refs/heads/main/Coordinate0176_05.png")</f>
        <v/>
      </c>
      <c r="I126" s="56" t="s">
        <v>3095</v>
      </c>
      <c r="J126" s="55" t="s">
        <v>3095</v>
      </c>
      <c r="K126" s="20" t="s">
        <v>3186</v>
      </c>
      <c r="L126" s="20" t="s">
        <v>3097</v>
      </c>
      <c r="M126" s="55" t="s">
        <v>2574</v>
      </c>
      <c r="N126" s="55" t="s">
        <v>3099</v>
      </c>
      <c r="O126" s="55" t="s">
        <v>45</v>
      </c>
      <c r="P126" s="55" t="s">
        <v>45</v>
      </c>
      <c r="Q126" s="55" t="s">
        <v>45</v>
      </c>
      <c r="R126" s="55" t="s">
        <v>49</v>
      </c>
      <c r="S126" s="55" t="s">
        <v>49</v>
      </c>
      <c r="T126" s="55" t="s">
        <v>45</v>
      </c>
      <c r="U126" s="55" t="s">
        <v>3095</v>
      </c>
      <c r="V126" s="55" t="s">
        <v>3095</v>
      </c>
      <c r="W126" s="55" t="s">
        <v>3095</v>
      </c>
      <c r="X126" s="55" t="s">
        <v>3734</v>
      </c>
      <c r="Y126" s="55" t="s">
        <v>3095</v>
      </c>
      <c r="Z126" s="55" t="s">
        <v>3095</v>
      </c>
      <c r="AA126" s="55" t="s">
        <v>3095</v>
      </c>
      <c r="AB126" s="55" t="s">
        <v>3735</v>
      </c>
      <c r="AC126" s="55" t="s">
        <v>3099</v>
      </c>
      <c r="AD126" s="55" t="s">
        <v>3736</v>
      </c>
      <c r="AE126" s="55" t="s">
        <v>3095</v>
      </c>
      <c r="AF126" s="55" t="s">
        <v>3095</v>
      </c>
      <c r="AG126" s="55" t="s">
        <v>3095</v>
      </c>
      <c r="AH126" s="55" t="s">
        <v>3095</v>
      </c>
      <c r="AI126" s="55" t="s">
        <v>3095</v>
      </c>
      <c r="AJ126" s="55" t="s">
        <v>3095</v>
      </c>
      <c r="AK126" s="55" t="s">
        <v>3095</v>
      </c>
      <c r="AL126" s="55" t="s">
        <v>3095</v>
      </c>
      <c r="AM126" s="55" t="s">
        <v>3095</v>
      </c>
    </row>
    <row r="127" ht="45.0" customHeight="1">
      <c r="A127" s="55" t="s">
        <v>588</v>
      </c>
      <c r="B127" s="55" t="s">
        <v>3737</v>
      </c>
      <c r="C127" s="55" t="str">
        <f>IMAGE("https://raw.githubusercontent.com/ltdimages/images/refs/heads/main/Coordinate0203_00.png")</f>
        <v/>
      </c>
      <c r="D127" s="55" t="str">
        <f>IMAGE("https://raw.githubusercontent.com/ltdimages/images/refs/heads/main/Coordinate0203_01.png")</f>
        <v/>
      </c>
      <c r="E127" s="55" t="str">
        <f>IMAGE("https://raw.githubusercontent.com/ltdimages/images/refs/heads/main/Coordinate0203_02.png")</f>
        <v/>
      </c>
      <c r="F127" s="55" t="str">
        <f>IMAGE("https://raw.githubusercontent.com/ltdimages/images/refs/heads/main/Coordinate0203_03.png")</f>
        <v/>
      </c>
      <c r="G127" s="55" t="str">
        <f>IMAGE("https://raw.githubusercontent.com/ltdimages/images/refs/heads/main/Coordinate0203_04.png")</f>
        <v/>
      </c>
      <c r="H127" s="55" t="str">
        <f>IMAGE("https://raw.githubusercontent.com/ltdimages/images/refs/heads/main/Coordinate0203_05.png")</f>
        <v/>
      </c>
      <c r="I127" s="56" t="str">
        <f>IMAGE("https://raw.githubusercontent.com/ltdimages/images/refs/heads/main/Coordinate0203_06.png")</f>
        <v/>
      </c>
      <c r="J127" s="55" t="str">
        <f>IMAGE("https://raw.githubusercontent.com/ltdimages/images/refs/heads/main/Coordinate0203_07.png")</f>
        <v/>
      </c>
      <c r="K127" s="20" t="s">
        <v>3546</v>
      </c>
      <c r="L127" s="20" t="s">
        <v>3097</v>
      </c>
      <c r="M127" s="55" t="s">
        <v>2574</v>
      </c>
      <c r="N127" s="55" t="s">
        <v>3099</v>
      </c>
      <c r="O127" s="55" t="s">
        <v>45</v>
      </c>
      <c r="P127" s="55" t="s">
        <v>45</v>
      </c>
      <c r="Q127" s="55" t="s">
        <v>45</v>
      </c>
      <c r="R127" s="55" t="s">
        <v>49</v>
      </c>
      <c r="S127" s="55" t="s">
        <v>45</v>
      </c>
      <c r="T127" s="55" t="s">
        <v>45</v>
      </c>
      <c r="U127" s="55" t="s">
        <v>3095</v>
      </c>
      <c r="V127" s="55" t="s">
        <v>3095</v>
      </c>
      <c r="W127" s="55" t="s">
        <v>3095</v>
      </c>
      <c r="X127" s="55" t="s">
        <v>3738</v>
      </c>
      <c r="Y127" s="55" t="s">
        <v>3095</v>
      </c>
      <c r="Z127" s="55" t="s">
        <v>3095</v>
      </c>
      <c r="AA127" s="55" t="s">
        <v>3095</v>
      </c>
      <c r="AB127" s="55" t="s">
        <v>3739</v>
      </c>
      <c r="AC127" s="55" t="s">
        <v>3099</v>
      </c>
      <c r="AD127" s="55" t="s">
        <v>3740</v>
      </c>
      <c r="AE127" s="55" t="s">
        <v>3095</v>
      </c>
      <c r="AF127" s="55" t="s">
        <v>3095</v>
      </c>
      <c r="AG127" s="55" t="s">
        <v>3095</v>
      </c>
      <c r="AH127" s="55" t="s">
        <v>3095</v>
      </c>
      <c r="AI127" s="55" t="s">
        <v>3095</v>
      </c>
      <c r="AJ127" s="55" t="s">
        <v>3095</v>
      </c>
      <c r="AK127" s="55" t="s">
        <v>3095</v>
      </c>
      <c r="AL127" s="55" t="s">
        <v>3095</v>
      </c>
      <c r="AM127" s="55" t="s">
        <v>3095</v>
      </c>
    </row>
    <row r="128" ht="45.0" customHeight="1">
      <c r="A128" s="55" t="s">
        <v>593</v>
      </c>
      <c r="B128" s="55" t="s">
        <v>3741</v>
      </c>
      <c r="C128" s="55" t="str">
        <f>IMAGE("https://raw.githubusercontent.com/ltdimages/images/refs/heads/main/Coordinate0307_00.png")</f>
        <v/>
      </c>
      <c r="D128" s="55" t="s">
        <v>3095</v>
      </c>
      <c r="E128" s="55" t="s">
        <v>3095</v>
      </c>
      <c r="F128" s="55" t="s">
        <v>3095</v>
      </c>
      <c r="G128" s="55" t="s">
        <v>3095</v>
      </c>
      <c r="H128" s="55" t="s">
        <v>3095</v>
      </c>
      <c r="I128" s="56" t="s">
        <v>3095</v>
      </c>
      <c r="J128" s="55" t="s">
        <v>3095</v>
      </c>
      <c r="K128" s="20" t="s">
        <v>3449</v>
      </c>
      <c r="L128" s="20" t="s">
        <v>3097</v>
      </c>
      <c r="M128" s="55" t="s">
        <v>3098</v>
      </c>
      <c r="N128" s="55" t="s">
        <v>3099</v>
      </c>
      <c r="O128" s="55" t="s">
        <v>45</v>
      </c>
      <c r="P128" s="55" t="s">
        <v>45</v>
      </c>
      <c r="Q128" s="55" t="s">
        <v>45</v>
      </c>
      <c r="R128" s="55" t="s">
        <v>49</v>
      </c>
      <c r="S128" s="55" t="s">
        <v>45</v>
      </c>
      <c r="T128" s="55" t="s">
        <v>45</v>
      </c>
      <c r="U128" s="55" t="s">
        <v>3095</v>
      </c>
      <c r="V128" s="55" t="s">
        <v>3095</v>
      </c>
      <c r="W128" s="55" t="s">
        <v>3095</v>
      </c>
      <c r="X128" s="55" t="s">
        <v>3742</v>
      </c>
      <c r="Y128" s="55" t="s">
        <v>3095</v>
      </c>
      <c r="Z128" s="55" t="s">
        <v>3095</v>
      </c>
      <c r="AA128" s="55" t="s">
        <v>3095</v>
      </c>
      <c r="AB128" s="55" t="s">
        <v>3743</v>
      </c>
      <c r="AC128" s="55" t="s">
        <v>3099</v>
      </c>
      <c r="AD128" s="55" t="s">
        <v>3744</v>
      </c>
      <c r="AE128" s="55" t="s">
        <v>3095</v>
      </c>
      <c r="AF128" s="55" t="s">
        <v>3095</v>
      </c>
      <c r="AG128" s="55" t="s">
        <v>3095</v>
      </c>
      <c r="AH128" s="55" t="s">
        <v>3095</v>
      </c>
      <c r="AI128" s="55" t="s">
        <v>3095</v>
      </c>
      <c r="AJ128" s="55" t="s">
        <v>3095</v>
      </c>
      <c r="AK128" s="55" t="s">
        <v>3095</v>
      </c>
      <c r="AL128" s="55" t="s">
        <v>3095</v>
      </c>
      <c r="AM128" s="55" t="s">
        <v>3095</v>
      </c>
    </row>
    <row r="129" ht="45.0" customHeight="1">
      <c r="A129" s="55" t="s">
        <v>597</v>
      </c>
      <c r="B129" s="55" t="s">
        <v>3745</v>
      </c>
      <c r="C129" s="55" t="str">
        <f>IMAGE("https://raw.githubusercontent.com/ltdimages/images/refs/heads/main/Coordinate0340_00.png")</f>
        <v/>
      </c>
      <c r="D129" s="55" t="str">
        <f>IMAGE("https://raw.githubusercontent.com/ltdimages/images/refs/heads/main/Coordinate0340_01.png")</f>
        <v/>
      </c>
      <c r="E129" s="55" t="str">
        <f>IMAGE("https://raw.githubusercontent.com/ltdimages/images/refs/heads/main/Coordinate0340_02.png")</f>
        <v/>
      </c>
      <c r="F129" s="55" t="str">
        <f>IMAGE("https://raw.githubusercontent.com/ltdimages/images/refs/heads/main/Coordinate0340_03.png")</f>
        <v/>
      </c>
      <c r="G129" s="55" t="str">
        <f>IMAGE("https://raw.githubusercontent.com/ltdimages/images/refs/heads/main/Coordinate0340_04.png")</f>
        <v/>
      </c>
      <c r="H129" s="55" t="str">
        <f>IMAGE("https://raw.githubusercontent.com/ltdimages/images/refs/heads/main/Coordinate0340_05.png")</f>
        <v/>
      </c>
      <c r="I129" s="56" t="str">
        <f>IMAGE("https://raw.githubusercontent.com/ltdimages/images/refs/heads/main/Coordinate0340_06.png")</f>
        <v/>
      </c>
      <c r="J129" s="55" t="str">
        <f>IMAGE("https://raw.githubusercontent.com/ltdimages/images/refs/heads/main/Coordinate0340_07.png")</f>
        <v/>
      </c>
      <c r="K129" s="20" t="s">
        <v>3186</v>
      </c>
      <c r="L129" s="20" t="s">
        <v>3097</v>
      </c>
      <c r="M129" s="55" t="s">
        <v>2574</v>
      </c>
      <c r="N129" s="55" t="s">
        <v>3099</v>
      </c>
      <c r="O129" s="55" t="s">
        <v>45</v>
      </c>
      <c r="P129" s="55" t="s">
        <v>45</v>
      </c>
      <c r="Q129" s="55" t="s">
        <v>45</v>
      </c>
      <c r="R129" s="55" t="s">
        <v>49</v>
      </c>
      <c r="S129" s="55" t="s">
        <v>45</v>
      </c>
      <c r="T129" s="55" t="s">
        <v>45</v>
      </c>
      <c r="U129" s="55" t="s">
        <v>3095</v>
      </c>
      <c r="V129" s="55" t="s">
        <v>3095</v>
      </c>
      <c r="W129" s="55" t="s">
        <v>3095</v>
      </c>
      <c r="X129" s="55" t="s">
        <v>3746</v>
      </c>
      <c r="Y129" s="55" t="s">
        <v>3095</v>
      </c>
      <c r="Z129" s="55" t="s">
        <v>3095</v>
      </c>
      <c r="AA129" s="55" t="s">
        <v>3095</v>
      </c>
      <c r="AB129" s="55" t="s">
        <v>3747</v>
      </c>
      <c r="AC129" s="55" t="s">
        <v>3244</v>
      </c>
      <c r="AD129" s="55" t="s">
        <v>3748</v>
      </c>
      <c r="AE129" s="55" t="s">
        <v>3095</v>
      </c>
      <c r="AF129" s="55" t="s">
        <v>3095</v>
      </c>
      <c r="AG129" s="55" t="s">
        <v>3095</v>
      </c>
      <c r="AH129" s="55" t="s">
        <v>3095</v>
      </c>
      <c r="AI129" s="55" t="s">
        <v>3095</v>
      </c>
      <c r="AJ129" s="55" t="s">
        <v>3095</v>
      </c>
      <c r="AK129" s="55" t="s">
        <v>3095</v>
      </c>
      <c r="AL129" s="55" t="s">
        <v>3095</v>
      </c>
      <c r="AM129" s="55" t="s">
        <v>3095</v>
      </c>
    </row>
    <row r="130" ht="45.0" customHeight="1">
      <c r="A130" s="55" t="s">
        <v>601</v>
      </c>
      <c r="B130" s="55" t="s">
        <v>3749</v>
      </c>
      <c r="C130" s="55" t="str">
        <f>IMAGE("https://raw.githubusercontent.com/ltdimages/images/refs/heads/main/Coordinate0261_00.png")</f>
        <v/>
      </c>
      <c r="D130" s="55" t="str">
        <f>IMAGE("https://raw.githubusercontent.com/ltdimages/images/refs/heads/main/Coordinate0261_01.png")</f>
        <v/>
      </c>
      <c r="E130" s="55" t="str">
        <f>IMAGE("https://raw.githubusercontent.com/ltdimages/images/refs/heads/main/Coordinate0261_02.png")</f>
        <v/>
      </c>
      <c r="F130" s="55" t="str">
        <f>IMAGE("https://raw.githubusercontent.com/ltdimages/images/refs/heads/main/Coordinate0261_03.png")</f>
        <v/>
      </c>
      <c r="G130" s="55" t="s">
        <v>3095</v>
      </c>
      <c r="H130" s="55" t="s">
        <v>3095</v>
      </c>
      <c r="I130" s="56" t="s">
        <v>3095</v>
      </c>
      <c r="J130" s="55" t="s">
        <v>3095</v>
      </c>
      <c r="K130" s="20" t="s">
        <v>3379</v>
      </c>
      <c r="L130" s="20" t="s">
        <v>3097</v>
      </c>
      <c r="M130" s="55" t="s">
        <v>3098</v>
      </c>
      <c r="N130" s="55" t="s">
        <v>3123</v>
      </c>
      <c r="O130" s="55" t="s">
        <v>45</v>
      </c>
      <c r="P130" s="55" t="s">
        <v>45</v>
      </c>
      <c r="Q130" s="55" t="s">
        <v>45</v>
      </c>
      <c r="R130" s="55" t="s">
        <v>45</v>
      </c>
      <c r="S130" s="55" t="s">
        <v>45</v>
      </c>
      <c r="T130" s="55" t="s">
        <v>45</v>
      </c>
      <c r="U130" s="55" t="s">
        <v>3750</v>
      </c>
      <c r="V130" s="55" t="s">
        <v>3095</v>
      </c>
      <c r="W130" s="55" t="s">
        <v>3277</v>
      </c>
      <c r="X130" s="55" t="s">
        <v>3751</v>
      </c>
      <c r="Y130" s="55" t="s">
        <v>3095</v>
      </c>
      <c r="Z130" s="55" t="s">
        <v>3193</v>
      </c>
      <c r="AA130" s="55" t="s">
        <v>3752</v>
      </c>
      <c r="AB130" s="55" t="s">
        <v>3095</v>
      </c>
      <c r="AC130" s="55" t="s">
        <v>3103</v>
      </c>
      <c r="AD130" s="55" t="s">
        <v>3753</v>
      </c>
      <c r="AE130" s="55" t="s">
        <v>3095</v>
      </c>
      <c r="AF130" s="55" t="s">
        <v>3095</v>
      </c>
      <c r="AG130" s="55" t="s">
        <v>3095</v>
      </c>
      <c r="AH130" s="55" t="s">
        <v>3095</v>
      </c>
      <c r="AI130" s="55" t="s">
        <v>3095</v>
      </c>
      <c r="AJ130" s="55" t="s">
        <v>3095</v>
      </c>
      <c r="AK130" s="55" t="s">
        <v>3095</v>
      </c>
      <c r="AL130" s="55" t="s">
        <v>3095</v>
      </c>
      <c r="AM130" s="55" t="s">
        <v>3095</v>
      </c>
    </row>
    <row r="131" ht="45.0" customHeight="1">
      <c r="A131" s="55" t="s">
        <v>605</v>
      </c>
      <c r="B131" s="55" t="s">
        <v>3754</v>
      </c>
      <c r="C131" s="55" t="str">
        <f>IMAGE("https://raw.githubusercontent.com/ltdimages/images/refs/heads/main/Coordinate0262_00.png")</f>
        <v/>
      </c>
      <c r="D131" s="55" t="str">
        <f>IMAGE("https://raw.githubusercontent.com/ltdimages/images/refs/heads/main/Coordinate0262_01.png")</f>
        <v/>
      </c>
      <c r="E131" s="55" t="str">
        <f>IMAGE("https://raw.githubusercontent.com/ltdimages/images/refs/heads/main/Coordinate0262_02.png")</f>
        <v/>
      </c>
      <c r="F131" s="55" t="str">
        <f>IMAGE("https://raw.githubusercontent.com/ltdimages/images/refs/heads/main/Coordinate0262_03.png")</f>
        <v/>
      </c>
      <c r="G131" s="55" t="str">
        <f>IMAGE("https://raw.githubusercontent.com/ltdimages/images/refs/heads/main/Coordinate0262_04.png")</f>
        <v/>
      </c>
      <c r="H131" s="55" t="str">
        <f>IMAGE("https://raw.githubusercontent.com/ltdimages/images/refs/heads/main/Coordinate0262_05.png")</f>
        <v/>
      </c>
      <c r="I131" s="56" t="str">
        <f>IMAGE("https://raw.githubusercontent.com/ltdimages/images/refs/heads/main/Coordinate0262_06.png")</f>
        <v/>
      </c>
      <c r="J131" s="55" t="str">
        <f>IMAGE("https://raw.githubusercontent.com/ltdimages/images/refs/heads/main/Coordinate0262_07.png")</f>
        <v/>
      </c>
      <c r="K131" s="20" t="s">
        <v>3755</v>
      </c>
      <c r="L131" s="20" t="s">
        <v>3097</v>
      </c>
      <c r="M131" s="55" t="s">
        <v>2574</v>
      </c>
      <c r="N131" s="55" t="s">
        <v>3099</v>
      </c>
      <c r="O131" s="55" t="s">
        <v>45</v>
      </c>
      <c r="P131" s="55" t="s">
        <v>45</v>
      </c>
      <c r="Q131" s="55" t="s">
        <v>45</v>
      </c>
      <c r="R131" s="55" t="s">
        <v>49</v>
      </c>
      <c r="S131" s="55" t="s">
        <v>45</v>
      </c>
      <c r="T131" s="55" t="s">
        <v>45</v>
      </c>
      <c r="U131" s="55" t="s">
        <v>3095</v>
      </c>
      <c r="V131" s="55" t="s">
        <v>3756</v>
      </c>
      <c r="W131" s="55" t="s">
        <v>3095</v>
      </c>
      <c r="X131" s="55" t="s">
        <v>3757</v>
      </c>
      <c r="Y131" s="55" t="s">
        <v>3758</v>
      </c>
      <c r="Z131" s="55" t="s">
        <v>3304</v>
      </c>
      <c r="AA131" s="55" t="s">
        <v>3759</v>
      </c>
      <c r="AB131" s="55" t="s">
        <v>3095</v>
      </c>
      <c r="AC131" s="55" t="s">
        <v>3110</v>
      </c>
      <c r="AD131" s="55" t="s">
        <v>3760</v>
      </c>
      <c r="AE131" s="55" t="s">
        <v>3095</v>
      </c>
      <c r="AF131" s="55" t="s">
        <v>3095</v>
      </c>
      <c r="AG131" s="55" t="s">
        <v>3095</v>
      </c>
      <c r="AH131" s="55" t="s">
        <v>3095</v>
      </c>
      <c r="AI131" s="55" t="s">
        <v>3095</v>
      </c>
      <c r="AJ131" s="55" t="s">
        <v>3095</v>
      </c>
      <c r="AK131" s="55" t="s">
        <v>3095</v>
      </c>
      <c r="AL131" s="55" t="s">
        <v>3095</v>
      </c>
      <c r="AM131" s="55" t="s">
        <v>3095</v>
      </c>
    </row>
    <row r="132" ht="45.0" customHeight="1">
      <c r="A132" s="55" t="s">
        <v>609</v>
      </c>
      <c r="B132" s="55" t="s">
        <v>3761</v>
      </c>
      <c r="C132" s="55" t="str">
        <f>IMAGE("https://raw.githubusercontent.com/ltdimages/images/refs/heads/main/Coordinate0249_00.png")</f>
        <v/>
      </c>
      <c r="D132" s="55" t="str">
        <f>IMAGE("https://raw.githubusercontent.com/ltdimages/images/refs/heads/main/Coordinate0249_01.png")</f>
        <v/>
      </c>
      <c r="E132" s="55" t="str">
        <f>IMAGE("https://raw.githubusercontent.com/ltdimages/images/refs/heads/main/Coordinate0249_02.png")</f>
        <v/>
      </c>
      <c r="F132" s="55" t="str">
        <f>IMAGE("https://raw.githubusercontent.com/ltdimages/images/refs/heads/main/Coordinate0249_03.png")</f>
        <v/>
      </c>
      <c r="G132" s="55" t="str">
        <f>IMAGE("https://raw.githubusercontent.com/ltdimages/images/refs/heads/main/Coordinate0249_04.png")</f>
        <v/>
      </c>
      <c r="H132" s="55" t="str">
        <f>IMAGE("https://raw.githubusercontent.com/ltdimages/images/refs/heads/main/Coordinate0249_05.png")</f>
        <v/>
      </c>
      <c r="I132" s="56" t="s">
        <v>3095</v>
      </c>
      <c r="J132" s="55" t="s">
        <v>3095</v>
      </c>
      <c r="K132" s="20" t="s">
        <v>3762</v>
      </c>
      <c r="L132" s="20" t="s">
        <v>3097</v>
      </c>
      <c r="M132" s="55" t="s">
        <v>3098</v>
      </c>
      <c r="N132" s="55" t="s">
        <v>3114</v>
      </c>
      <c r="O132" s="55" t="s">
        <v>45</v>
      </c>
      <c r="P132" s="55" t="s">
        <v>45</v>
      </c>
      <c r="Q132" s="55" t="s">
        <v>45</v>
      </c>
      <c r="R132" s="55" t="s">
        <v>45</v>
      </c>
      <c r="S132" s="55" t="s">
        <v>45</v>
      </c>
      <c r="T132" s="55" t="s">
        <v>45</v>
      </c>
      <c r="U132" s="55" t="s">
        <v>3763</v>
      </c>
      <c r="V132" s="55" t="s">
        <v>3095</v>
      </c>
      <c r="W132" s="55" t="s">
        <v>3277</v>
      </c>
      <c r="X132" s="55" t="s">
        <v>3117</v>
      </c>
      <c r="Y132" s="55" t="s">
        <v>3764</v>
      </c>
      <c r="Z132" s="55" t="s">
        <v>3118</v>
      </c>
      <c r="AA132" s="55" t="s">
        <v>3150</v>
      </c>
      <c r="AB132" s="55" t="s">
        <v>3095</v>
      </c>
      <c r="AC132" s="55" t="s">
        <v>3103</v>
      </c>
      <c r="AD132" s="55" t="s">
        <v>3765</v>
      </c>
      <c r="AE132" s="55" t="s">
        <v>3095</v>
      </c>
      <c r="AF132" s="55" t="s">
        <v>3095</v>
      </c>
      <c r="AG132" s="55" t="s">
        <v>3095</v>
      </c>
      <c r="AH132" s="55" t="s">
        <v>3095</v>
      </c>
      <c r="AI132" s="55" t="s">
        <v>3095</v>
      </c>
      <c r="AJ132" s="55" t="s">
        <v>3095</v>
      </c>
      <c r="AK132" s="55" t="s">
        <v>3095</v>
      </c>
      <c r="AL132" s="55" t="s">
        <v>3095</v>
      </c>
      <c r="AM132" s="55" t="s">
        <v>3095</v>
      </c>
    </row>
    <row r="133" ht="45.0" customHeight="1">
      <c r="A133" s="55" t="s">
        <v>613</v>
      </c>
      <c r="B133" s="55" t="s">
        <v>3766</v>
      </c>
      <c r="C133" s="55" t="str">
        <f>IMAGE("https://raw.githubusercontent.com/ltdimages/images/refs/heads/main/Coordinate0332_00.png")</f>
        <v/>
      </c>
      <c r="D133" s="55" t="str">
        <f>IMAGE("https://raw.githubusercontent.com/ltdimages/images/refs/heads/main/Coordinate0332_01.png")</f>
        <v/>
      </c>
      <c r="E133" s="55" t="str">
        <f>IMAGE("https://raw.githubusercontent.com/ltdimages/images/refs/heads/main/Coordinate0332_02.png")</f>
        <v/>
      </c>
      <c r="F133" s="55" t="str">
        <f>IMAGE("https://raw.githubusercontent.com/ltdimages/images/refs/heads/main/Coordinate0332_03.png")</f>
        <v/>
      </c>
      <c r="G133" s="55" t="s">
        <v>3095</v>
      </c>
      <c r="H133" s="55" t="s">
        <v>3095</v>
      </c>
      <c r="I133" s="56" t="s">
        <v>3095</v>
      </c>
      <c r="J133" s="55" t="s">
        <v>3095</v>
      </c>
      <c r="K133" s="20" t="s">
        <v>3235</v>
      </c>
      <c r="L133" s="20" t="s">
        <v>3097</v>
      </c>
      <c r="M133" s="55" t="s">
        <v>2574</v>
      </c>
      <c r="N133" s="55" t="s">
        <v>3114</v>
      </c>
      <c r="O133" s="55" t="s">
        <v>45</v>
      </c>
      <c r="P133" s="55" t="s">
        <v>45</v>
      </c>
      <c r="Q133" s="55" t="s">
        <v>45</v>
      </c>
      <c r="R133" s="55" t="s">
        <v>49</v>
      </c>
      <c r="S133" s="55" t="s">
        <v>49</v>
      </c>
      <c r="T133" s="55" t="s">
        <v>45</v>
      </c>
      <c r="U133" s="55" t="s">
        <v>3095</v>
      </c>
      <c r="V133" s="55" t="s">
        <v>3095</v>
      </c>
      <c r="W133" s="55" t="s">
        <v>3095</v>
      </c>
      <c r="X133" s="55" t="s">
        <v>3767</v>
      </c>
      <c r="Y133" s="55" t="s">
        <v>3095</v>
      </c>
      <c r="Z133" s="55" t="s">
        <v>3095</v>
      </c>
      <c r="AA133" s="55" t="s">
        <v>3095</v>
      </c>
      <c r="AB133" s="55" t="s">
        <v>3768</v>
      </c>
      <c r="AC133" s="55" t="s">
        <v>3099</v>
      </c>
      <c r="AD133" s="55" t="s">
        <v>3769</v>
      </c>
      <c r="AE133" s="55" t="s">
        <v>3095</v>
      </c>
      <c r="AF133" s="55" t="s">
        <v>3095</v>
      </c>
      <c r="AG133" s="55" t="s">
        <v>3095</v>
      </c>
      <c r="AH133" s="55" t="s">
        <v>3095</v>
      </c>
      <c r="AI133" s="55" t="s">
        <v>3095</v>
      </c>
      <c r="AJ133" s="55" t="s">
        <v>3095</v>
      </c>
      <c r="AK133" s="55" t="s">
        <v>3095</v>
      </c>
      <c r="AL133" s="55" t="s">
        <v>3095</v>
      </c>
      <c r="AM133" s="55" t="s">
        <v>3095</v>
      </c>
    </row>
    <row r="134" ht="45.0" customHeight="1">
      <c r="A134" s="55" t="s">
        <v>617</v>
      </c>
      <c r="B134" s="55" t="s">
        <v>3770</v>
      </c>
      <c r="C134" s="55" t="str">
        <f>IMAGE("https://raw.githubusercontent.com/ltdimages/images/refs/heads/main/Coordinate0318_00.png")</f>
        <v/>
      </c>
      <c r="D134" s="55" t="str">
        <f>IMAGE("https://raw.githubusercontent.com/ltdimages/images/refs/heads/main/Coordinate0318_01.png")</f>
        <v/>
      </c>
      <c r="E134" s="55" t="str">
        <f>IMAGE("https://raw.githubusercontent.com/ltdimages/images/refs/heads/main/Coordinate0318_02.png")</f>
        <v/>
      </c>
      <c r="F134" s="55" t="str">
        <f>IMAGE("https://raw.githubusercontent.com/ltdimages/images/refs/heads/main/Coordinate0318_03.png")</f>
        <v/>
      </c>
      <c r="G134" s="55" t="str">
        <f>IMAGE("https://raw.githubusercontent.com/ltdimages/images/refs/heads/main/Coordinate0318_04.png")</f>
        <v/>
      </c>
      <c r="H134" s="55" t="str">
        <f>IMAGE("https://raw.githubusercontent.com/ltdimages/images/refs/heads/main/Coordinate0318_05.png")</f>
        <v/>
      </c>
      <c r="I134" s="56" t="str">
        <f>IMAGE("https://raw.githubusercontent.com/ltdimages/images/refs/heads/main/Coordinate0318_06.png")</f>
        <v/>
      </c>
      <c r="J134" s="55" t="str">
        <f>IMAGE("https://raw.githubusercontent.com/ltdimages/images/refs/heads/main/Coordinate0318_07.png")</f>
        <v/>
      </c>
      <c r="K134" s="20" t="s">
        <v>3771</v>
      </c>
      <c r="L134" s="20" t="s">
        <v>3097</v>
      </c>
      <c r="M134" s="55" t="s">
        <v>3098</v>
      </c>
      <c r="N134" s="55" t="s">
        <v>3099</v>
      </c>
      <c r="O134" s="55" t="s">
        <v>45</v>
      </c>
      <c r="P134" s="55" t="s">
        <v>45</v>
      </c>
      <c r="Q134" s="55" t="s">
        <v>45</v>
      </c>
      <c r="R134" s="55" t="s">
        <v>45</v>
      </c>
      <c r="S134" s="55" t="s">
        <v>45</v>
      </c>
      <c r="T134" s="55" t="s">
        <v>45</v>
      </c>
      <c r="U134" s="55" t="s">
        <v>3772</v>
      </c>
      <c r="V134" s="55" t="s">
        <v>3095</v>
      </c>
      <c r="W134" s="55" t="s">
        <v>3277</v>
      </c>
      <c r="X134" s="55" t="s">
        <v>3095</v>
      </c>
      <c r="Y134" s="55" t="s">
        <v>3095</v>
      </c>
      <c r="Z134" s="55" t="s">
        <v>3773</v>
      </c>
      <c r="AA134" s="55" t="s">
        <v>3232</v>
      </c>
      <c r="AB134" s="55" t="s">
        <v>3095</v>
      </c>
      <c r="AC134" s="55" t="s">
        <v>3103</v>
      </c>
      <c r="AD134" s="55" t="s">
        <v>3774</v>
      </c>
      <c r="AE134" s="55" t="s">
        <v>3095</v>
      </c>
      <c r="AF134" s="55" t="s">
        <v>3095</v>
      </c>
      <c r="AG134" s="55" t="s">
        <v>3095</v>
      </c>
      <c r="AH134" s="55" t="s">
        <v>3095</v>
      </c>
      <c r="AI134" s="55" t="s">
        <v>3095</v>
      </c>
      <c r="AJ134" s="55" t="s">
        <v>3095</v>
      </c>
      <c r="AK134" s="55" t="s">
        <v>3095</v>
      </c>
      <c r="AL134" s="55" t="s">
        <v>3095</v>
      </c>
      <c r="AM134" s="55" t="s">
        <v>3095</v>
      </c>
    </row>
    <row r="135" ht="45.0" customHeight="1">
      <c r="A135" s="55" t="s">
        <v>622</v>
      </c>
      <c r="B135" s="55" t="s">
        <v>3775</v>
      </c>
      <c r="C135" s="55" t="str">
        <f>IMAGE("https://raw.githubusercontent.com/ltdimages/images/refs/heads/main/Coordinate0223_00.png")</f>
        <v/>
      </c>
      <c r="D135" s="55" t="str">
        <f>IMAGE("https://raw.githubusercontent.com/ltdimages/images/refs/heads/main/Coordinate0223_01.png")</f>
        <v/>
      </c>
      <c r="E135" s="55" t="str">
        <f>IMAGE("https://raw.githubusercontent.com/ltdimages/images/refs/heads/main/Coordinate0223_02.png")</f>
        <v/>
      </c>
      <c r="F135" s="55" t="str">
        <f>IMAGE("https://raw.githubusercontent.com/ltdimages/images/refs/heads/main/Coordinate0223_03.png")</f>
        <v/>
      </c>
      <c r="G135" s="55" t="str">
        <f>IMAGE("https://raw.githubusercontent.com/ltdimages/images/refs/heads/main/Coordinate0223_04.png")</f>
        <v/>
      </c>
      <c r="H135" s="55" t="str">
        <f>IMAGE("https://raw.githubusercontent.com/ltdimages/images/refs/heads/main/Coordinate0223_05.png")</f>
        <v/>
      </c>
      <c r="I135" s="56" t="str">
        <f>IMAGE("https://raw.githubusercontent.com/ltdimages/images/refs/heads/main/Coordinate0223_06.png")</f>
        <v/>
      </c>
      <c r="J135" s="55" t="str">
        <f>IMAGE("https://raw.githubusercontent.com/ltdimages/images/refs/heads/main/Coordinate0223_07.png")</f>
        <v/>
      </c>
      <c r="K135" s="20" t="s">
        <v>3776</v>
      </c>
      <c r="L135" s="20" t="s">
        <v>3097</v>
      </c>
      <c r="M135" s="55" t="s">
        <v>3098</v>
      </c>
      <c r="N135" s="55" t="s">
        <v>3123</v>
      </c>
      <c r="O135" s="55" t="s">
        <v>45</v>
      </c>
      <c r="P135" s="55" t="s">
        <v>45</v>
      </c>
      <c r="Q135" s="55" t="s">
        <v>45</v>
      </c>
      <c r="R135" s="55" t="s">
        <v>45</v>
      </c>
      <c r="S135" s="55" t="s">
        <v>45</v>
      </c>
      <c r="T135" s="55" t="s">
        <v>45</v>
      </c>
      <c r="U135" s="55" t="s">
        <v>3777</v>
      </c>
      <c r="V135" s="55" t="s">
        <v>3095</v>
      </c>
      <c r="W135" s="55" t="s">
        <v>3125</v>
      </c>
      <c r="X135" s="55" t="s">
        <v>3559</v>
      </c>
      <c r="Y135" s="55" t="s">
        <v>3095</v>
      </c>
      <c r="Z135" s="55" t="s">
        <v>3156</v>
      </c>
      <c r="AA135" s="55" t="s">
        <v>3211</v>
      </c>
      <c r="AB135" s="55" t="s">
        <v>3095</v>
      </c>
      <c r="AC135" s="55" t="s">
        <v>3103</v>
      </c>
      <c r="AD135" s="55" t="s">
        <v>3778</v>
      </c>
      <c r="AE135" s="55" t="s">
        <v>3095</v>
      </c>
      <c r="AF135" s="55" t="s">
        <v>3095</v>
      </c>
      <c r="AG135" s="55" t="s">
        <v>3095</v>
      </c>
      <c r="AH135" s="55" t="s">
        <v>3095</v>
      </c>
      <c r="AI135" s="55" t="s">
        <v>3095</v>
      </c>
      <c r="AJ135" s="55" t="s">
        <v>3095</v>
      </c>
      <c r="AK135" s="55" t="s">
        <v>3095</v>
      </c>
      <c r="AL135" s="55" t="s">
        <v>3095</v>
      </c>
      <c r="AM135" s="55" t="s">
        <v>3095</v>
      </c>
    </row>
    <row r="136" ht="45.0" customHeight="1">
      <c r="A136" s="55" t="s">
        <v>626</v>
      </c>
      <c r="B136" s="55" t="s">
        <v>3779</v>
      </c>
      <c r="C136" s="55" t="str">
        <f>IMAGE("https://raw.githubusercontent.com/ltdimages/images/refs/heads/main/Coordinate0097_00.png")</f>
        <v/>
      </c>
      <c r="D136" s="55" t="str">
        <f>IMAGE("https://raw.githubusercontent.com/ltdimages/images/refs/heads/main/Coordinate0097_01.png")</f>
        <v/>
      </c>
      <c r="E136" s="55" t="str">
        <f>IMAGE("https://raw.githubusercontent.com/ltdimages/images/refs/heads/main/Coordinate0097_02.png")</f>
        <v/>
      </c>
      <c r="F136" s="55" t="str">
        <f>IMAGE("https://raw.githubusercontent.com/ltdimages/images/refs/heads/main/Coordinate0097_03.png")</f>
        <v/>
      </c>
      <c r="G136" s="55" t="str">
        <f>IMAGE("https://raw.githubusercontent.com/ltdimages/images/refs/heads/main/Coordinate0097_04.png")</f>
        <v/>
      </c>
      <c r="H136" s="55" t="s">
        <v>3095</v>
      </c>
      <c r="I136" s="56" t="s">
        <v>3095</v>
      </c>
      <c r="J136" s="55" t="s">
        <v>3095</v>
      </c>
      <c r="K136" s="20" t="s">
        <v>3780</v>
      </c>
      <c r="L136" s="20" t="s">
        <v>3097</v>
      </c>
      <c r="M136" s="55" t="s">
        <v>3098</v>
      </c>
      <c r="N136" s="55" t="s">
        <v>3099</v>
      </c>
      <c r="O136" s="55" t="s">
        <v>45</v>
      </c>
      <c r="P136" s="55" t="s">
        <v>45</v>
      </c>
      <c r="Q136" s="55" t="s">
        <v>45</v>
      </c>
      <c r="R136" s="55" t="s">
        <v>45</v>
      </c>
      <c r="S136" s="55" t="s">
        <v>45</v>
      </c>
      <c r="T136" s="55" t="s">
        <v>45</v>
      </c>
      <c r="U136" s="55" t="s">
        <v>3095</v>
      </c>
      <c r="V136" s="55" t="s">
        <v>3781</v>
      </c>
      <c r="W136" s="55" t="s">
        <v>3095</v>
      </c>
      <c r="X136" s="55" t="s">
        <v>3782</v>
      </c>
      <c r="Y136" s="55" t="s">
        <v>3095</v>
      </c>
      <c r="Z136" s="55" t="s">
        <v>3193</v>
      </c>
      <c r="AA136" s="55" t="s">
        <v>3256</v>
      </c>
      <c r="AB136" s="55" t="s">
        <v>3095</v>
      </c>
      <c r="AC136" s="55" t="s">
        <v>3110</v>
      </c>
      <c r="AD136" s="55" t="s">
        <v>3783</v>
      </c>
      <c r="AE136" s="55" t="s">
        <v>3095</v>
      </c>
      <c r="AF136" s="55" t="s">
        <v>3095</v>
      </c>
      <c r="AG136" s="55" t="s">
        <v>3095</v>
      </c>
      <c r="AH136" s="55" t="s">
        <v>3095</v>
      </c>
      <c r="AI136" s="55" t="s">
        <v>3095</v>
      </c>
      <c r="AJ136" s="55" t="s">
        <v>3095</v>
      </c>
      <c r="AK136" s="55" t="s">
        <v>3095</v>
      </c>
      <c r="AL136" s="55" t="s">
        <v>3095</v>
      </c>
      <c r="AM136" s="55" t="s">
        <v>3095</v>
      </c>
    </row>
    <row r="137" ht="45.0" customHeight="1">
      <c r="A137" s="55" t="s">
        <v>630</v>
      </c>
      <c r="B137" s="55" t="s">
        <v>3784</v>
      </c>
      <c r="C137" s="55" t="str">
        <f>IMAGE("https://raw.githubusercontent.com/ltdimages/images/refs/heads/main/Coordinate0051_00.png")</f>
        <v/>
      </c>
      <c r="D137" s="55" t="str">
        <f>IMAGE("https://raw.githubusercontent.com/ltdimages/images/refs/heads/main/Coordinate0051_01.png")</f>
        <v/>
      </c>
      <c r="E137" s="55" t="str">
        <f>IMAGE("https://raw.githubusercontent.com/ltdimages/images/refs/heads/main/Coordinate0051_02.png")</f>
        <v/>
      </c>
      <c r="F137" s="55" t="s">
        <v>3095</v>
      </c>
      <c r="G137" s="55" t="s">
        <v>3095</v>
      </c>
      <c r="H137" s="55" t="s">
        <v>3095</v>
      </c>
      <c r="I137" s="56" t="s">
        <v>3095</v>
      </c>
      <c r="J137" s="55" t="s">
        <v>3095</v>
      </c>
      <c r="K137" s="20" t="s">
        <v>3785</v>
      </c>
      <c r="L137" s="20" t="s">
        <v>3097</v>
      </c>
      <c r="M137" s="55" t="s">
        <v>3098</v>
      </c>
      <c r="N137" s="55" t="s">
        <v>3099</v>
      </c>
      <c r="O137" s="55" t="s">
        <v>45</v>
      </c>
      <c r="P137" s="55" t="s">
        <v>45</v>
      </c>
      <c r="Q137" s="55" t="s">
        <v>45</v>
      </c>
      <c r="R137" s="55" t="s">
        <v>45</v>
      </c>
      <c r="S137" s="55" t="s">
        <v>45</v>
      </c>
      <c r="T137" s="55" t="s">
        <v>45</v>
      </c>
      <c r="U137" s="55" t="s">
        <v>3786</v>
      </c>
      <c r="V137" s="55" t="s">
        <v>3095</v>
      </c>
      <c r="W137" s="55" t="s">
        <v>3351</v>
      </c>
      <c r="X137" s="55" t="s">
        <v>3095</v>
      </c>
      <c r="Y137" s="55" t="s">
        <v>3095</v>
      </c>
      <c r="Z137" s="55" t="s">
        <v>3193</v>
      </c>
      <c r="AA137" s="55" t="s">
        <v>3506</v>
      </c>
      <c r="AB137" s="55" t="s">
        <v>3095</v>
      </c>
      <c r="AC137" s="55" t="s">
        <v>3103</v>
      </c>
      <c r="AD137" s="55" t="s">
        <v>3787</v>
      </c>
      <c r="AE137" s="55" t="s">
        <v>3095</v>
      </c>
      <c r="AF137" s="55" t="s">
        <v>3095</v>
      </c>
      <c r="AG137" s="55" t="s">
        <v>3095</v>
      </c>
      <c r="AH137" s="55" t="s">
        <v>3095</v>
      </c>
      <c r="AI137" s="55" t="s">
        <v>3095</v>
      </c>
      <c r="AJ137" s="55" t="s">
        <v>3095</v>
      </c>
      <c r="AK137" s="55" t="s">
        <v>3095</v>
      </c>
      <c r="AL137" s="55" t="s">
        <v>3095</v>
      </c>
      <c r="AM137" s="55" t="s">
        <v>3095</v>
      </c>
    </row>
    <row r="138" ht="45.0" customHeight="1">
      <c r="A138" s="55" t="s">
        <v>634</v>
      </c>
      <c r="B138" s="55" t="s">
        <v>3788</v>
      </c>
      <c r="C138" s="55" t="str">
        <f>IMAGE("https://raw.githubusercontent.com/ltdimages/images/refs/heads/main/Coordinate0206_00.png")</f>
        <v/>
      </c>
      <c r="D138" s="55" t="str">
        <f>IMAGE("https://raw.githubusercontent.com/ltdimages/images/refs/heads/main/Coordinate0206_01.png")</f>
        <v/>
      </c>
      <c r="E138" s="55" t="str">
        <f>IMAGE("https://raw.githubusercontent.com/ltdimages/images/refs/heads/main/Coordinate0206_02.png")</f>
        <v/>
      </c>
      <c r="F138" s="55" t="str">
        <f>IMAGE("https://raw.githubusercontent.com/ltdimages/images/refs/heads/main/Coordinate0206_03.png")</f>
        <v/>
      </c>
      <c r="G138" s="55" t="str">
        <f>IMAGE("https://raw.githubusercontent.com/ltdimages/images/refs/heads/main/Coordinate0206_04.png")</f>
        <v/>
      </c>
      <c r="H138" s="55" t="str">
        <f>IMAGE("https://raw.githubusercontent.com/ltdimages/images/refs/heads/main/Coordinate0206_05.png")</f>
        <v/>
      </c>
      <c r="I138" s="56" t="str">
        <f>IMAGE("https://raw.githubusercontent.com/ltdimages/images/refs/heads/main/Coordinate0206_06.png")</f>
        <v/>
      </c>
      <c r="J138" s="55" t="str">
        <f>IMAGE("https://raw.githubusercontent.com/ltdimages/images/refs/heads/main/Coordinate0206_07.png")</f>
        <v/>
      </c>
      <c r="K138" s="20" t="s">
        <v>3789</v>
      </c>
      <c r="L138" s="20" t="s">
        <v>3097</v>
      </c>
      <c r="M138" s="55" t="s">
        <v>3098</v>
      </c>
      <c r="N138" s="55" t="s">
        <v>3099</v>
      </c>
      <c r="O138" s="55" t="s">
        <v>45</v>
      </c>
      <c r="P138" s="55" t="s">
        <v>45</v>
      </c>
      <c r="Q138" s="55" t="s">
        <v>45</v>
      </c>
      <c r="R138" s="55" t="s">
        <v>45</v>
      </c>
      <c r="S138" s="55" t="s">
        <v>45</v>
      </c>
      <c r="T138" s="55" t="s">
        <v>45</v>
      </c>
      <c r="U138" s="55" t="s">
        <v>3790</v>
      </c>
      <c r="V138" s="55" t="s">
        <v>3095</v>
      </c>
      <c r="W138" s="55" t="s">
        <v>3791</v>
      </c>
      <c r="X138" s="55" t="s">
        <v>3095</v>
      </c>
      <c r="Y138" s="55" t="s">
        <v>3095</v>
      </c>
      <c r="Z138" s="55" t="s">
        <v>3095</v>
      </c>
      <c r="AA138" s="55" t="s">
        <v>3157</v>
      </c>
      <c r="AB138" s="55" t="s">
        <v>3095</v>
      </c>
      <c r="AC138" s="55" t="s">
        <v>3103</v>
      </c>
      <c r="AD138" s="55" t="s">
        <v>3792</v>
      </c>
      <c r="AE138" s="55" t="s">
        <v>3095</v>
      </c>
      <c r="AF138" s="55" t="s">
        <v>3095</v>
      </c>
      <c r="AG138" s="55" t="s">
        <v>3095</v>
      </c>
      <c r="AH138" s="55" t="s">
        <v>3095</v>
      </c>
      <c r="AI138" s="55" t="s">
        <v>3095</v>
      </c>
      <c r="AJ138" s="55" t="s">
        <v>3095</v>
      </c>
      <c r="AK138" s="55" t="s">
        <v>3095</v>
      </c>
      <c r="AL138" s="55" t="s">
        <v>3095</v>
      </c>
      <c r="AM138" s="55" t="s">
        <v>3095</v>
      </c>
    </row>
    <row r="139" ht="45.0" customHeight="1">
      <c r="A139" s="55" t="s">
        <v>638</v>
      </c>
      <c r="B139" s="55" t="s">
        <v>3793</v>
      </c>
      <c r="C139" s="55" t="str">
        <f>IMAGE("https://raw.githubusercontent.com/ltdimages/images/refs/heads/main/Coordinate0075_00.png")</f>
        <v/>
      </c>
      <c r="D139" s="55" t="str">
        <f>IMAGE("https://raw.githubusercontent.com/ltdimages/images/refs/heads/main/Coordinate0075_01.png")</f>
        <v/>
      </c>
      <c r="E139" s="55" t="str">
        <f>IMAGE("https://raw.githubusercontent.com/ltdimages/images/refs/heads/main/Coordinate0075_02.png")</f>
        <v/>
      </c>
      <c r="F139" s="55" t="str">
        <f>IMAGE("https://raw.githubusercontent.com/ltdimages/images/refs/heads/main/Coordinate0075_03.png")</f>
        <v/>
      </c>
      <c r="G139" s="55" t="str">
        <f>IMAGE("https://raw.githubusercontent.com/ltdimages/images/refs/heads/main/Coordinate0075_04.png")</f>
        <v/>
      </c>
      <c r="H139" s="55" t="str">
        <f>IMAGE("https://raw.githubusercontent.com/ltdimages/images/refs/heads/main/Coordinate0075_05.png")</f>
        <v/>
      </c>
      <c r="I139" s="56" t="s">
        <v>3095</v>
      </c>
      <c r="J139" s="55" t="s">
        <v>3095</v>
      </c>
      <c r="K139" s="20" t="s">
        <v>3794</v>
      </c>
      <c r="L139" s="20" t="s">
        <v>3097</v>
      </c>
      <c r="M139" s="55" t="s">
        <v>3098</v>
      </c>
      <c r="N139" s="55" t="s">
        <v>3123</v>
      </c>
      <c r="O139" s="55" t="s">
        <v>45</v>
      </c>
      <c r="P139" s="55" t="s">
        <v>45</v>
      </c>
      <c r="Q139" s="55" t="s">
        <v>45</v>
      </c>
      <c r="R139" s="55" t="s">
        <v>45</v>
      </c>
      <c r="S139" s="55" t="s">
        <v>45</v>
      </c>
      <c r="T139" s="55" t="s">
        <v>45</v>
      </c>
      <c r="U139" s="55" t="s">
        <v>3795</v>
      </c>
      <c r="V139" s="55" t="s">
        <v>3095</v>
      </c>
      <c r="W139" s="55" t="s">
        <v>3148</v>
      </c>
      <c r="X139" s="55" t="s">
        <v>3095</v>
      </c>
      <c r="Y139" s="55" t="s">
        <v>3095</v>
      </c>
      <c r="Z139" s="55" t="s">
        <v>3095</v>
      </c>
      <c r="AA139" s="55" t="s">
        <v>3127</v>
      </c>
      <c r="AB139" s="55" t="s">
        <v>3095</v>
      </c>
      <c r="AC139" s="55" t="s">
        <v>3103</v>
      </c>
      <c r="AD139" s="55" t="s">
        <v>3796</v>
      </c>
      <c r="AE139" s="55" t="s">
        <v>3095</v>
      </c>
      <c r="AF139" s="55" t="s">
        <v>3095</v>
      </c>
      <c r="AG139" s="55" t="s">
        <v>3095</v>
      </c>
      <c r="AH139" s="55" t="s">
        <v>3095</v>
      </c>
      <c r="AI139" s="55" t="s">
        <v>3095</v>
      </c>
      <c r="AJ139" s="55" t="s">
        <v>3095</v>
      </c>
      <c r="AK139" s="55" t="s">
        <v>3095</v>
      </c>
      <c r="AL139" s="55" t="s">
        <v>3095</v>
      </c>
      <c r="AM139" s="55" t="s">
        <v>3095</v>
      </c>
    </row>
    <row r="140" ht="45.0" customHeight="1">
      <c r="A140" s="55" t="s">
        <v>643</v>
      </c>
      <c r="B140" s="55" t="s">
        <v>3797</v>
      </c>
      <c r="C140" s="55" t="str">
        <f>IMAGE("https://raw.githubusercontent.com/ltdimages/images/refs/heads/main/Coordinate0017_00.png")</f>
        <v/>
      </c>
      <c r="D140" s="55" t="str">
        <f>IMAGE("https://raw.githubusercontent.com/ltdimages/images/refs/heads/main/Coordinate0017_01.png")</f>
        <v/>
      </c>
      <c r="E140" s="55" t="str">
        <f>IMAGE("https://raw.githubusercontent.com/ltdimages/images/refs/heads/main/Coordinate0017_02.png")</f>
        <v/>
      </c>
      <c r="F140" s="55" t="str">
        <f>IMAGE("https://raw.githubusercontent.com/ltdimages/images/refs/heads/main/Coordinate0017_03.png")</f>
        <v/>
      </c>
      <c r="G140" s="55" t="str">
        <f>IMAGE("https://raw.githubusercontent.com/ltdimages/images/refs/heads/main/Coordinate0017_04.png")</f>
        <v/>
      </c>
      <c r="H140" s="55" t="str">
        <f>IMAGE("https://raw.githubusercontent.com/ltdimages/images/refs/heads/main/Coordinate0017_05.png")</f>
        <v/>
      </c>
      <c r="I140" s="56" t="s">
        <v>3095</v>
      </c>
      <c r="J140" s="55" t="s">
        <v>3095</v>
      </c>
      <c r="K140" s="20" t="s">
        <v>3379</v>
      </c>
      <c r="L140" s="20" t="s">
        <v>3097</v>
      </c>
      <c r="M140" s="55" t="s">
        <v>3098</v>
      </c>
      <c r="N140" s="55" t="s">
        <v>3114</v>
      </c>
      <c r="O140" s="55" t="s">
        <v>45</v>
      </c>
      <c r="P140" s="55" t="s">
        <v>45</v>
      </c>
      <c r="Q140" s="55" t="s">
        <v>45</v>
      </c>
      <c r="R140" s="55" t="s">
        <v>45</v>
      </c>
      <c r="S140" s="55" t="s">
        <v>45</v>
      </c>
      <c r="T140" s="55" t="s">
        <v>45</v>
      </c>
      <c r="U140" s="55" t="s">
        <v>3798</v>
      </c>
      <c r="V140" s="55" t="s">
        <v>3095</v>
      </c>
      <c r="W140" s="55" t="s">
        <v>3351</v>
      </c>
      <c r="X140" s="55" t="s">
        <v>3095</v>
      </c>
      <c r="Y140" s="55" t="s">
        <v>3799</v>
      </c>
      <c r="Z140" s="55" t="s">
        <v>3156</v>
      </c>
      <c r="AA140" s="55" t="s">
        <v>3434</v>
      </c>
      <c r="AB140" s="55" t="s">
        <v>3095</v>
      </c>
      <c r="AC140" s="55" t="s">
        <v>3103</v>
      </c>
      <c r="AD140" s="55" t="s">
        <v>3800</v>
      </c>
      <c r="AE140" s="55" t="s">
        <v>3095</v>
      </c>
      <c r="AF140" s="55" t="s">
        <v>3095</v>
      </c>
      <c r="AG140" s="55" t="s">
        <v>3095</v>
      </c>
      <c r="AH140" s="55" t="s">
        <v>3095</v>
      </c>
      <c r="AI140" s="55" t="s">
        <v>3095</v>
      </c>
      <c r="AJ140" s="55" t="s">
        <v>3095</v>
      </c>
      <c r="AK140" s="55" t="s">
        <v>3095</v>
      </c>
      <c r="AL140" s="55" t="s">
        <v>3095</v>
      </c>
      <c r="AM140" s="55" t="s">
        <v>3095</v>
      </c>
    </row>
    <row r="141" ht="45.0" customHeight="1">
      <c r="A141" s="55" t="s">
        <v>647</v>
      </c>
      <c r="B141" s="55" t="s">
        <v>3801</v>
      </c>
      <c r="C141" s="55" t="str">
        <f>IMAGE("https://raw.githubusercontent.com/ltdimages/images/refs/heads/main/Coordinate0270_00.png")</f>
        <v/>
      </c>
      <c r="D141" s="55" t="str">
        <f>IMAGE("https://raw.githubusercontent.com/ltdimages/images/refs/heads/main/Coordinate0270_01.png")</f>
        <v/>
      </c>
      <c r="E141" s="55" t="str">
        <f>IMAGE("https://raw.githubusercontent.com/ltdimages/images/refs/heads/main/Coordinate0270_02.png")</f>
        <v/>
      </c>
      <c r="F141" s="55" t="str">
        <f>IMAGE("https://raw.githubusercontent.com/ltdimages/images/refs/heads/main/Coordinate0270_03.png")</f>
        <v/>
      </c>
      <c r="G141" s="55" t="s">
        <v>3095</v>
      </c>
      <c r="H141" s="55" t="s">
        <v>3095</v>
      </c>
      <c r="I141" s="56" t="s">
        <v>3095</v>
      </c>
      <c r="J141" s="55" t="s">
        <v>3095</v>
      </c>
      <c r="K141" s="20" t="s">
        <v>3332</v>
      </c>
      <c r="L141" s="20" t="s">
        <v>3097</v>
      </c>
      <c r="M141" s="55" t="s">
        <v>2574</v>
      </c>
      <c r="N141" s="55" t="s">
        <v>3099</v>
      </c>
      <c r="O141" s="55" t="s">
        <v>45</v>
      </c>
      <c r="P141" s="55" t="s">
        <v>45</v>
      </c>
      <c r="Q141" s="55" t="s">
        <v>45</v>
      </c>
      <c r="R141" s="55" t="s">
        <v>49</v>
      </c>
      <c r="S141" s="55" t="s">
        <v>45</v>
      </c>
      <c r="T141" s="55" t="s">
        <v>45</v>
      </c>
      <c r="U141" s="55" t="s">
        <v>3095</v>
      </c>
      <c r="V141" s="55" t="s">
        <v>3095</v>
      </c>
      <c r="W141" s="55" t="s">
        <v>3095</v>
      </c>
      <c r="X141" s="55" t="s">
        <v>3802</v>
      </c>
      <c r="Y141" s="55" t="s">
        <v>3095</v>
      </c>
      <c r="Z141" s="55" t="s">
        <v>3095</v>
      </c>
      <c r="AA141" s="55" t="s">
        <v>3095</v>
      </c>
      <c r="AB141" s="55" t="s">
        <v>3803</v>
      </c>
      <c r="AC141" s="55" t="s">
        <v>3099</v>
      </c>
      <c r="AD141" s="55" t="s">
        <v>3804</v>
      </c>
      <c r="AE141" s="55" t="s">
        <v>3095</v>
      </c>
      <c r="AF141" s="55" t="s">
        <v>3095</v>
      </c>
      <c r="AG141" s="55" t="s">
        <v>3095</v>
      </c>
      <c r="AH141" s="55" t="s">
        <v>3095</v>
      </c>
      <c r="AI141" s="55" t="s">
        <v>3095</v>
      </c>
      <c r="AJ141" s="55" t="s">
        <v>3095</v>
      </c>
      <c r="AK141" s="55" t="s">
        <v>3095</v>
      </c>
      <c r="AL141" s="55" t="s">
        <v>3095</v>
      </c>
      <c r="AM141" s="55" t="s">
        <v>3095</v>
      </c>
    </row>
    <row r="142" ht="45.0" customHeight="1">
      <c r="A142" s="55" t="s">
        <v>652</v>
      </c>
      <c r="B142" s="55" t="s">
        <v>3805</v>
      </c>
      <c r="C142" s="55" t="str">
        <f>IMAGE("https://raw.githubusercontent.com/ltdimages/images/refs/heads/main/Coordinate0335_00.png")</f>
        <v/>
      </c>
      <c r="D142" s="55" t="str">
        <f>IMAGE("https://raw.githubusercontent.com/ltdimages/images/refs/heads/main/Coordinate0335_01.png")</f>
        <v/>
      </c>
      <c r="E142" s="55" t="s">
        <v>3095</v>
      </c>
      <c r="F142" s="55" t="s">
        <v>3095</v>
      </c>
      <c r="G142" s="55" t="s">
        <v>3095</v>
      </c>
      <c r="H142" s="55" t="s">
        <v>3095</v>
      </c>
      <c r="I142" s="56" t="s">
        <v>3095</v>
      </c>
      <c r="J142" s="55" t="s">
        <v>3095</v>
      </c>
      <c r="K142" s="20" t="s">
        <v>3806</v>
      </c>
      <c r="L142" s="20" t="s">
        <v>3097</v>
      </c>
      <c r="M142" s="55" t="s">
        <v>3098</v>
      </c>
      <c r="N142" s="55" t="s">
        <v>3099</v>
      </c>
      <c r="O142" s="55" t="s">
        <v>45</v>
      </c>
      <c r="P142" s="55" t="s">
        <v>45</v>
      </c>
      <c r="Q142" s="55" t="s">
        <v>45</v>
      </c>
      <c r="R142" s="55" t="s">
        <v>49</v>
      </c>
      <c r="S142" s="55" t="s">
        <v>45</v>
      </c>
      <c r="T142" s="55" t="s">
        <v>45</v>
      </c>
      <c r="U142" s="55" t="s">
        <v>3807</v>
      </c>
      <c r="V142" s="55" t="s">
        <v>3095</v>
      </c>
      <c r="W142" s="55" t="s">
        <v>3277</v>
      </c>
      <c r="X142" s="55" t="s">
        <v>3808</v>
      </c>
      <c r="Y142" s="55" t="s">
        <v>3163</v>
      </c>
      <c r="Z142" s="55" t="s">
        <v>3118</v>
      </c>
      <c r="AA142" s="55" t="s">
        <v>3119</v>
      </c>
      <c r="AB142" s="55" t="s">
        <v>3095</v>
      </c>
      <c r="AC142" s="55" t="s">
        <v>3103</v>
      </c>
      <c r="AD142" s="55" t="s">
        <v>3809</v>
      </c>
      <c r="AE142" s="55" t="s">
        <v>3095</v>
      </c>
      <c r="AF142" s="55" t="s">
        <v>3095</v>
      </c>
      <c r="AG142" s="55" t="s">
        <v>3095</v>
      </c>
      <c r="AH142" s="55" t="s">
        <v>3095</v>
      </c>
      <c r="AI142" s="55" t="s">
        <v>3095</v>
      </c>
      <c r="AJ142" s="55" t="s">
        <v>3095</v>
      </c>
      <c r="AK142" s="55" t="s">
        <v>3095</v>
      </c>
      <c r="AL142" s="55" t="s">
        <v>3095</v>
      </c>
      <c r="AM142" s="55" t="s">
        <v>3095</v>
      </c>
    </row>
    <row r="143" ht="45.0" customHeight="1">
      <c r="A143" s="55" t="s">
        <v>656</v>
      </c>
      <c r="B143" s="55" t="s">
        <v>3810</v>
      </c>
      <c r="C143" s="55" t="str">
        <f>IMAGE("https://raw.githubusercontent.com/ltdimages/images/refs/heads/main/Coordinate0315_00.png")</f>
        <v/>
      </c>
      <c r="D143" s="55" t="str">
        <f>IMAGE("https://raw.githubusercontent.com/ltdimages/images/refs/heads/main/Coordinate0315_01.png")</f>
        <v/>
      </c>
      <c r="E143" s="55" t="s">
        <v>3095</v>
      </c>
      <c r="F143" s="55" t="s">
        <v>3095</v>
      </c>
      <c r="G143" s="55" t="s">
        <v>3095</v>
      </c>
      <c r="H143" s="55" t="s">
        <v>3095</v>
      </c>
      <c r="I143" s="56" t="s">
        <v>3095</v>
      </c>
      <c r="J143" s="55" t="s">
        <v>3095</v>
      </c>
      <c r="K143" s="20" t="s">
        <v>3811</v>
      </c>
      <c r="L143" s="20" t="s">
        <v>3097</v>
      </c>
      <c r="M143" s="55" t="s">
        <v>3131</v>
      </c>
      <c r="N143" s="55" t="s">
        <v>3123</v>
      </c>
      <c r="O143" s="55" t="s">
        <v>45</v>
      </c>
      <c r="P143" s="55" t="s">
        <v>45</v>
      </c>
      <c r="Q143" s="55" t="s">
        <v>45</v>
      </c>
      <c r="R143" s="55" t="s">
        <v>49</v>
      </c>
      <c r="S143" s="55" t="s">
        <v>45</v>
      </c>
      <c r="T143" s="55" t="s">
        <v>45</v>
      </c>
      <c r="U143" s="55" t="s">
        <v>3095</v>
      </c>
      <c r="V143" s="55" t="s">
        <v>3812</v>
      </c>
      <c r="W143" s="55" t="s">
        <v>3095</v>
      </c>
      <c r="X143" s="55" t="s">
        <v>3813</v>
      </c>
      <c r="Y143" s="55" t="s">
        <v>3095</v>
      </c>
      <c r="Z143" s="55" t="s">
        <v>3095</v>
      </c>
      <c r="AA143" s="55" t="s">
        <v>3135</v>
      </c>
      <c r="AB143" s="55" t="s">
        <v>3095</v>
      </c>
      <c r="AC143" s="55" t="s">
        <v>3110</v>
      </c>
      <c r="AD143" s="55" t="s">
        <v>3814</v>
      </c>
      <c r="AE143" s="55" t="s">
        <v>3095</v>
      </c>
      <c r="AF143" s="55" t="s">
        <v>3095</v>
      </c>
      <c r="AG143" s="55" t="s">
        <v>3095</v>
      </c>
      <c r="AH143" s="55" t="s">
        <v>3095</v>
      </c>
      <c r="AI143" s="55" t="s">
        <v>3095</v>
      </c>
      <c r="AJ143" s="55" t="s">
        <v>3095</v>
      </c>
      <c r="AK143" s="55" t="s">
        <v>3095</v>
      </c>
      <c r="AL143" s="55" t="s">
        <v>3095</v>
      </c>
      <c r="AM143" s="55" t="s">
        <v>3095</v>
      </c>
    </row>
    <row r="144" ht="45.0" customHeight="1">
      <c r="A144" s="55" t="s">
        <v>662</v>
      </c>
      <c r="B144" s="55" t="s">
        <v>3815</v>
      </c>
      <c r="C144" s="55" t="str">
        <f>IMAGE("https://raw.githubusercontent.com/ltdimages/images/refs/heads/main/Coordinate0015_00.png")</f>
        <v/>
      </c>
      <c r="D144" s="55" t="str">
        <f>IMAGE("https://raw.githubusercontent.com/ltdimages/images/refs/heads/main/Coordinate0015_01.png")</f>
        <v/>
      </c>
      <c r="E144" s="55" t="s">
        <v>3095</v>
      </c>
      <c r="F144" s="55" t="s">
        <v>3095</v>
      </c>
      <c r="G144" s="55" t="s">
        <v>3095</v>
      </c>
      <c r="H144" s="55" t="s">
        <v>3095</v>
      </c>
      <c r="I144" s="56" t="s">
        <v>3095</v>
      </c>
      <c r="J144" s="55" t="s">
        <v>3095</v>
      </c>
      <c r="K144" s="20" t="s">
        <v>3541</v>
      </c>
      <c r="L144" s="20" t="s">
        <v>3097</v>
      </c>
      <c r="M144" s="55" t="s">
        <v>3098</v>
      </c>
      <c r="N144" s="55" t="s">
        <v>3123</v>
      </c>
      <c r="O144" s="55" t="s">
        <v>45</v>
      </c>
      <c r="P144" s="55" t="s">
        <v>45</v>
      </c>
      <c r="Q144" s="55" t="s">
        <v>45</v>
      </c>
      <c r="R144" s="55" t="s">
        <v>45</v>
      </c>
      <c r="S144" s="55" t="s">
        <v>45</v>
      </c>
      <c r="T144" s="55" t="s">
        <v>45</v>
      </c>
      <c r="U144" s="55" t="s">
        <v>3816</v>
      </c>
      <c r="V144" s="55" t="s">
        <v>3095</v>
      </c>
      <c r="W144" s="55" t="s">
        <v>3155</v>
      </c>
      <c r="X144" s="55" t="s">
        <v>3095</v>
      </c>
      <c r="Y144" s="55" t="s">
        <v>3095</v>
      </c>
      <c r="Z144" s="55" t="s">
        <v>3095</v>
      </c>
      <c r="AA144" s="55" t="s">
        <v>3360</v>
      </c>
      <c r="AB144" s="55" t="s">
        <v>3095</v>
      </c>
      <c r="AC144" s="55" t="s">
        <v>3103</v>
      </c>
      <c r="AD144" s="55" t="s">
        <v>3817</v>
      </c>
      <c r="AE144" s="55" t="s">
        <v>3095</v>
      </c>
      <c r="AF144" s="55" t="s">
        <v>3095</v>
      </c>
      <c r="AG144" s="55" t="s">
        <v>3095</v>
      </c>
      <c r="AH144" s="55" t="s">
        <v>3095</v>
      </c>
      <c r="AI144" s="55" t="s">
        <v>3095</v>
      </c>
      <c r="AJ144" s="55" t="s">
        <v>3095</v>
      </c>
      <c r="AK144" s="55" t="s">
        <v>3095</v>
      </c>
      <c r="AL144" s="55" t="s">
        <v>3095</v>
      </c>
      <c r="AM144" s="55" t="s">
        <v>3095</v>
      </c>
    </row>
    <row r="145" ht="45.0" customHeight="1">
      <c r="A145" s="55" t="s">
        <v>667</v>
      </c>
      <c r="B145" s="55" t="s">
        <v>3818</v>
      </c>
      <c r="C145" s="55" t="str">
        <f>IMAGE("https://raw.githubusercontent.com/ltdimages/images/refs/heads/main/Coordinate0308_00.png")</f>
        <v/>
      </c>
      <c r="D145" s="55" t="s">
        <v>3095</v>
      </c>
      <c r="E145" s="55" t="s">
        <v>3095</v>
      </c>
      <c r="F145" s="55" t="s">
        <v>3095</v>
      </c>
      <c r="G145" s="55" t="s">
        <v>3095</v>
      </c>
      <c r="H145" s="55" t="s">
        <v>3095</v>
      </c>
      <c r="I145" s="56" t="s">
        <v>3095</v>
      </c>
      <c r="J145" s="55" t="s">
        <v>3095</v>
      </c>
      <c r="K145" s="20" t="s">
        <v>3332</v>
      </c>
      <c r="L145" s="20" t="s">
        <v>3097</v>
      </c>
      <c r="M145" s="55" t="s">
        <v>2574</v>
      </c>
      <c r="N145" s="55" t="s">
        <v>3099</v>
      </c>
      <c r="O145" s="55" t="s">
        <v>45</v>
      </c>
      <c r="P145" s="55" t="s">
        <v>45</v>
      </c>
      <c r="Q145" s="55" t="s">
        <v>45</v>
      </c>
      <c r="R145" s="55" t="s">
        <v>49</v>
      </c>
      <c r="S145" s="55" t="s">
        <v>49</v>
      </c>
      <c r="T145" s="55" t="s">
        <v>45</v>
      </c>
      <c r="U145" s="55" t="s">
        <v>3095</v>
      </c>
      <c r="V145" s="55" t="s">
        <v>3095</v>
      </c>
      <c r="W145" s="55" t="s">
        <v>3095</v>
      </c>
      <c r="X145" s="55" t="s">
        <v>3819</v>
      </c>
      <c r="Y145" s="55" t="s">
        <v>3095</v>
      </c>
      <c r="Z145" s="55" t="s">
        <v>3095</v>
      </c>
      <c r="AA145" s="55" t="s">
        <v>3095</v>
      </c>
      <c r="AB145" s="55" t="s">
        <v>3820</v>
      </c>
      <c r="AC145" s="55" t="s">
        <v>3099</v>
      </c>
      <c r="AD145" s="55" t="s">
        <v>3821</v>
      </c>
      <c r="AE145" s="55" t="s">
        <v>3095</v>
      </c>
      <c r="AF145" s="55" t="s">
        <v>3095</v>
      </c>
      <c r="AG145" s="55" t="s">
        <v>3095</v>
      </c>
      <c r="AH145" s="55" t="s">
        <v>3095</v>
      </c>
      <c r="AI145" s="55" t="s">
        <v>3095</v>
      </c>
      <c r="AJ145" s="55" t="s">
        <v>3095</v>
      </c>
      <c r="AK145" s="55" t="s">
        <v>3095</v>
      </c>
      <c r="AL145" s="55" t="s">
        <v>3095</v>
      </c>
      <c r="AM145" s="55" t="s">
        <v>3095</v>
      </c>
    </row>
    <row r="146" ht="45.0" customHeight="1">
      <c r="A146" s="55" t="s">
        <v>671</v>
      </c>
      <c r="B146" s="55" t="s">
        <v>3822</v>
      </c>
      <c r="C146" s="55" t="str">
        <f>IMAGE("https://raw.githubusercontent.com/ltdimages/images/refs/heads/main/Coordinate0281_00.png")</f>
        <v/>
      </c>
      <c r="D146" s="55" t="str">
        <f>IMAGE("https://raw.githubusercontent.com/ltdimages/images/refs/heads/main/Coordinate0281_01.png")</f>
        <v/>
      </c>
      <c r="E146" s="55" t="str">
        <f>IMAGE("https://raw.githubusercontent.com/ltdimages/images/refs/heads/main/Coordinate0281_02.png")</f>
        <v/>
      </c>
      <c r="F146" s="55" t="str">
        <f>IMAGE("https://raw.githubusercontent.com/ltdimages/images/refs/heads/main/Coordinate0281_03.png")</f>
        <v/>
      </c>
      <c r="G146" s="55" t="str">
        <f>IMAGE("https://raw.githubusercontent.com/ltdimages/images/refs/heads/main/Coordinate0281_04.png")</f>
        <v/>
      </c>
      <c r="H146" s="55" t="s">
        <v>3095</v>
      </c>
      <c r="I146" s="56" t="s">
        <v>3095</v>
      </c>
      <c r="J146" s="55" t="s">
        <v>3095</v>
      </c>
      <c r="K146" s="20" t="s">
        <v>3599</v>
      </c>
      <c r="L146" s="20" t="s">
        <v>3097</v>
      </c>
      <c r="M146" s="55" t="s">
        <v>3098</v>
      </c>
      <c r="N146" s="55" t="s">
        <v>3099</v>
      </c>
      <c r="O146" s="55" t="s">
        <v>45</v>
      </c>
      <c r="P146" s="55" t="s">
        <v>45</v>
      </c>
      <c r="Q146" s="55" t="s">
        <v>45</v>
      </c>
      <c r="R146" s="55" t="s">
        <v>49</v>
      </c>
      <c r="S146" s="55" t="s">
        <v>45</v>
      </c>
      <c r="T146" s="55" t="s">
        <v>45</v>
      </c>
      <c r="U146" s="55" t="s">
        <v>3823</v>
      </c>
      <c r="V146" s="55" t="s">
        <v>3095</v>
      </c>
      <c r="W146" s="55" t="s">
        <v>3277</v>
      </c>
      <c r="X146" s="55" t="s">
        <v>3095</v>
      </c>
      <c r="Y146" s="55" t="s">
        <v>3095</v>
      </c>
      <c r="Z146" s="55" t="s">
        <v>3118</v>
      </c>
      <c r="AA146" s="55" t="s">
        <v>3150</v>
      </c>
      <c r="AB146" s="55" t="s">
        <v>3095</v>
      </c>
      <c r="AC146" s="55" t="s">
        <v>3103</v>
      </c>
      <c r="AD146" s="55" t="s">
        <v>3824</v>
      </c>
      <c r="AE146" s="55" t="s">
        <v>3095</v>
      </c>
      <c r="AF146" s="55" t="s">
        <v>3095</v>
      </c>
      <c r="AG146" s="55" t="s">
        <v>3095</v>
      </c>
      <c r="AH146" s="55" t="s">
        <v>3095</v>
      </c>
      <c r="AI146" s="55" t="s">
        <v>3095</v>
      </c>
      <c r="AJ146" s="55" t="s">
        <v>3095</v>
      </c>
      <c r="AK146" s="55" t="s">
        <v>3095</v>
      </c>
      <c r="AL146" s="55" t="s">
        <v>3095</v>
      </c>
      <c r="AM146" s="55" t="s">
        <v>3095</v>
      </c>
    </row>
    <row r="147" ht="45.0" customHeight="1">
      <c r="A147" s="55" t="s">
        <v>675</v>
      </c>
      <c r="B147" s="55" t="s">
        <v>3825</v>
      </c>
      <c r="C147" s="55" t="str">
        <f>IMAGE("https://raw.githubusercontent.com/ltdimages/images/refs/heads/main/Coordinate0255_00.png")</f>
        <v/>
      </c>
      <c r="D147" s="55" t="s">
        <v>3095</v>
      </c>
      <c r="E147" s="55" t="s">
        <v>3095</v>
      </c>
      <c r="F147" s="55" t="s">
        <v>3095</v>
      </c>
      <c r="G147" s="55" t="s">
        <v>3095</v>
      </c>
      <c r="H147" s="55" t="s">
        <v>3095</v>
      </c>
      <c r="I147" s="56" t="s">
        <v>3095</v>
      </c>
      <c r="J147" s="55" t="s">
        <v>3095</v>
      </c>
      <c r="K147" s="20" t="s">
        <v>3826</v>
      </c>
      <c r="L147" s="20" t="s">
        <v>3097</v>
      </c>
      <c r="M147" s="55" t="s">
        <v>2574</v>
      </c>
      <c r="N147" s="55" t="s">
        <v>3123</v>
      </c>
      <c r="O147" s="55" t="s">
        <v>45</v>
      </c>
      <c r="P147" s="55" t="s">
        <v>45</v>
      </c>
      <c r="Q147" s="55" t="s">
        <v>45</v>
      </c>
      <c r="R147" s="55" t="s">
        <v>49</v>
      </c>
      <c r="S147" s="55" t="s">
        <v>45</v>
      </c>
      <c r="T147" s="55" t="s">
        <v>45</v>
      </c>
      <c r="U147" s="55" t="s">
        <v>3095</v>
      </c>
      <c r="V147" s="55" t="s">
        <v>3095</v>
      </c>
      <c r="W147" s="55" t="s">
        <v>3095</v>
      </c>
      <c r="X147" s="55" t="s">
        <v>3827</v>
      </c>
      <c r="Y147" s="55" t="s">
        <v>3095</v>
      </c>
      <c r="Z147" s="55" t="s">
        <v>3095</v>
      </c>
      <c r="AA147" s="55" t="s">
        <v>3095</v>
      </c>
      <c r="AB147" s="55" t="s">
        <v>3828</v>
      </c>
      <c r="AC147" s="55" t="s">
        <v>3099</v>
      </c>
      <c r="AD147" s="55" t="s">
        <v>3829</v>
      </c>
      <c r="AE147" s="55" t="s">
        <v>3095</v>
      </c>
      <c r="AF147" s="55" t="s">
        <v>3095</v>
      </c>
      <c r="AG147" s="55" t="s">
        <v>3095</v>
      </c>
      <c r="AH147" s="55" t="s">
        <v>3095</v>
      </c>
      <c r="AI147" s="55" t="s">
        <v>3095</v>
      </c>
      <c r="AJ147" s="55" t="s">
        <v>3095</v>
      </c>
      <c r="AK147" s="55" t="s">
        <v>3095</v>
      </c>
      <c r="AL147" s="55" t="s">
        <v>3095</v>
      </c>
      <c r="AM147" s="55" t="s">
        <v>3095</v>
      </c>
    </row>
    <row r="148" ht="45.0" customHeight="1">
      <c r="A148" s="55" t="s">
        <v>679</v>
      </c>
      <c r="B148" s="55" t="s">
        <v>3830</v>
      </c>
      <c r="C148" s="55" t="str">
        <f>IMAGE("https://raw.githubusercontent.com/ltdimages/images/refs/heads/main/Coordinate0090_00.png")</f>
        <v/>
      </c>
      <c r="D148" s="55" t="str">
        <f>IMAGE("https://raw.githubusercontent.com/ltdimages/images/refs/heads/main/Coordinate0090_01.png")</f>
        <v/>
      </c>
      <c r="E148" s="55" t="str">
        <f>IMAGE("https://raw.githubusercontent.com/ltdimages/images/refs/heads/main/Coordinate0090_02.png")</f>
        <v/>
      </c>
      <c r="F148" s="55" t="str">
        <f>IMAGE("https://raw.githubusercontent.com/ltdimages/images/refs/heads/main/Coordinate0090_03.png")</f>
        <v/>
      </c>
      <c r="G148" s="55" t="s">
        <v>3095</v>
      </c>
      <c r="H148" s="55" t="s">
        <v>3095</v>
      </c>
      <c r="I148" s="56" t="s">
        <v>3095</v>
      </c>
      <c r="J148" s="55" t="s">
        <v>3095</v>
      </c>
      <c r="K148" s="20" t="s">
        <v>3831</v>
      </c>
      <c r="L148" s="20" t="s">
        <v>3097</v>
      </c>
      <c r="M148" s="55" t="s">
        <v>3098</v>
      </c>
      <c r="N148" s="55" t="s">
        <v>3099</v>
      </c>
      <c r="O148" s="55" t="s">
        <v>45</v>
      </c>
      <c r="P148" s="55" t="s">
        <v>45</v>
      </c>
      <c r="Q148" s="55" t="s">
        <v>45</v>
      </c>
      <c r="R148" s="55" t="s">
        <v>49</v>
      </c>
      <c r="S148" s="55" t="s">
        <v>45</v>
      </c>
      <c r="T148" s="55" t="s">
        <v>45</v>
      </c>
      <c r="U148" s="55" t="s">
        <v>3832</v>
      </c>
      <c r="V148" s="55" t="s">
        <v>3095</v>
      </c>
      <c r="W148" s="55" t="s">
        <v>3277</v>
      </c>
      <c r="X148" s="55" t="s">
        <v>3833</v>
      </c>
      <c r="Y148" s="55" t="s">
        <v>3095</v>
      </c>
      <c r="Z148" s="55" t="s">
        <v>3164</v>
      </c>
      <c r="AA148" s="55" t="s">
        <v>3550</v>
      </c>
      <c r="AB148" s="55" t="s">
        <v>3095</v>
      </c>
      <c r="AC148" s="55" t="s">
        <v>3103</v>
      </c>
      <c r="AD148" s="55" t="s">
        <v>3834</v>
      </c>
      <c r="AE148" s="55" t="s">
        <v>3095</v>
      </c>
      <c r="AF148" s="55" t="s">
        <v>3095</v>
      </c>
      <c r="AG148" s="55" t="s">
        <v>3095</v>
      </c>
      <c r="AH148" s="55" t="s">
        <v>3095</v>
      </c>
      <c r="AI148" s="55" t="s">
        <v>3095</v>
      </c>
      <c r="AJ148" s="55" t="s">
        <v>3095</v>
      </c>
      <c r="AK148" s="55" t="s">
        <v>3095</v>
      </c>
      <c r="AL148" s="55" t="s">
        <v>3095</v>
      </c>
      <c r="AM148" s="55" t="s">
        <v>3095</v>
      </c>
    </row>
    <row r="149" ht="45.0" customHeight="1">
      <c r="A149" s="55" t="s">
        <v>683</v>
      </c>
      <c r="B149" s="55" t="s">
        <v>3835</v>
      </c>
      <c r="C149" s="55" t="str">
        <f>IMAGE("https://raw.githubusercontent.com/ltdimages/images/refs/heads/main/Coordinate0284_00.png")</f>
        <v/>
      </c>
      <c r="D149" s="55" t="str">
        <f>IMAGE("https://raw.githubusercontent.com/ltdimages/images/refs/heads/main/Coordinate0284_01.png")</f>
        <v/>
      </c>
      <c r="E149" s="55" t="str">
        <f>IMAGE("https://raw.githubusercontent.com/ltdimages/images/refs/heads/main/Coordinate0284_02.png")</f>
        <v/>
      </c>
      <c r="F149" s="55" t="str">
        <f>IMAGE("https://raw.githubusercontent.com/ltdimages/images/refs/heads/main/Coordinate0284_03.png")</f>
        <v/>
      </c>
      <c r="G149" s="55" t="str">
        <f>IMAGE("https://raw.githubusercontent.com/ltdimages/images/refs/heads/main/Coordinate0284_04.png")</f>
        <v/>
      </c>
      <c r="H149" s="55" t="str">
        <f>IMAGE("https://raw.githubusercontent.com/ltdimages/images/refs/heads/main/Coordinate0284_05.png")</f>
        <v/>
      </c>
      <c r="I149" s="56" t="str">
        <f>IMAGE("https://raw.githubusercontent.com/ltdimages/images/refs/heads/main/Coordinate0284_06.png")</f>
        <v/>
      </c>
      <c r="J149" s="55" t="str">
        <f>IMAGE("https://raw.githubusercontent.com/ltdimages/images/refs/heads/main/Coordinate0284_07.png")</f>
        <v/>
      </c>
      <c r="K149" s="20" t="s">
        <v>3836</v>
      </c>
      <c r="L149" s="20" t="s">
        <v>3097</v>
      </c>
      <c r="M149" s="55" t="s">
        <v>3098</v>
      </c>
      <c r="N149" s="55" t="s">
        <v>3114</v>
      </c>
      <c r="O149" s="55" t="s">
        <v>45</v>
      </c>
      <c r="P149" s="55" t="s">
        <v>45</v>
      </c>
      <c r="Q149" s="55" t="s">
        <v>45</v>
      </c>
      <c r="R149" s="55" t="s">
        <v>45</v>
      </c>
      <c r="S149" s="55" t="s">
        <v>45</v>
      </c>
      <c r="T149" s="55" t="s">
        <v>45</v>
      </c>
      <c r="U149" s="55" t="s">
        <v>3837</v>
      </c>
      <c r="V149" s="55" t="s">
        <v>3095</v>
      </c>
      <c r="W149" s="55" t="s">
        <v>3155</v>
      </c>
      <c r="X149" s="55" t="s">
        <v>3095</v>
      </c>
      <c r="Y149" s="55" t="s">
        <v>3095</v>
      </c>
      <c r="Z149" s="55" t="s">
        <v>3142</v>
      </c>
      <c r="AA149" s="55" t="s">
        <v>3506</v>
      </c>
      <c r="AB149" s="55" t="s">
        <v>3095</v>
      </c>
      <c r="AC149" s="55" t="s">
        <v>3103</v>
      </c>
      <c r="AD149" s="55" t="s">
        <v>3838</v>
      </c>
      <c r="AE149" s="55" t="s">
        <v>3095</v>
      </c>
      <c r="AF149" s="55" t="s">
        <v>3095</v>
      </c>
      <c r="AG149" s="55" t="s">
        <v>3095</v>
      </c>
      <c r="AH149" s="55" t="s">
        <v>3095</v>
      </c>
      <c r="AI149" s="55" t="s">
        <v>3095</v>
      </c>
      <c r="AJ149" s="55" t="s">
        <v>3095</v>
      </c>
      <c r="AK149" s="55" t="s">
        <v>3095</v>
      </c>
      <c r="AL149" s="55" t="s">
        <v>3095</v>
      </c>
      <c r="AM149" s="55" t="s">
        <v>3095</v>
      </c>
    </row>
    <row r="150" ht="45.0" customHeight="1">
      <c r="A150" s="55" t="s">
        <v>687</v>
      </c>
      <c r="B150" s="55" t="s">
        <v>3839</v>
      </c>
      <c r="C150" s="55" t="str">
        <f>IMAGE("https://raw.githubusercontent.com/ltdimages/images/refs/heads/main/Coordinate0009_00.png")</f>
        <v/>
      </c>
      <c r="D150" s="55" t="str">
        <f>IMAGE("https://raw.githubusercontent.com/ltdimages/images/refs/heads/main/Coordinate0009_01.png")</f>
        <v/>
      </c>
      <c r="E150" s="55" t="str">
        <f>IMAGE("https://raw.githubusercontent.com/ltdimages/images/refs/heads/main/Coordinate0009_02.png")</f>
        <v/>
      </c>
      <c r="F150" s="55" t="str">
        <f>IMAGE("https://raw.githubusercontent.com/ltdimages/images/refs/heads/main/Coordinate0009_03.png")</f>
        <v/>
      </c>
      <c r="G150" s="55" t="s">
        <v>3095</v>
      </c>
      <c r="H150" s="55" t="s">
        <v>3095</v>
      </c>
      <c r="I150" s="56" t="s">
        <v>3095</v>
      </c>
      <c r="J150" s="55" t="s">
        <v>3095</v>
      </c>
      <c r="K150" s="20" t="s">
        <v>3840</v>
      </c>
      <c r="L150" s="20" t="s">
        <v>3097</v>
      </c>
      <c r="M150" s="55" t="s">
        <v>3098</v>
      </c>
      <c r="N150" s="55" t="s">
        <v>3099</v>
      </c>
      <c r="O150" s="55" t="s">
        <v>45</v>
      </c>
      <c r="P150" s="55" t="s">
        <v>45</v>
      </c>
      <c r="Q150" s="55" t="s">
        <v>45</v>
      </c>
      <c r="R150" s="55" t="s">
        <v>45</v>
      </c>
      <c r="S150" s="55" t="s">
        <v>45</v>
      </c>
      <c r="T150" s="55" t="s">
        <v>45</v>
      </c>
      <c r="U150" s="55" t="s">
        <v>3841</v>
      </c>
      <c r="V150" s="55" t="s">
        <v>3095</v>
      </c>
      <c r="W150" s="55" t="s">
        <v>3277</v>
      </c>
      <c r="X150" s="55" t="s">
        <v>3095</v>
      </c>
      <c r="Y150" s="55" t="s">
        <v>3095</v>
      </c>
      <c r="Z150" s="55" t="s">
        <v>3352</v>
      </c>
      <c r="AA150" s="55" t="s">
        <v>3157</v>
      </c>
      <c r="AB150" s="55" t="s">
        <v>3095</v>
      </c>
      <c r="AC150" s="55" t="s">
        <v>3103</v>
      </c>
      <c r="AD150" s="55" t="s">
        <v>3842</v>
      </c>
      <c r="AE150" s="55" t="s">
        <v>3095</v>
      </c>
      <c r="AF150" s="55" t="s">
        <v>3095</v>
      </c>
      <c r="AG150" s="55" t="s">
        <v>3095</v>
      </c>
      <c r="AH150" s="55" t="s">
        <v>3095</v>
      </c>
      <c r="AI150" s="55" t="s">
        <v>3095</v>
      </c>
      <c r="AJ150" s="55" t="s">
        <v>3095</v>
      </c>
      <c r="AK150" s="55" t="s">
        <v>3095</v>
      </c>
      <c r="AL150" s="55" t="s">
        <v>3095</v>
      </c>
      <c r="AM150" s="55" t="s">
        <v>3095</v>
      </c>
    </row>
    <row r="151" ht="45.0" customHeight="1">
      <c r="A151" s="55" t="s">
        <v>691</v>
      </c>
      <c r="B151" s="55" t="s">
        <v>3843</v>
      </c>
      <c r="C151" s="55" t="str">
        <f>IMAGE("https://raw.githubusercontent.com/ltdimages/images/refs/heads/main/Coordinate0240_00.png")</f>
        <v/>
      </c>
      <c r="D151" s="55" t="str">
        <f>IMAGE("https://raw.githubusercontent.com/ltdimages/images/refs/heads/main/Coordinate0240_01.png")</f>
        <v/>
      </c>
      <c r="E151" s="55" t="str">
        <f>IMAGE("https://raw.githubusercontent.com/ltdimages/images/refs/heads/main/Coordinate0240_02.png")</f>
        <v/>
      </c>
      <c r="F151" s="55" t="str">
        <f>IMAGE("https://raw.githubusercontent.com/ltdimages/images/refs/heads/main/Coordinate0240_03.png")</f>
        <v/>
      </c>
      <c r="G151" s="55" t="str">
        <f>IMAGE("https://raw.githubusercontent.com/ltdimages/images/refs/heads/main/Coordinate0240_04.png")</f>
        <v/>
      </c>
      <c r="H151" s="55" t="str">
        <f>IMAGE("https://raw.githubusercontent.com/ltdimages/images/refs/heads/main/Coordinate0240_05.png")</f>
        <v/>
      </c>
      <c r="I151" s="56" t="str">
        <f>IMAGE("https://raw.githubusercontent.com/ltdimages/images/refs/heads/main/Coordinate0240_06.png")</f>
        <v/>
      </c>
      <c r="J151" s="55" t="str">
        <f>IMAGE("https://raw.githubusercontent.com/ltdimages/images/refs/heads/main/Coordinate0240_07.png")</f>
        <v/>
      </c>
      <c r="K151" s="20" t="s">
        <v>3844</v>
      </c>
      <c r="L151" s="20" t="s">
        <v>3097</v>
      </c>
      <c r="M151" s="55" t="s">
        <v>3098</v>
      </c>
      <c r="N151" s="55" t="s">
        <v>3099</v>
      </c>
      <c r="O151" s="55" t="s">
        <v>45</v>
      </c>
      <c r="P151" s="55" t="s">
        <v>45</v>
      </c>
      <c r="Q151" s="55" t="s">
        <v>45</v>
      </c>
      <c r="R151" s="55" t="s">
        <v>45</v>
      </c>
      <c r="S151" s="55" t="s">
        <v>45</v>
      </c>
      <c r="T151" s="55" t="s">
        <v>45</v>
      </c>
      <c r="U151" s="55" t="s">
        <v>3845</v>
      </c>
      <c r="V151" s="55" t="s">
        <v>3095</v>
      </c>
      <c r="W151" s="55" t="s">
        <v>3846</v>
      </c>
      <c r="X151" s="55" t="s">
        <v>3095</v>
      </c>
      <c r="Y151" s="55" t="s">
        <v>3095</v>
      </c>
      <c r="Z151" s="55" t="s">
        <v>3156</v>
      </c>
      <c r="AA151" s="55" t="s">
        <v>3119</v>
      </c>
      <c r="AB151" s="55" t="s">
        <v>3095</v>
      </c>
      <c r="AC151" s="55" t="s">
        <v>3103</v>
      </c>
      <c r="AD151" s="55" t="s">
        <v>3847</v>
      </c>
      <c r="AE151" s="55" t="s">
        <v>3095</v>
      </c>
      <c r="AF151" s="55" t="s">
        <v>3095</v>
      </c>
      <c r="AG151" s="55" t="s">
        <v>3095</v>
      </c>
      <c r="AH151" s="55" t="s">
        <v>3095</v>
      </c>
      <c r="AI151" s="55" t="s">
        <v>3095</v>
      </c>
      <c r="AJ151" s="55" t="s">
        <v>3095</v>
      </c>
      <c r="AK151" s="55" t="s">
        <v>3095</v>
      </c>
      <c r="AL151" s="55" t="s">
        <v>3095</v>
      </c>
      <c r="AM151" s="55" t="s">
        <v>3095</v>
      </c>
    </row>
    <row r="152" ht="45.0" customHeight="1">
      <c r="A152" s="55" t="s">
        <v>695</v>
      </c>
      <c r="B152" s="55" t="s">
        <v>3848</v>
      </c>
      <c r="C152" s="55" t="str">
        <f>IMAGE("https://raw.githubusercontent.com/ltdimages/images/refs/heads/main/Coordinate0214_00.png")</f>
        <v/>
      </c>
      <c r="D152" s="55" t="str">
        <f>IMAGE("https://raw.githubusercontent.com/ltdimages/images/refs/heads/main/Coordinate0214_01.png")</f>
        <v/>
      </c>
      <c r="E152" s="55" t="str">
        <f>IMAGE("https://raw.githubusercontent.com/ltdimages/images/refs/heads/main/Coordinate0214_02.png")</f>
        <v/>
      </c>
      <c r="F152" s="55" t="s">
        <v>3095</v>
      </c>
      <c r="G152" s="55" t="s">
        <v>3095</v>
      </c>
      <c r="H152" s="55" t="s">
        <v>3095</v>
      </c>
      <c r="I152" s="56" t="s">
        <v>3095</v>
      </c>
      <c r="J152" s="55" t="s">
        <v>3095</v>
      </c>
      <c r="K152" s="20" t="s">
        <v>3849</v>
      </c>
      <c r="L152" s="20" t="s">
        <v>3097</v>
      </c>
      <c r="M152" s="55" t="s">
        <v>3098</v>
      </c>
      <c r="N152" s="55" t="s">
        <v>3099</v>
      </c>
      <c r="O152" s="55" t="s">
        <v>45</v>
      </c>
      <c r="P152" s="55" t="s">
        <v>45</v>
      </c>
      <c r="Q152" s="55" t="s">
        <v>45</v>
      </c>
      <c r="R152" s="55" t="s">
        <v>49</v>
      </c>
      <c r="S152" s="55" t="s">
        <v>49</v>
      </c>
      <c r="T152" s="55" t="s">
        <v>45</v>
      </c>
      <c r="U152" s="55" t="s">
        <v>3850</v>
      </c>
      <c r="V152" s="55" t="s">
        <v>3095</v>
      </c>
      <c r="W152" s="55" t="s">
        <v>3277</v>
      </c>
      <c r="X152" s="55" t="s">
        <v>3851</v>
      </c>
      <c r="Y152" s="55" t="s">
        <v>3095</v>
      </c>
      <c r="Z152" s="55" t="s">
        <v>3118</v>
      </c>
      <c r="AA152" s="55" t="s">
        <v>3150</v>
      </c>
      <c r="AB152" s="55" t="s">
        <v>3095</v>
      </c>
      <c r="AC152" s="55" t="s">
        <v>3103</v>
      </c>
      <c r="AD152" s="55" t="s">
        <v>3852</v>
      </c>
      <c r="AE152" s="55" t="s">
        <v>3095</v>
      </c>
      <c r="AF152" s="55" t="s">
        <v>3095</v>
      </c>
      <c r="AG152" s="55" t="s">
        <v>3095</v>
      </c>
      <c r="AH152" s="55" t="s">
        <v>3095</v>
      </c>
      <c r="AI152" s="55" t="s">
        <v>3095</v>
      </c>
      <c r="AJ152" s="55" t="s">
        <v>3095</v>
      </c>
      <c r="AK152" s="55" t="s">
        <v>3095</v>
      </c>
      <c r="AL152" s="55" t="s">
        <v>3095</v>
      </c>
      <c r="AM152" s="55" t="s">
        <v>3095</v>
      </c>
    </row>
    <row r="153" ht="45.0" customHeight="1">
      <c r="A153" s="55" t="s">
        <v>699</v>
      </c>
      <c r="B153" s="55" t="s">
        <v>3853</v>
      </c>
      <c r="C153" s="55" t="str">
        <f>IMAGE("https://raw.githubusercontent.com/ltdimages/images/refs/heads/main/Coordinate0175_00.png")</f>
        <v/>
      </c>
      <c r="D153" s="55" t="str">
        <f>IMAGE("https://raw.githubusercontent.com/ltdimages/images/refs/heads/main/Coordinate0175_01.png")</f>
        <v/>
      </c>
      <c r="E153" s="55" t="str">
        <f>IMAGE("https://raw.githubusercontent.com/ltdimages/images/refs/heads/main/Coordinate0175_02.png")</f>
        <v/>
      </c>
      <c r="F153" s="55" t="str">
        <f>IMAGE("https://raw.githubusercontent.com/ltdimages/images/refs/heads/main/Coordinate0175_03.png")</f>
        <v/>
      </c>
      <c r="G153" s="55" t="str">
        <f>IMAGE("https://raw.githubusercontent.com/ltdimages/images/refs/heads/main/Coordinate0175_04.png")</f>
        <v/>
      </c>
      <c r="H153" s="55" t="str">
        <f>IMAGE("https://raw.githubusercontent.com/ltdimages/images/refs/heads/main/Coordinate0175_05.png")</f>
        <v/>
      </c>
      <c r="I153" s="56" t="s">
        <v>3095</v>
      </c>
      <c r="J153" s="55" t="s">
        <v>3095</v>
      </c>
      <c r="K153" s="20" t="s">
        <v>3854</v>
      </c>
      <c r="L153" s="20" t="s">
        <v>3097</v>
      </c>
      <c r="M153" s="55" t="s">
        <v>3098</v>
      </c>
      <c r="N153" s="55" t="s">
        <v>3099</v>
      </c>
      <c r="O153" s="55" t="s">
        <v>45</v>
      </c>
      <c r="P153" s="55" t="s">
        <v>45</v>
      </c>
      <c r="Q153" s="55" t="s">
        <v>45</v>
      </c>
      <c r="R153" s="55" t="s">
        <v>49</v>
      </c>
      <c r="S153" s="55" t="s">
        <v>45</v>
      </c>
      <c r="T153" s="55" t="s">
        <v>45</v>
      </c>
      <c r="U153" s="55" t="s">
        <v>3855</v>
      </c>
      <c r="V153" s="55" t="s">
        <v>3095</v>
      </c>
      <c r="W153" s="55" t="s">
        <v>3277</v>
      </c>
      <c r="X153" s="55" t="s">
        <v>3856</v>
      </c>
      <c r="Y153" s="55" t="s">
        <v>3095</v>
      </c>
      <c r="Z153" s="55" t="s">
        <v>3164</v>
      </c>
      <c r="AA153" s="55" t="s">
        <v>3550</v>
      </c>
      <c r="AB153" s="55" t="s">
        <v>3095</v>
      </c>
      <c r="AC153" s="55" t="s">
        <v>3103</v>
      </c>
      <c r="AD153" s="55" t="s">
        <v>3857</v>
      </c>
      <c r="AE153" s="55" t="s">
        <v>3095</v>
      </c>
      <c r="AF153" s="55" t="s">
        <v>3095</v>
      </c>
      <c r="AG153" s="55" t="s">
        <v>3095</v>
      </c>
      <c r="AH153" s="55" t="s">
        <v>3095</v>
      </c>
      <c r="AI153" s="55" t="s">
        <v>3095</v>
      </c>
      <c r="AJ153" s="55" t="s">
        <v>3095</v>
      </c>
      <c r="AK153" s="55" t="s">
        <v>3095</v>
      </c>
      <c r="AL153" s="55" t="s">
        <v>3095</v>
      </c>
      <c r="AM153" s="55" t="s">
        <v>3095</v>
      </c>
    </row>
    <row r="154" ht="45.0" customHeight="1">
      <c r="A154" s="55" t="s">
        <v>703</v>
      </c>
      <c r="B154" s="55" t="s">
        <v>3858</v>
      </c>
      <c r="C154" s="55" t="str">
        <f>IMAGE("https://raw.githubusercontent.com/ltdimages/images/refs/heads/main/Coordinate0325_00.png")</f>
        <v/>
      </c>
      <c r="D154" s="55" t="str">
        <f>IMAGE("https://raw.githubusercontent.com/ltdimages/images/refs/heads/main/Coordinate0325_01.png")</f>
        <v/>
      </c>
      <c r="E154" s="55" t="str">
        <f>IMAGE("https://raw.githubusercontent.com/ltdimages/images/refs/heads/main/Coordinate0325_02.png")</f>
        <v/>
      </c>
      <c r="F154" s="55" t="str">
        <f>IMAGE("https://raw.githubusercontent.com/ltdimages/images/refs/heads/main/Coordinate0325_03.png")</f>
        <v/>
      </c>
      <c r="G154" s="55" t="s">
        <v>3095</v>
      </c>
      <c r="H154" s="55" t="s">
        <v>3095</v>
      </c>
      <c r="I154" s="56" t="s">
        <v>3095</v>
      </c>
      <c r="J154" s="55" t="s">
        <v>3095</v>
      </c>
      <c r="K154" s="20" t="s">
        <v>3859</v>
      </c>
      <c r="L154" s="20" t="s">
        <v>3097</v>
      </c>
      <c r="M154" s="55" t="s">
        <v>3098</v>
      </c>
      <c r="N154" s="55" t="s">
        <v>3099</v>
      </c>
      <c r="O154" s="55" t="s">
        <v>45</v>
      </c>
      <c r="P154" s="55" t="s">
        <v>45</v>
      </c>
      <c r="Q154" s="55" t="s">
        <v>45</v>
      </c>
      <c r="R154" s="55" t="s">
        <v>45</v>
      </c>
      <c r="S154" s="55" t="s">
        <v>45</v>
      </c>
      <c r="T154" s="55" t="s">
        <v>45</v>
      </c>
      <c r="U154" s="55" t="s">
        <v>3860</v>
      </c>
      <c r="V154" s="55" t="s">
        <v>3095</v>
      </c>
      <c r="W154" s="55" t="s">
        <v>3861</v>
      </c>
      <c r="X154" s="55" t="s">
        <v>3095</v>
      </c>
      <c r="Y154" s="55" t="s">
        <v>3371</v>
      </c>
      <c r="Z154" s="55" t="s">
        <v>3862</v>
      </c>
      <c r="AA154" s="55" t="s">
        <v>3372</v>
      </c>
      <c r="AB154" s="55" t="s">
        <v>3095</v>
      </c>
      <c r="AC154" s="55" t="s">
        <v>3103</v>
      </c>
      <c r="AD154" s="55" t="s">
        <v>3863</v>
      </c>
      <c r="AE154" s="55" t="s">
        <v>3095</v>
      </c>
      <c r="AF154" s="55" t="s">
        <v>3095</v>
      </c>
      <c r="AG154" s="55" t="s">
        <v>3095</v>
      </c>
      <c r="AH154" s="55" t="s">
        <v>3095</v>
      </c>
      <c r="AI154" s="55" t="s">
        <v>3095</v>
      </c>
      <c r="AJ154" s="55" t="s">
        <v>3095</v>
      </c>
      <c r="AK154" s="55" t="s">
        <v>3095</v>
      </c>
      <c r="AL154" s="55" t="s">
        <v>3095</v>
      </c>
      <c r="AM154" s="55" t="s">
        <v>3095</v>
      </c>
    </row>
    <row r="155" ht="45.0" customHeight="1">
      <c r="A155" s="55" t="s">
        <v>708</v>
      </c>
      <c r="B155" s="55" t="s">
        <v>3864</v>
      </c>
      <c r="C155" s="55" t="str">
        <f>IMAGE("https://raw.githubusercontent.com/ltdimages/images/refs/heads/main/Coordinate0095_00.png")</f>
        <v/>
      </c>
      <c r="D155" s="55" t="str">
        <f>IMAGE("https://raw.githubusercontent.com/ltdimages/images/refs/heads/main/Coordinate0095_01.png")</f>
        <v/>
      </c>
      <c r="E155" s="55" t="str">
        <f>IMAGE("https://raw.githubusercontent.com/ltdimages/images/refs/heads/main/Coordinate0095_02.png")</f>
        <v/>
      </c>
      <c r="F155" s="55" t="str">
        <f>IMAGE("https://raw.githubusercontent.com/ltdimages/images/refs/heads/main/Coordinate0095_03.png")</f>
        <v/>
      </c>
      <c r="G155" s="55" t="str">
        <f>IMAGE("https://raw.githubusercontent.com/ltdimages/images/refs/heads/main/Coordinate0095_04.png")</f>
        <v/>
      </c>
      <c r="H155" s="55" t="str">
        <f>IMAGE("https://raw.githubusercontent.com/ltdimages/images/refs/heads/main/Coordinate0095_05.png")</f>
        <v/>
      </c>
      <c r="I155" s="56" t="s">
        <v>3095</v>
      </c>
      <c r="J155" s="55" t="s">
        <v>3095</v>
      </c>
      <c r="K155" s="20" t="s">
        <v>3785</v>
      </c>
      <c r="L155" s="20" t="s">
        <v>3097</v>
      </c>
      <c r="M155" s="55" t="s">
        <v>3098</v>
      </c>
      <c r="N155" s="55" t="s">
        <v>3114</v>
      </c>
      <c r="O155" s="55" t="s">
        <v>45</v>
      </c>
      <c r="P155" s="55" t="s">
        <v>45</v>
      </c>
      <c r="Q155" s="55" t="s">
        <v>45</v>
      </c>
      <c r="R155" s="55" t="s">
        <v>45</v>
      </c>
      <c r="S155" s="55" t="s">
        <v>45</v>
      </c>
      <c r="T155" s="55" t="s">
        <v>45</v>
      </c>
      <c r="U155" s="55" t="s">
        <v>3865</v>
      </c>
      <c r="V155" s="55" t="s">
        <v>3095</v>
      </c>
      <c r="W155" s="55" t="s">
        <v>3351</v>
      </c>
      <c r="X155" s="55" t="s">
        <v>3095</v>
      </c>
      <c r="Y155" s="55" t="s">
        <v>3095</v>
      </c>
      <c r="Z155" s="55" t="s">
        <v>3352</v>
      </c>
      <c r="AA155" s="55" t="s">
        <v>3211</v>
      </c>
      <c r="AB155" s="55" t="s">
        <v>3095</v>
      </c>
      <c r="AC155" s="55" t="s">
        <v>3103</v>
      </c>
      <c r="AD155" s="55" t="s">
        <v>3866</v>
      </c>
      <c r="AE155" s="55" t="s">
        <v>3095</v>
      </c>
      <c r="AF155" s="55" t="s">
        <v>3095</v>
      </c>
      <c r="AG155" s="55" t="s">
        <v>3095</v>
      </c>
      <c r="AH155" s="55" t="s">
        <v>3095</v>
      </c>
      <c r="AI155" s="55" t="s">
        <v>3095</v>
      </c>
      <c r="AJ155" s="55" t="s">
        <v>3095</v>
      </c>
      <c r="AK155" s="55" t="s">
        <v>3095</v>
      </c>
      <c r="AL155" s="55" t="s">
        <v>3095</v>
      </c>
      <c r="AM155" s="55" t="s">
        <v>3095</v>
      </c>
    </row>
    <row r="156" ht="45.0" customHeight="1">
      <c r="A156" s="55" t="s">
        <v>712</v>
      </c>
      <c r="B156" s="57" t="s">
        <v>3867</v>
      </c>
      <c r="C156" s="57" t="str">
        <f>IMAGE("https://raw.githubusercontent.com/ltdimages/images/refs/heads/main/Coordinate0110_00.png")</f>
        <v/>
      </c>
      <c r="D156" s="57" t="str">
        <f>IMAGE("https://raw.githubusercontent.com/ltdimages/images/refs/heads/main/Coordinate0110_01.png")</f>
        <v/>
      </c>
      <c r="E156" s="57" t="str">
        <f>IMAGE("https://raw.githubusercontent.com/ltdimages/images/refs/heads/main/Coordinate0110_02.png")</f>
        <v/>
      </c>
      <c r="F156" s="57" t="str">
        <f>IMAGE("https://raw.githubusercontent.com/ltdimages/images/refs/heads/main/Coordinate0110_03.png")</f>
        <v/>
      </c>
      <c r="G156" s="57" t="str">
        <f>IMAGE("https://raw.githubusercontent.com/ltdimages/images/refs/heads/main/Coordinate0110_04.png")</f>
        <v/>
      </c>
      <c r="H156" s="57" t="str">
        <f>IMAGE("https://raw.githubusercontent.com/ltdimages/images/refs/heads/main/Coordinate0110_05.png")</f>
        <v/>
      </c>
      <c r="I156" s="56" t="s">
        <v>3095</v>
      </c>
      <c r="J156" s="57" t="s">
        <v>3095</v>
      </c>
      <c r="K156" s="20" t="s">
        <v>3546</v>
      </c>
      <c r="L156" s="20" t="s">
        <v>3097</v>
      </c>
      <c r="M156" s="57" t="s">
        <v>2574</v>
      </c>
      <c r="N156" s="57" t="s">
        <v>3099</v>
      </c>
      <c r="O156" s="57" t="s">
        <v>45</v>
      </c>
      <c r="P156" s="57" t="s">
        <v>45</v>
      </c>
      <c r="Q156" s="57" t="s">
        <v>45</v>
      </c>
      <c r="R156" s="57" t="s">
        <v>49</v>
      </c>
      <c r="S156" s="57" t="s">
        <v>45</v>
      </c>
      <c r="T156" s="57" t="s">
        <v>45</v>
      </c>
      <c r="U156" s="57" t="s">
        <v>3095</v>
      </c>
      <c r="V156" s="57" t="s">
        <v>3095</v>
      </c>
      <c r="W156" s="57" t="s">
        <v>3095</v>
      </c>
      <c r="X156" s="57" t="s">
        <v>3868</v>
      </c>
      <c r="Y156" s="57" t="s">
        <v>3095</v>
      </c>
      <c r="Z156" s="55" t="s">
        <v>3095</v>
      </c>
      <c r="AA156" s="55" t="s">
        <v>3095</v>
      </c>
      <c r="AB156" s="55" t="s">
        <v>3869</v>
      </c>
      <c r="AC156" s="55" t="s">
        <v>3099</v>
      </c>
      <c r="AD156" s="55" t="s">
        <v>3870</v>
      </c>
      <c r="AE156" s="55" t="s">
        <v>3095</v>
      </c>
      <c r="AF156" s="55" t="s">
        <v>3095</v>
      </c>
      <c r="AG156" s="55" t="s">
        <v>3095</v>
      </c>
      <c r="AH156" s="55" t="s">
        <v>3095</v>
      </c>
      <c r="AI156" s="55" t="s">
        <v>3095</v>
      </c>
      <c r="AJ156" s="55" t="s">
        <v>3095</v>
      </c>
      <c r="AK156" s="55" t="s">
        <v>3095</v>
      </c>
      <c r="AL156" s="55" t="s">
        <v>3095</v>
      </c>
      <c r="AM156" s="55" t="s">
        <v>3095</v>
      </c>
    </row>
    <row r="157" ht="45.0" customHeight="1">
      <c r="A157" s="55" t="s">
        <v>716</v>
      </c>
      <c r="B157" s="55" t="s">
        <v>3871</v>
      </c>
      <c r="C157" s="55" t="str">
        <f>IMAGE("https://raw.githubusercontent.com/ltdimages/images/refs/heads/main/Coordinate0259_00.png")</f>
        <v/>
      </c>
      <c r="D157" s="55" t="str">
        <f>IMAGE("https://raw.githubusercontent.com/ltdimages/images/refs/heads/main/Coordinate0259_01.png")</f>
        <v/>
      </c>
      <c r="E157" s="55" t="str">
        <f>IMAGE("https://raw.githubusercontent.com/ltdimages/images/refs/heads/main/Coordinate0259_02.png")</f>
        <v/>
      </c>
      <c r="F157" s="55" t="str">
        <f>IMAGE("https://raw.githubusercontent.com/ltdimages/images/refs/heads/main/Coordinate0259_03.png")</f>
        <v/>
      </c>
      <c r="G157" s="55" t="str">
        <f>IMAGE("https://raw.githubusercontent.com/ltdimages/images/refs/heads/main/Coordinate0259_04.png")</f>
        <v/>
      </c>
      <c r="H157" s="55" t="str">
        <f>IMAGE("https://raw.githubusercontent.com/ltdimages/images/refs/heads/main/Coordinate0259_05.png")</f>
        <v/>
      </c>
      <c r="I157" s="56" t="str">
        <f>IMAGE("https://raw.githubusercontent.com/ltdimages/images/refs/heads/main/Coordinate0259_06.png")</f>
        <v/>
      </c>
      <c r="J157" s="55" t="str">
        <f>IMAGE("https://raw.githubusercontent.com/ltdimages/images/refs/heads/main/Coordinate0259_07.png")</f>
        <v/>
      </c>
      <c r="K157" s="20" t="s">
        <v>3872</v>
      </c>
      <c r="L157" s="20" t="s">
        <v>3097</v>
      </c>
      <c r="M157" s="55" t="s">
        <v>2574</v>
      </c>
      <c r="N157" s="55" t="s">
        <v>3099</v>
      </c>
      <c r="O157" s="55" t="s">
        <v>45</v>
      </c>
      <c r="P157" s="55" t="s">
        <v>45</v>
      </c>
      <c r="Q157" s="55" t="s">
        <v>45</v>
      </c>
      <c r="R157" s="55" t="s">
        <v>49</v>
      </c>
      <c r="S157" s="55" t="s">
        <v>45</v>
      </c>
      <c r="T157" s="55" t="s">
        <v>45</v>
      </c>
      <c r="U157" s="55" t="s">
        <v>3095</v>
      </c>
      <c r="V157" s="55" t="s">
        <v>3873</v>
      </c>
      <c r="W157" s="55" t="s">
        <v>3095</v>
      </c>
      <c r="X157" s="55" t="s">
        <v>3874</v>
      </c>
      <c r="Y157" s="55" t="s">
        <v>3095</v>
      </c>
      <c r="Z157" s="55" t="s">
        <v>3200</v>
      </c>
      <c r="AA157" s="55" t="s">
        <v>3366</v>
      </c>
      <c r="AB157" s="55" t="s">
        <v>3095</v>
      </c>
      <c r="AC157" s="55" t="s">
        <v>3110</v>
      </c>
      <c r="AD157" s="55" t="s">
        <v>3875</v>
      </c>
      <c r="AE157" s="55" t="s">
        <v>3095</v>
      </c>
      <c r="AF157" s="55" t="s">
        <v>3095</v>
      </c>
      <c r="AG157" s="55" t="s">
        <v>3095</v>
      </c>
      <c r="AH157" s="55" t="s">
        <v>3095</v>
      </c>
      <c r="AI157" s="55" t="s">
        <v>3095</v>
      </c>
      <c r="AJ157" s="55" t="s">
        <v>3095</v>
      </c>
      <c r="AK157" s="55" t="s">
        <v>3095</v>
      </c>
      <c r="AL157" s="55" t="s">
        <v>3095</v>
      </c>
      <c r="AM157" s="55" t="s">
        <v>3095</v>
      </c>
    </row>
    <row r="158" ht="45.0" customHeight="1">
      <c r="A158" s="55" t="s">
        <v>720</v>
      </c>
      <c r="B158" s="55" t="s">
        <v>3876</v>
      </c>
      <c r="C158" s="55" t="str">
        <f>IMAGE("https://raw.githubusercontent.com/ltdimages/images/refs/heads/main/Coordinate0280_00.png")</f>
        <v/>
      </c>
      <c r="D158" s="55" t="str">
        <f>IMAGE("https://raw.githubusercontent.com/ltdimages/images/refs/heads/main/Coordinate0280_01.png")</f>
        <v/>
      </c>
      <c r="E158" s="55" t="str">
        <f>IMAGE("https://raw.githubusercontent.com/ltdimages/images/refs/heads/main/Coordinate0280_02.png")</f>
        <v/>
      </c>
      <c r="F158" s="55" t="s">
        <v>3095</v>
      </c>
      <c r="G158" s="55" t="s">
        <v>3095</v>
      </c>
      <c r="H158" s="55" t="s">
        <v>3095</v>
      </c>
      <c r="I158" s="56" t="s">
        <v>3095</v>
      </c>
      <c r="J158" s="55" t="s">
        <v>3095</v>
      </c>
      <c r="K158" s="20" t="s">
        <v>3877</v>
      </c>
      <c r="L158" s="20" t="s">
        <v>3097</v>
      </c>
      <c r="M158" s="55" t="s">
        <v>3098</v>
      </c>
      <c r="N158" s="55" t="s">
        <v>3099</v>
      </c>
      <c r="O158" s="55" t="s">
        <v>45</v>
      </c>
      <c r="P158" s="55" t="s">
        <v>49</v>
      </c>
      <c r="Q158" s="55" t="s">
        <v>45</v>
      </c>
      <c r="R158" s="55" t="s">
        <v>49</v>
      </c>
      <c r="S158" s="55" t="s">
        <v>45</v>
      </c>
      <c r="T158" s="55" t="s">
        <v>45</v>
      </c>
      <c r="U158" s="55" t="s">
        <v>3878</v>
      </c>
      <c r="V158" s="55" t="s">
        <v>3095</v>
      </c>
      <c r="W158" s="55" t="s">
        <v>3879</v>
      </c>
      <c r="X158" s="55" t="s">
        <v>3095</v>
      </c>
      <c r="Y158" s="55" t="s">
        <v>3095</v>
      </c>
      <c r="Z158" s="55" t="s">
        <v>3880</v>
      </c>
      <c r="AA158" s="55" t="s">
        <v>3095</v>
      </c>
      <c r="AB158" s="55" t="s">
        <v>3095</v>
      </c>
      <c r="AC158" s="55" t="s">
        <v>3103</v>
      </c>
      <c r="AD158" s="55" t="s">
        <v>3881</v>
      </c>
      <c r="AE158" s="55" t="s">
        <v>3095</v>
      </c>
      <c r="AF158" s="55" t="s">
        <v>3095</v>
      </c>
      <c r="AG158" s="55" t="s">
        <v>3095</v>
      </c>
      <c r="AH158" s="55" t="s">
        <v>3095</v>
      </c>
      <c r="AI158" s="55" t="s">
        <v>3095</v>
      </c>
      <c r="AJ158" s="55" t="s">
        <v>3095</v>
      </c>
      <c r="AK158" s="55" t="s">
        <v>3095</v>
      </c>
      <c r="AL158" s="55" t="s">
        <v>3095</v>
      </c>
      <c r="AM158" s="55" t="s">
        <v>3095</v>
      </c>
    </row>
    <row r="159" ht="45.0" customHeight="1">
      <c r="A159" s="55" t="s">
        <v>724</v>
      </c>
      <c r="B159" s="55" t="s">
        <v>3882</v>
      </c>
      <c r="C159" s="55" t="str">
        <f>IMAGE("https://raw.githubusercontent.com/ltdimages/images/refs/heads/main/Coordinate0139_00.png")</f>
        <v/>
      </c>
      <c r="D159" s="55" t="str">
        <f>IMAGE("https://raw.githubusercontent.com/ltdimages/images/refs/heads/main/Coordinate0139_01.png")</f>
        <v/>
      </c>
      <c r="E159" s="55" t="str">
        <f>IMAGE("https://raw.githubusercontent.com/ltdimages/images/refs/heads/main/Coordinate0139_02.png")</f>
        <v/>
      </c>
      <c r="F159" s="55" t="str">
        <f>IMAGE("https://raw.githubusercontent.com/ltdimages/images/refs/heads/main/Coordinate0139_03.png")</f>
        <v/>
      </c>
      <c r="G159" s="55" t="str">
        <f>IMAGE("https://raw.githubusercontent.com/ltdimages/images/refs/heads/main/Coordinate0139_04.png")</f>
        <v/>
      </c>
      <c r="H159" s="55" t="str">
        <f>IMAGE("https://raw.githubusercontent.com/ltdimages/images/refs/heads/main/Coordinate0139_05.png")</f>
        <v/>
      </c>
      <c r="I159" s="56" t="str">
        <f>IMAGE("https://raw.githubusercontent.com/ltdimages/images/refs/heads/main/Coordinate0139_06.png")</f>
        <v/>
      </c>
      <c r="J159" s="55" t="str">
        <f>IMAGE("https://raw.githubusercontent.com/ltdimages/images/refs/heads/main/Coordinate0139_07.png")</f>
        <v/>
      </c>
      <c r="K159" s="20" t="s">
        <v>3293</v>
      </c>
      <c r="L159" s="20" t="s">
        <v>3097</v>
      </c>
      <c r="M159" s="55" t="s">
        <v>3098</v>
      </c>
      <c r="N159" s="55" t="s">
        <v>3099</v>
      </c>
      <c r="O159" s="55" t="s">
        <v>45</v>
      </c>
      <c r="P159" s="55" t="s">
        <v>45</v>
      </c>
      <c r="Q159" s="55" t="s">
        <v>45</v>
      </c>
      <c r="R159" s="55" t="s">
        <v>45</v>
      </c>
      <c r="S159" s="55" t="s">
        <v>45</v>
      </c>
      <c r="T159" s="55" t="s">
        <v>45</v>
      </c>
      <c r="U159" s="55" t="s">
        <v>3883</v>
      </c>
      <c r="V159" s="55" t="s">
        <v>3095</v>
      </c>
      <c r="W159" s="55" t="s">
        <v>3661</v>
      </c>
      <c r="X159" s="55" t="s">
        <v>3095</v>
      </c>
      <c r="Y159" s="55" t="s">
        <v>3095</v>
      </c>
      <c r="Z159" s="55" t="s">
        <v>3118</v>
      </c>
      <c r="AA159" s="55" t="s">
        <v>3217</v>
      </c>
      <c r="AB159" s="55" t="s">
        <v>3095</v>
      </c>
      <c r="AC159" s="55" t="s">
        <v>3103</v>
      </c>
      <c r="AD159" s="55" t="s">
        <v>3884</v>
      </c>
      <c r="AE159" s="55" t="s">
        <v>3095</v>
      </c>
      <c r="AF159" s="55" t="s">
        <v>3095</v>
      </c>
      <c r="AG159" s="55" t="s">
        <v>3095</v>
      </c>
      <c r="AH159" s="55" t="s">
        <v>3095</v>
      </c>
      <c r="AI159" s="55" t="s">
        <v>3095</v>
      </c>
      <c r="AJ159" s="55" t="s">
        <v>3095</v>
      </c>
      <c r="AK159" s="55" t="s">
        <v>3095</v>
      </c>
      <c r="AL159" s="55" t="s">
        <v>3095</v>
      </c>
      <c r="AM159" s="55" t="s">
        <v>3095</v>
      </c>
    </row>
    <row r="160" ht="45.0" customHeight="1">
      <c r="A160" s="55" t="s">
        <v>728</v>
      </c>
      <c r="B160" s="55" t="s">
        <v>3885</v>
      </c>
      <c r="C160" s="55" t="str">
        <f>IMAGE("https://raw.githubusercontent.com/ltdimages/images/refs/heads/main/Coordinate0103_00.png")</f>
        <v/>
      </c>
      <c r="D160" s="55" t="str">
        <f>IMAGE("https://raw.githubusercontent.com/ltdimages/images/refs/heads/main/Coordinate0103_01.png")</f>
        <v/>
      </c>
      <c r="E160" s="55" t="str">
        <f>IMAGE("https://raw.githubusercontent.com/ltdimages/images/refs/heads/main/Coordinate0103_02.png")</f>
        <v/>
      </c>
      <c r="F160" s="55" t="str">
        <f>IMAGE("https://raw.githubusercontent.com/ltdimages/images/refs/heads/main/Coordinate0103_03.png")</f>
        <v/>
      </c>
      <c r="G160" s="55" t="s">
        <v>3095</v>
      </c>
      <c r="H160" s="55" t="s">
        <v>3095</v>
      </c>
      <c r="I160" s="56" t="s">
        <v>3095</v>
      </c>
      <c r="J160" s="55" t="s">
        <v>3095</v>
      </c>
      <c r="K160" s="20" t="s">
        <v>3859</v>
      </c>
      <c r="L160" s="20" t="s">
        <v>3097</v>
      </c>
      <c r="M160" s="55" t="s">
        <v>3098</v>
      </c>
      <c r="N160" s="55" t="s">
        <v>3099</v>
      </c>
      <c r="O160" s="55" t="s">
        <v>45</v>
      </c>
      <c r="P160" s="55" t="s">
        <v>45</v>
      </c>
      <c r="Q160" s="55" t="s">
        <v>45</v>
      </c>
      <c r="R160" s="55" t="s">
        <v>45</v>
      </c>
      <c r="S160" s="55" t="s">
        <v>45</v>
      </c>
      <c r="T160" s="55" t="s">
        <v>45</v>
      </c>
      <c r="U160" s="55" t="s">
        <v>3886</v>
      </c>
      <c r="V160" s="55" t="s">
        <v>3095</v>
      </c>
      <c r="W160" s="55" t="s">
        <v>3791</v>
      </c>
      <c r="X160" s="55" t="s">
        <v>3887</v>
      </c>
      <c r="Y160" s="55" t="s">
        <v>3095</v>
      </c>
      <c r="Z160" s="55" t="s">
        <v>3118</v>
      </c>
      <c r="AA160" s="55" t="s">
        <v>3389</v>
      </c>
      <c r="AB160" s="55" t="s">
        <v>3095</v>
      </c>
      <c r="AC160" s="55" t="s">
        <v>3103</v>
      </c>
      <c r="AD160" s="55" t="s">
        <v>3888</v>
      </c>
      <c r="AE160" s="55" t="s">
        <v>3095</v>
      </c>
      <c r="AF160" s="55" t="s">
        <v>3095</v>
      </c>
      <c r="AG160" s="55" t="s">
        <v>3095</v>
      </c>
      <c r="AH160" s="55" t="s">
        <v>3095</v>
      </c>
      <c r="AI160" s="55" t="s">
        <v>3095</v>
      </c>
      <c r="AJ160" s="55" t="s">
        <v>3095</v>
      </c>
      <c r="AK160" s="55" t="s">
        <v>3095</v>
      </c>
      <c r="AL160" s="55" t="s">
        <v>3095</v>
      </c>
      <c r="AM160" s="55" t="s">
        <v>3095</v>
      </c>
    </row>
    <row r="161" ht="45.0" customHeight="1">
      <c r="A161" s="55" t="s">
        <v>732</v>
      </c>
      <c r="B161" s="55" t="s">
        <v>3889</v>
      </c>
      <c r="C161" s="55" t="str">
        <f>IMAGE("https://raw.githubusercontent.com/ltdimages/images/refs/heads/main/Coordinate0116_00.png")</f>
        <v/>
      </c>
      <c r="D161" s="55" t="s">
        <v>3095</v>
      </c>
      <c r="E161" s="55" t="s">
        <v>3095</v>
      </c>
      <c r="F161" s="55" t="s">
        <v>3095</v>
      </c>
      <c r="G161" s="55" t="s">
        <v>3095</v>
      </c>
      <c r="H161" s="55" t="s">
        <v>3095</v>
      </c>
      <c r="I161" s="56" t="s">
        <v>3095</v>
      </c>
      <c r="J161" s="55" t="s">
        <v>3095</v>
      </c>
      <c r="K161" s="20" t="s">
        <v>3308</v>
      </c>
      <c r="L161" s="20" t="s">
        <v>3097</v>
      </c>
      <c r="M161" s="55" t="s">
        <v>2574</v>
      </c>
      <c r="N161" s="55" t="s">
        <v>3114</v>
      </c>
      <c r="O161" s="55" t="s">
        <v>45</v>
      </c>
      <c r="P161" s="55" t="s">
        <v>45</v>
      </c>
      <c r="Q161" s="55" t="s">
        <v>45</v>
      </c>
      <c r="R161" s="55" t="s">
        <v>49</v>
      </c>
      <c r="S161" s="55" t="s">
        <v>45</v>
      </c>
      <c r="T161" s="55" t="s">
        <v>45</v>
      </c>
      <c r="U161" s="55" t="s">
        <v>3095</v>
      </c>
      <c r="V161" s="55" t="s">
        <v>3095</v>
      </c>
      <c r="W161" s="55" t="s">
        <v>3095</v>
      </c>
      <c r="X161" s="55" t="s">
        <v>3890</v>
      </c>
      <c r="Y161" s="55" t="s">
        <v>3095</v>
      </c>
      <c r="Z161" s="55" t="s">
        <v>3095</v>
      </c>
      <c r="AA161" s="55" t="s">
        <v>3095</v>
      </c>
      <c r="AB161" s="55" t="s">
        <v>3891</v>
      </c>
      <c r="AC161" s="55" t="s">
        <v>3099</v>
      </c>
      <c r="AD161" s="55" t="s">
        <v>3892</v>
      </c>
      <c r="AE161" s="55" t="s">
        <v>3095</v>
      </c>
      <c r="AF161" s="55" t="s">
        <v>3095</v>
      </c>
      <c r="AG161" s="55" t="s">
        <v>3095</v>
      </c>
      <c r="AH161" s="55" t="s">
        <v>3095</v>
      </c>
      <c r="AI161" s="55" t="s">
        <v>3095</v>
      </c>
      <c r="AJ161" s="55" t="s">
        <v>3095</v>
      </c>
      <c r="AK161" s="55" t="s">
        <v>3095</v>
      </c>
      <c r="AL161" s="55" t="s">
        <v>3095</v>
      </c>
      <c r="AM161" s="55" t="s">
        <v>3095</v>
      </c>
    </row>
    <row r="162" ht="45.0" customHeight="1">
      <c r="A162" s="55" t="s">
        <v>736</v>
      </c>
      <c r="B162" s="55" t="s">
        <v>3893</v>
      </c>
      <c r="C162" s="55" t="str">
        <f>IMAGE("https://raw.githubusercontent.com/ltdimages/images/refs/heads/main/Coordinate0229_00.png")</f>
        <v/>
      </c>
      <c r="D162" s="55" t="str">
        <f>IMAGE("https://raw.githubusercontent.com/ltdimages/images/refs/heads/main/Coordinate0229_01.png")</f>
        <v/>
      </c>
      <c r="E162" s="55" t="str">
        <f>IMAGE("https://raw.githubusercontent.com/ltdimages/images/refs/heads/main/Coordinate0229_02.png")</f>
        <v/>
      </c>
      <c r="F162" s="55" t="str">
        <f>IMAGE("https://raw.githubusercontent.com/ltdimages/images/refs/heads/main/Coordinate0229_03.png")</f>
        <v/>
      </c>
      <c r="G162" s="55" t="str">
        <f>IMAGE("https://raw.githubusercontent.com/ltdimages/images/refs/heads/main/Coordinate0229_04.png")</f>
        <v/>
      </c>
      <c r="H162" s="55" t="str">
        <f>IMAGE("https://raw.githubusercontent.com/ltdimages/images/refs/heads/main/Coordinate0229_05.png")</f>
        <v/>
      </c>
      <c r="I162" s="56" t="str">
        <f>IMAGE("https://raw.githubusercontent.com/ltdimages/images/refs/heads/main/Coordinate0229_06.png")</f>
        <v/>
      </c>
      <c r="J162" s="55" t="str">
        <f>IMAGE("https://raw.githubusercontent.com/ltdimages/images/refs/heads/main/Coordinate0229_07.png")</f>
        <v/>
      </c>
      <c r="K162" s="20" t="s">
        <v>3186</v>
      </c>
      <c r="L162" s="20" t="s">
        <v>3097</v>
      </c>
      <c r="M162" s="55" t="s">
        <v>2574</v>
      </c>
      <c r="N162" s="55" t="s">
        <v>3123</v>
      </c>
      <c r="O162" s="55" t="s">
        <v>45</v>
      </c>
      <c r="P162" s="55" t="s">
        <v>45</v>
      </c>
      <c r="Q162" s="55" t="s">
        <v>49</v>
      </c>
      <c r="R162" s="55" t="s">
        <v>45</v>
      </c>
      <c r="S162" s="55" t="s">
        <v>45</v>
      </c>
      <c r="T162" s="55" t="s">
        <v>45</v>
      </c>
      <c r="U162" s="55" t="s">
        <v>3095</v>
      </c>
      <c r="V162" s="55" t="s">
        <v>3894</v>
      </c>
      <c r="W162" s="55" t="s">
        <v>3095</v>
      </c>
      <c r="X162" s="55" t="s">
        <v>3895</v>
      </c>
      <c r="Y162" s="55" t="s">
        <v>3095</v>
      </c>
      <c r="Z162" s="55" t="s">
        <v>3095</v>
      </c>
      <c r="AA162" s="55" t="s">
        <v>3896</v>
      </c>
      <c r="AB162" s="55" t="s">
        <v>3095</v>
      </c>
      <c r="AC162" s="55" t="s">
        <v>3110</v>
      </c>
      <c r="AD162" s="55" t="s">
        <v>3897</v>
      </c>
      <c r="AE162" s="55" t="s">
        <v>3095</v>
      </c>
      <c r="AF162" s="55" t="s">
        <v>3095</v>
      </c>
      <c r="AG162" s="55" t="s">
        <v>3095</v>
      </c>
      <c r="AH162" s="55" t="s">
        <v>3095</v>
      </c>
      <c r="AI162" s="55" t="s">
        <v>3095</v>
      </c>
      <c r="AJ162" s="55" t="s">
        <v>3095</v>
      </c>
      <c r="AK162" s="55" t="s">
        <v>3095</v>
      </c>
      <c r="AL162" s="55" t="s">
        <v>3095</v>
      </c>
      <c r="AM162" s="55" t="s">
        <v>3095</v>
      </c>
    </row>
    <row r="163" ht="45.0" customHeight="1">
      <c r="A163" s="55" t="s">
        <v>740</v>
      </c>
      <c r="B163" s="55" t="s">
        <v>3898</v>
      </c>
      <c r="C163" s="55" t="str">
        <f>IMAGE("https://raw.githubusercontent.com/ltdimages/images/refs/heads/main/Coordinate0321_00.png")</f>
        <v/>
      </c>
      <c r="D163" s="55" t="str">
        <f>IMAGE("https://raw.githubusercontent.com/ltdimages/images/refs/heads/main/Coordinate0321_01.png")</f>
        <v/>
      </c>
      <c r="E163" s="55" t="str">
        <f>IMAGE("https://raw.githubusercontent.com/ltdimages/images/refs/heads/main/Coordinate0321_02.png")</f>
        <v/>
      </c>
      <c r="F163" s="55" t="s">
        <v>3095</v>
      </c>
      <c r="G163" s="55" t="s">
        <v>3095</v>
      </c>
      <c r="H163" s="55" t="s">
        <v>3095</v>
      </c>
      <c r="I163" s="56" t="s">
        <v>3095</v>
      </c>
      <c r="J163" s="55" t="s">
        <v>3095</v>
      </c>
      <c r="K163" s="20" t="s">
        <v>3308</v>
      </c>
      <c r="L163" s="20" t="s">
        <v>3097</v>
      </c>
      <c r="M163" s="55" t="s">
        <v>3098</v>
      </c>
      <c r="N163" s="55" t="s">
        <v>3099</v>
      </c>
      <c r="O163" s="55" t="s">
        <v>45</v>
      </c>
      <c r="P163" s="55" t="s">
        <v>45</v>
      </c>
      <c r="Q163" s="55" t="s">
        <v>45</v>
      </c>
      <c r="R163" s="55" t="s">
        <v>49</v>
      </c>
      <c r="S163" s="55" t="s">
        <v>45</v>
      </c>
      <c r="T163" s="55" t="s">
        <v>45</v>
      </c>
      <c r="U163" s="55" t="s">
        <v>3899</v>
      </c>
      <c r="V163" s="55" t="s">
        <v>3095</v>
      </c>
      <c r="W163" s="55" t="s">
        <v>3206</v>
      </c>
      <c r="X163" s="55" t="s">
        <v>3095</v>
      </c>
      <c r="Y163" s="55" t="s">
        <v>3900</v>
      </c>
      <c r="Z163" s="55" t="s">
        <v>3118</v>
      </c>
      <c r="AA163" s="55" t="s">
        <v>3901</v>
      </c>
      <c r="AB163" s="55" t="s">
        <v>3095</v>
      </c>
      <c r="AC163" s="55" t="s">
        <v>3103</v>
      </c>
      <c r="AD163" s="55" t="s">
        <v>3902</v>
      </c>
      <c r="AE163" s="55" t="s">
        <v>3095</v>
      </c>
      <c r="AF163" s="55" t="s">
        <v>3095</v>
      </c>
      <c r="AG163" s="55" t="s">
        <v>3095</v>
      </c>
      <c r="AH163" s="55" t="s">
        <v>3095</v>
      </c>
      <c r="AI163" s="55" t="s">
        <v>3095</v>
      </c>
      <c r="AJ163" s="55" t="s">
        <v>3095</v>
      </c>
      <c r="AK163" s="55" t="s">
        <v>3095</v>
      </c>
      <c r="AL163" s="55" t="s">
        <v>3095</v>
      </c>
      <c r="AM163" s="55" t="s">
        <v>3095</v>
      </c>
    </row>
    <row r="164" ht="45.0" customHeight="1">
      <c r="A164" s="55" t="s">
        <v>744</v>
      </c>
      <c r="B164" s="55" t="s">
        <v>3903</v>
      </c>
      <c r="C164" s="55" t="str">
        <f>IMAGE("https://raw.githubusercontent.com/ltdimages/images/refs/heads/main/Coordinate0309_00.png")</f>
        <v/>
      </c>
      <c r="D164" s="55" t="str">
        <f>IMAGE("https://raw.githubusercontent.com/ltdimages/images/refs/heads/main/Coordinate0309_01.png")</f>
        <v/>
      </c>
      <c r="E164" s="55" t="str">
        <f>IMAGE("https://raw.githubusercontent.com/ltdimages/images/refs/heads/main/Coordinate0309_02.png")</f>
        <v/>
      </c>
      <c r="F164" s="55" t="s">
        <v>3095</v>
      </c>
      <c r="G164" s="55" t="s">
        <v>3095</v>
      </c>
      <c r="H164" s="55" t="s">
        <v>3095</v>
      </c>
      <c r="I164" s="56" t="s">
        <v>3095</v>
      </c>
      <c r="J164" s="55" t="s">
        <v>3095</v>
      </c>
      <c r="K164" s="20" t="s">
        <v>3904</v>
      </c>
      <c r="L164" s="20" t="s">
        <v>3097</v>
      </c>
      <c r="M164" s="55" t="s">
        <v>3098</v>
      </c>
      <c r="N164" s="55" t="s">
        <v>3099</v>
      </c>
      <c r="O164" s="55" t="s">
        <v>45</v>
      </c>
      <c r="P164" s="55" t="s">
        <v>45</v>
      </c>
      <c r="Q164" s="55" t="s">
        <v>45</v>
      </c>
      <c r="R164" s="55" t="s">
        <v>49</v>
      </c>
      <c r="S164" s="55" t="s">
        <v>45</v>
      </c>
      <c r="T164" s="55" t="s">
        <v>45</v>
      </c>
      <c r="U164" s="55" t="s">
        <v>3905</v>
      </c>
      <c r="V164" s="55" t="s">
        <v>3095</v>
      </c>
      <c r="W164" s="55" t="s">
        <v>3906</v>
      </c>
      <c r="X164" s="55" t="s">
        <v>3907</v>
      </c>
      <c r="Y164" s="55" t="s">
        <v>3095</v>
      </c>
      <c r="Z164" s="55" t="s">
        <v>3352</v>
      </c>
      <c r="AA164" s="55" t="s">
        <v>3908</v>
      </c>
      <c r="AB164" s="55" t="s">
        <v>3095</v>
      </c>
      <c r="AC164" s="55" t="s">
        <v>3103</v>
      </c>
      <c r="AD164" s="55" t="s">
        <v>3909</v>
      </c>
      <c r="AE164" s="55" t="s">
        <v>3095</v>
      </c>
      <c r="AF164" s="55" t="s">
        <v>3095</v>
      </c>
      <c r="AG164" s="55" t="s">
        <v>3095</v>
      </c>
      <c r="AH164" s="55" t="s">
        <v>3095</v>
      </c>
      <c r="AI164" s="55" t="s">
        <v>3095</v>
      </c>
      <c r="AJ164" s="55" t="s">
        <v>3095</v>
      </c>
      <c r="AK164" s="55" t="s">
        <v>3095</v>
      </c>
      <c r="AL164" s="55" t="s">
        <v>3095</v>
      </c>
      <c r="AM164" s="55" t="s">
        <v>3095</v>
      </c>
    </row>
    <row r="165" ht="45.0" customHeight="1">
      <c r="A165" s="55" t="s">
        <v>748</v>
      </c>
      <c r="B165" s="55" t="s">
        <v>3910</v>
      </c>
      <c r="C165" s="55" t="str">
        <f>IMAGE("https://raw.githubusercontent.com/ltdimages/images/refs/heads/main/Coordinate0264_00.png")</f>
        <v/>
      </c>
      <c r="D165" s="55" t="str">
        <f>IMAGE("https://raw.githubusercontent.com/ltdimages/images/refs/heads/main/Coordinate0264_01.png")</f>
        <v/>
      </c>
      <c r="E165" s="55" t="s">
        <v>3095</v>
      </c>
      <c r="F165" s="55" t="s">
        <v>3095</v>
      </c>
      <c r="G165" s="55" t="s">
        <v>3095</v>
      </c>
      <c r="H165" s="55" t="s">
        <v>3095</v>
      </c>
      <c r="I165" s="56" t="s">
        <v>3095</v>
      </c>
      <c r="J165" s="55" t="s">
        <v>3095</v>
      </c>
      <c r="K165" s="20" t="s">
        <v>3911</v>
      </c>
      <c r="L165" s="20" t="s">
        <v>3097</v>
      </c>
      <c r="M165" s="55" t="s">
        <v>3131</v>
      </c>
      <c r="N165" s="55" t="s">
        <v>3099</v>
      </c>
      <c r="O165" s="55" t="s">
        <v>45</v>
      </c>
      <c r="P165" s="55" t="s">
        <v>45</v>
      </c>
      <c r="Q165" s="55" t="s">
        <v>45</v>
      </c>
      <c r="R165" s="55" t="s">
        <v>49</v>
      </c>
      <c r="S165" s="55" t="s">
        <v>45</v>
      </c>
      <c r="T165" s="55" t="s">
        <v>45</v>
      </c>
      <c r="U165" s="55" t="s">
        <v>3095</v>
      </c>
      <c r="V165" s="55" t="s">
        <v>3912</v>
      </c>
      <c r="W165" s="55" t="s">
        <v>3095</v>
      </c>
      <c r="X165" s="55" t="s">
        <v>3913</v>
      </c>
      <c r="Y165" s="55" t="s">
        <v>3095</v>
      </c>
      <c r="Z165" s="55" t="s">
        <v>3164</v>
      </c>
      <c r="AA165" s="55" t="s">
        <v>3165</v>
      </c>
      <c r="AB165" s="55" t="s">
        <v>3095</v>
      </c>
      <c r="AC165" s="55" t="s">
        <v>3110</v>
      </c>
      <c r="AD165" s="55" t="s">
        <v>3914</v>
      </c>
      <c r="AE165" s="55" t="s">
        <v>3095</v>
      </c>
      <c r="AF165" s="55" t="s">
        <v>3095</v>
      </c>
      <c r="AG165" s="55" t="s">
        <v>3095</v>
      </c>
      <c r="AH165" s="55" t="s">
        <v>3095</v>
      </c>
      <c r="AI165" s="55" t="s">
        <v>3095</v>
      </c>
      <c r="AJ165" s="55" t="s">
        <v>3095</v>
      </c>
      <c r="AK165" s="55" t="s">
        <v>3095</v>
      </c>
      <c r="AL165" s="55" t="s">
        <v>3095</v>
      </c>
      <c r="AM165" s="55" t="s">
        <v>3095</v>
      </c>
    </row>
    <row r="166" ht="45.0" customHeight="1">
      <c r="A166" s="55" t="s">
        <v>752</v>
      </c>
      <c r="B166" s="55" t="s">
        <v>3915</v>
      </c>
      <c r="C166" s="55" t="str">
        <f>IMAGE("https://raw.githubusercontent.com/ltdimages/images/refs/heads/main/Coordinate0324_00.png")</f>
        <v/>
      </c>
      <c r="D166" s="55" t="str">
        <f>IMAGE("https://raw.githubusercontent.com/ltdimages/images/refs/heads/main/Coordinate0324_01.png")</f>
        <v/>
      </c>
      <c r="E166" s="55" t="str">
        <f>IMAGE("https://raw.githubusercontent.com/ltdimages/images/refs/heads/main/Coordinate0324_02.png")</f>
        <v/>
      </c>
      <c r="F166" s="55" t="str">
        <f>IMAGE("https://raw.githubusercontent.com/ltdimages/images/refs/heads/main/Coordinate0324_03.png")</f>
        <v/>
      </c>
      <c r="G166" s="55" t="str">
        <f>IMAGE("https://raw.githubusercontent.com/ltdimages/images/refs/heads/main/Coordinate0324_04.png")</f>
        <v/>
      </c>
      <c r="H166" s="55" t="str">
        <f>IMAGE("https://raw.githubusercontent.com/ltdimages/images/refs/heads/main/Coordinate0324_05.png")</f>
        <v/>
      </c>
      <c r="I166" s="56" t="str">
        <f>IMAGE("https://raw.githubusercontent.com/ltdimages/images/refs/heads/main/Coordinate0324_06.png")</f>
        <v/>
      </c>
      <c r="J166" s="55" t="str">
        <f>IMAGE("https://raw.githubusercontent.com/ltdimages/images/refs/heads/main/Coordinate0324_07.png")</f>
        <v/>
      </c>
      <c r="K166" s="20" t="s">
        <v>3916</v>
      </c>
      <c r="L166" s="20" t="s">
        <v>3097</v>
      </c>
      <c r="M166" s="55" t="s">
        <v>3098</v>
      </c>
      <c r="N166" s="55" t="s">
        <v>3099</v>
      </c>
      <c r="O166" s="55" t="s">
        <v>45</v>
      </c>
      <c r="P166" s="55" t="s">
        <v>45</v>
      </c>
      <c r="Q166" s="55" t="s">
        <v>45</v>
      </c>
      <c r="R166" s="55" t="s">
        <v>45</v>
      </c>
      <c r="S166" s="55" t="s">
        <v>45</v>
      </c>
      <c r="T166" s="55" t="s">
        <v>45</v>
      </c>
      <c r="U166" s="55" t="s">
        <v>3917</v>
      </c>
      <c r="V166" s="55" t="s">
        <v>3095</v>
      </c>
      <c r="W166" s="55" t="s">
        <v>3476</v>
      </c>
      <c r="X166" s="55" t="s">
        <v>3918</v>
      </c>
      <c r="Y166" s="55" t="s">
        <v>3095</v>
      </c>
      <c r="Z166" s="55" t="s">
        <v>3477</v>
      </c>
      <c r="AA166" s="55" t="s">
        <v>3201</v>
      </c>
      <c r="AB166" s="55" t="s">
        <v>3095</v>
      </c>
      <c r="AC166" s="55" t="s">
        <v>3103</v>
      </c>
      <c r="AD166" s="55" t="s">
        <v>3919</v>
      </c>
      <c r="AE166" s="55" t="s">
        <v>3095</v>
      </c>
      <c r="AF166" s="55" t="s">
        <v>3095</v>
      </c>
      <c r="AG166" s="55" t="s">
        <v>3095</v>
      </c>
      <c r="AH166" s="55" t="s">
        <v>3095</v>
      </c>
      <c r="AI166" s="55" t="s">
        <v>3095</v>
      </c>
      <c r="AJ166" s="55" t="s">
        <v>3095</v>
      </c>
      <c r="AK166" s="55" t="s">
        <v>3095</v>
      </c>
      <c r="AL166" s="55" t="s">
        <v>3095</v>
      </c>
      <c r="AM166" s="55" t="s">
        <v>3095</v>
      </c>
    </row>
    <row r="167" ht="45.0" customHeight="1">
      <c r="A167" s="55" t="s">
        <v>756</v>
      </c>
      <c r="B167" s="55" t="s">
        <v>3920</v>
      </c>
      <c r="C167" s="55" t="str">
        <f>IMAGE("https://raw.githubusercontent.com/ltdimages/images/refs/heads/main/Coordinate0275_00.png")</f>
        <v/>
      </c>
      <c r="D167" s="55" t="str">
        <f>IMAGE("https://raw.githubusercontent.com/ltdimages/images/refs/heads/main/Coordinate0275_01.png")</f>
        <v/>
      </c>
      <c r="E167" s="55" t="str">
        <f>IMAGE("https://raw.githubusercontent.com/ltdimages/images/refs/heads/main/Coordinate0275_02.png")</f>
        <v/>
      </c>
      <c r="F167" s="55" t="str">
        <f>IMAGE("https://raw.githubusercontent.com/ltdimages/images/refs/heads/main/Coordinate0275_03.png")</f>
        <v/>
      </c>
      <c r="G167" s="55" t="str">
        <f>IMAGE("https://raw.githubusercontent.com/ltdimages/images/refs/heads/main/Coordinate0275_04.png")</f>
        <v/>
      </c>
      <c r="H167" s="55" t="str">
        <f>IMAGE("https://raw.githubusercontent.com/ltdimages/images/refs/heads/main/Coordinate0275_05.png")</f>
        <v/>
      </c>
      <c r="I167" s="56" t="str">
        <f>IMAGE("https://raw.githubusercontent.com/ltdimages/images/refs/heads/main/Coordinate0275_06.png")</f>
        <v/>
      </c>
      <c r="J167" s="55" t="str">
        <f>IMAGE("https://raw.githubusercontent.com/ltdimages/images/refs/heads/main/Coordinate0275_07.png")</f>
        <v/>
      </c>
      <c r="K167" s="20" t="s">
        <v>3921</v>
      </c>
      <c r="L167" s="20" t="s">
        <v>3097</v>
      </c>
      <c r="M167" s="55" t="s">
        <v>3131</v>
      </c>
      <c r="N167" s="55" t="s">
        <v>3099</v>
      </c>
      <c r="O167" s="55" t="s">
        <v>45</v>
      </c>
      <c r="P167" s="55" t="s">
        <v>45</v>
      </c>
      <c r="Q167" s="55" t="s">
        <v>45</v>
      </c>
      <c r="R167" s="55" t="s">
        <v>49</v>
      </c>
      <c r="S167" s="55" t="s">
        <v>45</v>
      </c>
      <c r="T167" s="55" t="s">
        <v>45</v>
      </c>
      <c r="U167" s="55" t="s">
        <v>3095</v>
      </c>
      <c r="V167" s="55" t="s">
        <v>3922</v>
      </c>
      <c r="W167" s="55" t="s">
        <v>3095</v>
      </c>
      <c r="X167" s="55" t="s">
        <v>3923</v>
      </c>
      <c r="Y167" s="55" t="s">
        <v>3924</v>
      </c>
      <c r="Z167" s="55" t="s">
        <v>3164</v>
      </c>
      <c r="AA167" s="55" t="s">
        <v>3550</v>
      </c>
      <c r="AB167" s="55" t="s">
        <v>3095</v>
      </c>
      <c r="AC167" s="55" t="s">
        <v>3110</v>
      </c>
      <c r="AD167" s="55" t="s">
        <v>3925</v>
      </c>
      <c r="AE167" s="55" t="s">
        <v>3095</v>
      </c>
      <c r="AF167" s="55" t="s">
        <v>3095</v>
      </c>
      <c r="AG167" s="55" t="s">
        <v>3095</v>
      </c>
      <c r="AH167" s="55" t="s">
        <v>3095</v>
      </c>
      <c r="AI167" s="55" t="s">
        <v>3095</v>
      </c>
      <c r="AJ167" s="55" t="s">
        <v>3095</v>
      </c>
      <c r="AK167" s="55" t="s">
        <v>3095</v>
      </c>
      <c r="AL167" s="55" t="s">
        <v>3095</v>
      </c>
      <c r="AM167" s="55" t="s">
        <v>3095</v>
      </c>
    </row>
    <row r="168" ht="45.0" customHeight="1">
      <c r="A168" s="55" t="s">
        <v>760</v>
      </c>
      <c r="B168" s="55" t="s">
        <v>3926</v>
      </c>
      <c r="C168" s="55" t="str">
        <f>IMAGE("https://raw.githubusercontent.com/ltdimages/images/refs/heads/main/Coordinate0305_00.png")</f>
        <v/>
      </c>
      <c r="D168" s="55" t="str">
        <f>IMAGE("https://raw.githubusercontent.com/ltdimages/images/refs/heads/main/Coordinate0305_01.png")</f>
        <v/>
      </c>
      <c r="E168" s="55" t="str">
        <f>IMAGE("https://raw.githubusercontent.com/ltdimages/images/refs/heads/main/Coordinate0305_02.png")</f>
        <v/>
      </c>
      <c r="F168" s="55" t="str">
        <f>IMAGE("https://raw.githubusercontent.com/ltdimages/images/refs/heads/main/Coordinate0305_03.png")</f>
        <v/>
      </c>
      <c r="G168" s="55" t="str">
        <f>IMAGE("https://raw.githubusercontent.com/ltdimages/images/refs/heads/main/Coordinate0305_04.png")</f>
        <v/>
      </c>
      <c r="H168" s="55" t="str">
        <f>IMAGE("https://raw.githubusercontent.com/ltdimages/images/refs/heads/main/Coordinate0305_05.png")</f>
        <v/>
      </c>
      <c r="I168" s="56" t="str">
        <f>IMAGE("https://raw.githubusercontent.com/ltdimages/images/refs/heads/main/Coordinate0305_06.png")</f>
        <v/>
      </c>
      <c r="J168" s="55" t="str">
        <f>IMAGE("https://raw.githubusercontent.com/ltdimages/images/refs/heads/main/Coordinate0305_07.png")</f>
        <v/>
      </c>
      <c r="K168" s="20" t="s">
        <v>3927</v>
      </c>
      <c r="L168" s="20" t="s">
        <v>3097</v>
      </c>
      <c r="M168" s="55" t="s">
        <v>2574</v>
      </c>
      <c r="N168" s="55" t="s">
        <v>3123</v>
      </c>
      <c r="O168" s="55" t="s">
        <v>45</v>
      </c>
      <c r="P168" s="55" t="s">
        <v>45</v>
      </c>
      <c r="Q168" s="55" t="s">
        <v>45</v>
      </c>
      <c r="R168" s="55" t="s">
        <v>49</v>
      </c>
      <c r="S168" s="55" t="s">
        <v>45</v>
      </c>
      <c r="T168" s="55" t="s">
        <v>45</v>
      </c>
      <c r="U168" s="55" t="s">
        <v>3095</v>
      </c>
      <c r="V168" s="55" t="s">
        <v>3928</v>
      </c>
      <c r="W168" s="55" t="s">
        <v>3095</v>
      </c>
      <c r="X168" s="55" t="s">
        <v>3929</v>
      </c>
      <c r="Y168" s="55" t="s">
        <v>3930</v>
      </c>
      <c r="Z168" s="55" t="s">
        <v>3095</v>
      </c>
      <c r="AA168" s="55" t="s">
        <v>3135</v>
      </c>
      <c r="AB168" s="55" t="s">
        <v>3095</v>
      </c>
      <c r="AC168" s="55" t="s">
        <v>3110</v>
      </c>
      <c r="AD168" s="55" t="s">
        <v>3931</v>
      </c>
      <c r="AE168" s="55" t="s">
        <v>3095</v>
      </c>
      <c r="AF168" s="55" t="s">
        <v>3095</v>
      </c>
      <c r="AG168" s="55" t="s">
        <v>3095</v>
      </c>
      <c r="AH168" s="55" t="s">
        <v>3095</v>
      </c>
      <c r="AI168" s="55" t="s">
        <v>3095</v>
      </c>
      <c r="AJ168" s="55" t="s">
        <v>3095</v>
      </c>
      <c r="AK168" s="55" t="s">
        <v>3095</v>
      </c>
      <c r="AL168" s="55" t="s">
        <v>3095</v>
      </c>
      <c r="AM168" s="55" t="s">
        <v>3095</v>
      </c>
    </row>
    <row r="169" ht="45.0" customHeight="1">
      <c r="A169" s="55" t="s">
        <v>765</v>
      </c>
      <c r="B169" s="55" t="s">
        <v>3932</v>
      </c>
      <c r="C169" s="55" t="str">
        <f>IMAGE("https://raw.githubusercontent.com/ltdimages/images/refs/heads/main/Coordinate0245_00.png")</f>
        <v/>
      </c>
      <c r="D169" s="55" t="str">
        <f>IMAGE("https://raw.githubusercontent.com/ltdimages/images/refs/heads/main/Coordinate0245_01.png")</f>
        <v/>
      </c>
      <c r="E169" s="55" t="str">
        <f>IMAGE("https://raw.githubusercontent.com/ltdimages/images/refs/heads/main/Coordinate0245_02.png")</f>
        <v/>
      </c>
      <c r="F169" s="55" t="str">
        <f>IMAGE("https://raw.githubusercontent.com/ltdimages/images/refs/heads/main/Coordinate0245_03.png")</f>
        <v/>
      </c>
      <c r="G169" s="55" t="str">
        <f>IMAGE("https://raw.githubusercontent.com/ltdimages/images/refs/heads/main/Coordinate0245_04.png")</f>
        <v/>
      </c>
      <c r="H169" s="55" t="str">
        <f>IMAGE("https://raw.githubusercontent.com/ltdimages/images/refs/heads/main/Coordinate0245_05.png")</f>
        <v/>
      </c>
      <c r="I169" s="56" t="s">
        <v>3095</v>
      </c>
      <c r="J169" s="55" t="s">
        <v>3095</v>
      </c>
      <c r="K169" s="20" t="s">
        <v>3933</v>
      </c>
      <c r="L169" s="20" t="s">
        <v>3097</v>
      </c>
      <c r="M169" s="55" t="s">
        <v>3098</v>
      </c>
      <c r="N169" s="55" t="s">
        <v>3099</v>
      </c>
      <c r="O169" s="55" t="s">
        <v>45</v>
      </c>
      <c r="P169" s="55" t="s">
        <v>45</v>
      </c>
      <c r="Q169" s="55" t="s">
        <v>45</v>
      </c>
      <c r="R169" s="55" t="s">
        <v>49</v>
      </c>
      <c r="S169" s="55" t="s">
        <v>49</v>
      </c>
      <c r="T169" s="55" t="s">
        <v>45</v>
      </c>
      <c r="U169" s="55" t="s">
        <v>3934</v>
      </c>
      <c r="V169" s="55" t="s">
        <v>3095</v>
      </c>
      <c r="W169" s="55" t="s">
        <v>3935</v>
      </c>
      <c r="X169" s="55" t="s">
        <v>3936</v>
      </c>
      <c r="Y169" s="55" t="s">
        <v>3758</v>
      </c>
      <c r="Z169" s="55" t="s">
        <v>3304</v>
      </c>
      <c r="AA169" s="55" t="s">
        <v>3937</v>
      </c>
      <c r="AB169" s="55" t="s">
        <v>3095</v>
      </c>
      <c r="AC169" s="55" t="s">
        <v>3103</v>
      </c>
      <c r="AD169" s="55" t="s">
        <v>3938</v>
      </c>
      <c r="AE169" s="55" t="s">
        <v>3095</v>
      </c>
      <c r="AF169" s="55" t="s">
        <v>3095</v>
      </c>
      <c r="AG169" s="55" t="s">
        <v>3095</v>
      </c>
      <c r="AH169" s="55" t="s">
        <v>3095</v>
      </c>
      <c r="AI169" s="55" t="s">
        <v>3095</v>
      </c>
      <c r="AJ169" s="55" t="s">
        <v>3095</v>
      </c>
      <c r="AK169" s="55" t="s">
        <v>3095</v>
      </c>
      <c r="AL169" s="55" t="s">
        <v>3095</v>
      </c>
      <c r="AM169" s="55" t="s">
        <v>3095</v>
      </c>
    </row>
    <row r="170" ht="45.0" customHeight="1">
      <c r="A170" s="55" t="s">
        <v>769</v>
      </c>
      <c r="B170" s="55" t="s">
        <v>3939</v>
      </c>
      <c r="C170" s="55" t="str">
        <f>IMAGE("https://raw.githubusercontent.com/ltdimages/images/refs/heads/main/Coordinate0113_00.png")</f>
        <v/>
      </c>
      <c r="D170" s="55" t="s">
        <v>3095</v>
      </c>
      <c r="E170" s="55" t="s">
        <v>3095</v>
      </c>
      <c r="F170" s="55" t="s">
        <v>3095</v>
      </c>
      <c r="G170" s="55" t="s">
        <v>3095</v>
      </c>
      <c r="H170" s="55" t="s">
        <v>3095</v>
      </c>
      <c r="I170" s="56" t="s">
        <v>3095</v>
      </c>
      <c r="J170" s="55" t="s">
        <v>3095</v>
      </c>
      <c r="K170" s="20" t="s">
        <v>3940</v>
      </c>
      <c r="L170" s="20" t="s">
        <v>3097</v>
      </c>
      <c r="M170" s="55" t="s">
        <v>3098</v>
      </c>
      <c r="N170" s="55" t="s">
        <v>3114</v>
      </c>
      <c r="O170" s="55" t="s">
        <v>45</v>
      </c>
      <c r="P170" s="55" t="s">
        <v>45</v>
      </c>
      <c r="Q170" s="55" t="s">
        <v>45</v>
      </c>
      <c r="R170" s="55" t="s">
        <v>49</v>
      </c>
      <c r="S170" s="55" t="s">
        <v>49</v>
      </c>
      <c r="T170" s="55" t="s">
        <v>45</v>
      </c>
      <c r="U170" s="55" t="s">
        <v>3941</v>
      </c>
      <c r="V170" s="55" t="s">
        <v>3095</v>
      </c>
      <c r="W170" s="55" t="s">
        <v>3942</v>
      </c>
      <c r="X170" s="55" t="s">
        <v>3628</v>
      </c>
      <c r="Y170" s="55" t="s">
        <v>3095</v>
      </c>
      <c r="Z170" s="55" t="s">
        <v>3200</v>
      </c>
      <c r="AA170" s="55" t="s">
        <v>3943</v>
      </c>
      <c r="AB170" s="55" t="s">
        <v>3095</v>
      </c>
      <c r="AC170" s="55" t="s">
        <v>3103</v>
      </c>
      <c r="AD170" s="55" t="s">
        <v>3944</v>
      </c>
      <c r="AE170" s="55" t="s">
        <v>3095</v>
      </c>
      <c r="AF170" s="55" t="s">
        <v>3095</v>
      </c>
      <c r="AG170" s="55" t="s">
        <v>3095</v>
      </c>
      <c r="AH170" s="55" t="s">
        <v>3095</v>
      </c>
      <c r="AI170" s="55" t="s">
        <v>3095</v>
      </c>
      <c r="AJ170" s="55" t="s">
        <v>3095</v>
      </c>
      <c r="AK170" s="55" t="s">
        <v>3095</v>
      </c>
      <c r="AL170" s="55" t="s">
        <v>3095</v>
      </c>
      <c r="AM170" s="55" t="s">
        <v>3095</v>
      </c>
    </row>
    <row r="171" ht="45.0" customHeight="1">
      <c r="A171" s="55" t="s">
        <v>774</v>
      </c>
      <c r="B171" s="55" t="s">
        <v>3945</v>
      </c>
      <c r="C171" s="55" t="str">
        <f>IMAGE("https://raw.githubusercontent.com/ltdimages/images/refs/heads/main/Coordinate0327_00.png")</f>
        <v/>
      </c>
      <c r="D171" s="55" t="str">
        <f>IMAGE("https://raw.githubusercontent.com/ltdimages/images/refs/heads/main/Coordinate0327_01.png")</f>
        <v/>
      </c>
      <c r="E171" s="55" t="str">
        <f>IMAGE("https://raw.githubusercontent.com/ltdimages/images/refs/heads/main/Coordinate0327_02.png")</f>
        <v/>
      </c>
      <c r="F171" s="55" t="str">
        <f>IMAGE("https://raw.githubusercontent.com/ltdimages/images/refs/heads/main/Coordinate0327_03.png")</f>
        <v/>
      </c>
      <c r="G171" s="55" t="str">
        <f>IMAGE("https://raw.githubusercontent.com/ltdimages/images/refs/heads/main/Coordinate0327_04.png")</f>
        <v/>
      </c>
      <c r="H171" s="55" t="str">
        <f>IMAGE("https://raw.githubusercontent.com/ltdimages/images/refs/heads/main/Coordinate0327_05.png")</f>
        <v/>
      </c>
      <c r="I171" s="56" t="str">
        <f>IMAGE("https://raw.githubusercontent.com/ltdimages/images/refs/heads/main/Coordinate0327_06.png")</f>
        <v/>
      </c>
      <c r="J171" s="55" t="str">
        <f>IMAGE("https://raw.githubusercontent.com/ltdimages/images/refs/heads/main/Coordinate0327_07.png")</f>
        <v/>
      </c>
      <c r="K171" s="20" t="s">
        <v>3946</v>
      </c>
      <c r="L171" s="20" t="s">
        <v>3097</v>
      </c>
      <c r="M171" s="55" t="s">
        <v>3098</v>
      </c>
      <c r="N171" s="55" t="s">
        <v>3099</v>
      </c>
      <c r="O171" s="55" t="s">
        <v>49</v>
      </c>
      <c r="P171" s="55" t="s">
        <v>45</v>
      </c>
      <c r="Q171" s="55" t="s">
        <v>45</v>
      </c>
      <c r="R171" s="55" t="s">
        <v>45</v>
      </c>
      <c r="S171" s="55" t="s">
        <v>45</v>
      </c>
      <c r="T171" s="55" t="s">
        <v>45</v>
      </c>
      <c r="U171" s="55" t="s">
        <v>3947</v>
      </c>
      <c r="V171" s="55" t="s">
        <v>3095</v>
      </c>
      <c r="W171" s="55" t="s">
        <v>3948</v>
      </c>
      <c r="X171" s="55" t="s">
        <v>3949</v>
      </c>
      <c r="Y171" s="55" t="s">
        <v>3950</v>
      </c>
      <c r="Z171" s="55" t="s">
        <v>3193</v>
      </c>
      <c r="AA171" s="55" t="s">
        <v>3951</v>
      </c>
      <c r="AB171" s="55" t="s">
        <v>3095</v>
      </c>
      <c r="AC171" s="55" t="s">
        <v>3952</v>
      </c>
      <c r="AD171" s="55" t="s">
        <v>3953</v>
      </c>
      <c r="AE171" s="55" t="s">
        <v>3095</v>
      </c>
      <c r="AF171" s="55" t="s">
        <v>3095</v>
      </c>
      <c r="AG171" s="55" t="s">
        <v>3095</v>
      </c>
      <c r="AH171" s="55" t="s">
        <v>3095</v>
      </c>
      <c r="AI171" s="55" t="s">
        <v>3095</v>
      </c>
      <c r="AJ171" s="55" t="s">
        <v>3095</v>
      </c>
      <c r="AK171" s="55" t="s">
        <v>3095</v>
      </c>
      <c r="AL171" s="55" t="s">
        <v>3095</v>
      </c>
      <c r="AM171" s="55" t="s">
        <v>3095</v>
      </c>
    </row>
    <row r="172" ht="45.0" customHeight="1">
      <c r="A172" s="55" t="s">
        <v>778</v>
      </c>
      <c r="B172" s="55" t="s">
        <v>3954</v>
      </c>
      <c r="C172" s="55" t="str">
        <f>IMAGE("https://raw.githubusercontent.com/ltdimages/images/refs/heads/main/Coordinate0080_00.png")</f>
        <v/>
      </c>
      <c r="D172" s="55" t="str">
        <f>IMAGE("https://raw.githubusercontent.com/ltdimages/images/refs/heads/main/Coordinate0080_01.png")</f>
        <v/>
      </c>
      <c r="E172" s="55" t="str">
        <f>IMAGE("https://raw.githubusercontent.com/ltdimages/images/refs/heads/main/Coordinate0080_02.png")</f>
        <v/>
      </c>
      <c r="F172" s="55" t="str">
        <f>IMAGE("https://raw.githubusercontent.com/ltdimages/images/refs/heads/main/Coordinate0080_03.png")</f>
        <v/>
      </c>
      <c r="G172" s="55" t="s">
        <v>3095</v>
      </c>
      <c r="H172" s="55" t="s">
        <v>3095</v>
      </c>
      <c r="I172" s="56" t="s">
        <v>3095</v>
      </c>
      <c r="J172" s="55" t="s">
        <v>3095</v>
      </c>
      <c r="K172" s="20" t="s">
        <v>3955</v>
      </c>
      <c r="L172" s="20" t="s">
        <v>3097</v>
      </c>
      <c r="M172" s="55" t="s">
        <v>3098</v>
      </c>
      <c r="N172" s="55" t="s">
        <v>3099</v>
      </c>
      <c r="O172" s="55" t="s">
        <v>49</v>
      </c>
      <c r="P172" s="55" t="s">
        <v>45</v>
      </c>
      <c r="Q172" s="55" t="s">
        <v>45</v>
      </c>
      <c r="R172" s="55" t="s">
        <v>45</v>
      </c>
      <c r="S172" s="55" t="s">
        <v>45</v>
      </c>
      <c r="T172" s="55" t="s">
        <v>45</v>
      </c>
      <c r="U172" s="55" t="s">
        <v>3956</v>
      </c>
      <c r="V172" s="55" t="s">
        <v>3095</v>
      </c>
      <c r="W172" s="55" t="s">
        <v>3581</v>
      </c>
      <c r="X172" s="55" t="s">
        <v>3949</v>
      </c>
      <c r="Y172" s="55" t="s">
        <v>3095</v>
      </c>
      <c r="Z172" s="55" t="s">
        <v>3118</v>
      </c>
      <c r="AA172" s="55" t="s">
        <v>3957</v>
      </c>
      <c r="AB172" s="55" t="s">
        <v>3095</v>
      </c>
      <c r="AC172" s="55" t="s">
        <v>3103</v>
      </c>
      <c r="AD172" s="55" t="s">
        <v>3958</v>
      </c>
      <c r="AE172" s="55" t="s">
        <v>3095</v>
      </c>
      <c r="AF172" s="55" t="s">
        <v>3095</v>
      </c>
      <c r="AG172" s="55" t="s">
        <v>3095</v>
      </c>
      <c r="AH172" s="55" t="s">
        <v>3095</v>
      </c>
      <c r="AI172" s="55" t="s">
        <v>3095</v>
      </c>
      <c r="AJ172" s="55" t="s">
        <v>3095</v>
      </c>
      <c r="AK172" s="55" t="s">
        <v>3095</v>
      </c>
      <c r="AL172" s="55" t="s">
        <v>3095</v>
      </c>
      <c r="AM172" s="55" t="s">
        <v>3095</v>
      </c>
    </row>
    <row r="173" ht="45.0" customHeight="1">
      <c r="A173" s="55" t="s">
        <v>782</v>
      </c>
      <c r="B173" s="55" t="s">
        <v>3959</v>
      </c>
      <c r="C173" s="55" t="str">
        <f>IMAGE("https://raw.githubusercontent.com/ltdimages/images/refs/heads/main/Coordinate0085_00.png")</f>
        <v/>
      </c>
      <c r="D173" s="55" t="s">
        <v>3095</v>
      </c>
      <c r="E173" s="55" t="s">
        <v>3095</v>
      </c>
      <c r="F173" s="55" t="s">
        <v>3095</v>
      </c>
      <c r="G173" s="55" t="s">
        <v>3095</v>
      </c>
      <c r="H173" s="55" t="s">
        <v>3095</v>
      </c>
      <c r="I173" s="56" t="s">
        <v>3095</v>
      </c>
      <c r="J173" s="55" t="s">
        <v>3095</v>
      </c>
      <c r="K173" s="20" t="s">
        <v>3960</v>
      </c>
      <c r="L173" s="20" t="s">
        <v>3097</v>
      </c>
      <c r="M173" s="55" t="s">
        <v>3098</v>
      </c>
      <c r="N173" s="55" t="s">
        <v>3099</v>
      </c>
      <c r="O173" s="55" t="s">
        <v>45</v>
      </c>
      <c r="P173" s="55" t="s">
        <v>45</v>
      </c>
      <c r="Q173" s="55" t="s">
        <v>45</v>
      </c>
      <c r="R173" s="55" t="s">
        <v>45</v>
      </c>
      <c r="S173" s="55" t="s">
        <v>45</v>
      </c>
      <c r="T173" s="55" t="s">
        <v>45</v>
      </c>
      <c r="U173" s="55" t="s">
        <v>3961</v>
      </c>
      <c r="V173" s="55" t="s">
        <v>3095</v>
      </c>
      <c r="W173" s="55" t="s">
        <v>3277</v>
      </c>
      <c r="X173" s="55" t="s">
        <v>3095</v>
      </c>
      <c r="Y173" s="55" t="s">
        <v>3095</v>
      </c>
      <c r="Z173" s="55" t="s">
        <v>3296</v>
      </c>
      <c r="AA173" s="55" t="s">
        <v>3157</v>
      </c>
      <c r="AB173" s="55" t="s">
        <v>3095</v>
      </c>
      <c r="AC173" s="55" t="s">
        <v>3103</v>
      </c>
      <c r="AD173" s="55" t="s">
        <v>3962</v>
      </c>
      <c r="AE173" s="55" t="s">
        <v>3095</v>
      </c>
      <c r="AF173" s="55" t="s">
        <v>3095</v>
      </c>
      <c r="AG173" s="55" t="s">
        <v>3095</v>
      </c>
      <c r="AH173" s="55" t="s">
        <v>3095</v>
      </c>
      <c r="AI173" s="55" t="s">
        <v>3095</v>
      </c>
      <c r="AJ173" s="55" t="s">
        <v>3095</v>
      </c>
      <c r="AK173" s="55" t="s">
        <v>3095</v>
      </c>
      <c r="AL173" s="55" t="s">
        <v>3095</v>
      </c>
      <c r="AM173" s="55" t="s">
        <v>3095</v>
      </c>
    </row>
    <row r="174" ht="45.0" customHeight="1">
      <c r="A174" s="55" t="s">
        <v>786</v>
      </c>
      <c r="B174" s="55" t="s">
        <v>3963</v>
      </c>
      <c r="C174" s="55" t="str">
        <f>IMAGE("https://raw.githubusercontent.com/ltdimages/images/refs/heads/main/Coordinate0227_00.png")</f>
        <v/>
      </c>
      <c r="D174" s="55" t="str">
        <f>IMAGE("https://raw.githubusercontent.com/ltdimages/images/refs/heads/main/Coordinate0227_01.png")</f>
        <v/>
      </c>
      <c r="E174" s="55" t="str">
        <f>IMAGE("https://raw.githubusercontent.com/ltdimages/images/refs/heads/main/Coordinate0227_02.png")</f>
        <v/>
      </c>
      <c r="F174" s="55" t="str">
        <f>IMAGE("https://raw.githubusercontent.com/ltdimages/images/refs/heads/main/Coordinate0227_03.png")</f>
        <v/>
      </c>
      <c r="G174" s="55" t="s">
        <v>3095</v>
      </c>
      <c r="H174" s="55" t="s">
        <v>3095</v>
      </c>
      <c r="I174" s="56" t="s">
        <v>3095</v>
      </c>
      <c r="J174" s="55" t="s">
        <v>3095</v>
      </c>
      <c r="K174" s="20" t="s">
        <v>3449</v>
      </c>
      <c r="L174" s="20" t="s">
        <v>3097</v>
      </c>
      <c r="M174" s="55" t="s">
        <v>2574</v>
      </c>
      <c r="N174" s="55" t="s">
        <v>3099</v>
      </c>
      <c r="O174" s="55" t="s">
        <v>45</v>
      </c>
      <c r="P174" s="55" t="s">
        <v>45</v>
      </c>
      <c r="Q174" s="55" t="s">
        <v>45</v>
      </c>
      <c r="R174" s="55" t="s">
        <v>49</v>
      </c>
      <c r="S174" s="55" t="s">
        <v>45</v>
      </c>
      <c r="T174" s="55" t="s">
        <v>45</v>
      </c>
      <c r="U174" s="55" t="s">
        <v>3095</v>
      </c>
      <c r="V174" s="55" t="s">
        <v>3095</v>
      </c>
      <c r="W174" s="55" t="s">
        <v>3095</v>
      </c>
      <c r="X174" s="55" t="s">
        <v>3964</v>
      </c>
      <c r="Y174" s="55" t="s">
        <v>3095</v>
      </c>
      <c r="Z174" s="55" t="s">
        <v>3095</v>
      </c>
      <c r="AA174" s="55" t="s">
        <v>3095</v>
      </c>
      <c r="AB174" s="55" t="s">
        <v>3965</v>
      </c>
      <c r="AC174" s="55" t="s">
        <v>3099</v>
      </c>
      <c r="AD174" s="55" t="s">
        <v>3966</v>
      </c>
      <c r="AE174" s="55" t="s">
        <v>3095</v>
      </c>
      <c r="AF174" s="55" t="s">
        <v>3095</v>
      </c>
      <c r="AG174" s="55" t="s">
        <v>3095</v>
      </c>
      <c r="AH174" s="55" t="s">
        <v>3095</v>
      </c>
      <c r="AI174" s="55" t="s">
        <v>3095</v>
      </c>
      <c r="AJ174" s="55" t="s">
        <v>3095</v>
      </c>
      <c r="AK174" s="55" t="s">
        <v>3095</v>
      </c>
      <c r="AL174" s="55" t="s">
        <v>3095</v>
      </c>
      <c r="AM174" s="55" t="s">
        <v>3095</v>
      </c>
    </row>
    <row r="175" ht="45.0" customHeight="1">
      <c r="A175" s="55" t="s">
        <v>790</v>
      </c>
      <c r="B175" s="55" t="s">
        <v>3967</v>
      </c>
      <c r="C175" s="55" t="str">
        <f>IMAGE("https://raw.githubusercontent.com/ltdimages/images/refs/heads/main/Coordinate0135_00.png")</f>
        <v/>
      </c>
      <c r="D175" s="55" t="str">
        <f>IMAGE("https://raw.githubusercontent.com/ltdimages/images/refs/heads/main/Coordinate0135_01.png")</f>
        <v/>
      </c>
      <c r="E175" s="55" t="str">
        <f>IMAGE("https://raw.githubusercontent.com/ltdimages/images/refs/heads/main/Coordinate0135_02.png")</f>
        <v/>
      </c>
      <c r="F175" s="55" t="str">
        <f>IMAGE("https://raw.githubusercontent.com/ltdimages/images/refs/heads/main/Coordinate0135_03.png")</f>
        <v/>
      </c>
      <c r="G175" s="55" t="str">
        <f>IMAGE("https://raw.githubusercontent.com/ltdimages/images/refs/heads/main/Coordinate0135_04.png")</f>
        <v/>
      </c>
      <c r="H175" s="55" t="str">
        <f>IMAGE("https://raw.githubusercontent.com/ltdimages/images/refs/heads/main/Coordinate0135_05.png")</f>
        <v/>
      </c>
      <c r="I175" s="56" t="s">
        <v>3095</v>
      </c>
      <c r="J175" s="55" t="s">
        <v>3095</v>
      </c>
      <c r="K175" s="20" t="s">
        <v>3968</v>
      </c>
      <c r="L175" s="20" t="s">
        <v>3097</v>
      </c>
      <c r="M175" s="55" t="s">
        <v>3098</v>
      </c>
      <c r="N175" s="55" t="s">
        <v>3123</v>
      </c>
      <c r="O175" s="55" t="s">
        <v>45</v>
      </c>
      <c r="P175" s="55" t="s">
        <v>45</v>
      </c>
      <c r="Q175" s="55" t="s">
        <v>45</v>
      </c>
      <c r="R175" s="55" t="s">
        <v>45</v>
      </c>
      <c r="S175" s="55" t="s">
        <v>45</v>
      </c>
      <c r="T175" s="55" t="s">
        <v>45</v>
      </c>
      <c r="U175" s="55" t="s">
        <v>3969</v>
      </c>
      <c r="V175" s="55" t="s">
        <v>3095</v>
      </c>
      <c r="W175" s="55" t="s">
        <v>3264</v>
      </c>
      <c r="X175" s="55" t="s">
        <v>3095</v>
      </c>
      <c r="Y175" s="55" t="s">
        <v>3095</v>
      </c>
      <c r="Z175" s="55" t="s">
        <v>3156</v>
      </c>
      <c r="AA175" s="55" t="s">
        <v>3157</v>
      </c>
      <c r="AB175" s="55" t="s">
        <v>3095</v>
      </c>
      <c r="AC175" s="55" t="s">
        <v>3103</v>
      </c>
      <c r="AD175" s="55" t="s">
        <v>3970</v>
      </c>
      <c r="AE175" s="55" t="s">
        <v>3095</v>
      </c>
      <c r="AF175" s="55" t="s">
        <v>3095</v>
      </c>
      <c r="AG175" s="55" t="s">
        <v>3095</v>
      </c>
      <c r="AH175" s="55" t="s">
        <v>3095</v>
      </c>
      <c r="AI175" s="55" t="s">
        <v>3095</v>
      </c>
      <c r="AJ175" s="55" t="s">
        <v>3095</v>
      </c>
      <c r="AK175" s="55" t="s">
        <v>3095</v>
      </c>
      <c r="AL175" s="55" t="s">
        <v>3095</v>
      </c>
      <c r="AM175" s="55" t="s">
        <v>3095</v>
      </c>
    </row>
    <row r="176" ht="45.0" customHeight="1">
      <c r="A176" s="55" t="s">
        <v>794</v>
      </c>
      <c r="B176" s="55" t="s">
        <v>3971</v>
      </c>
      <c r="C176" s="55" t="str">
        <f>IMAGE("https://raw.githubusercontent.com/ltdimages/images/refs/heads/main/Coordinate0256_00.png")</f>
        <v/>
      </c>
      <c r="D176" s="55" t="str">
        <f>IMAGE("https://raw.githubusercontent.com/ltdimages/images/refs/heads/main/Coordinate0256_01.png")</f>
        <v/>
      </c>
      <c r="E176" s="55" t="str">
        <f>IMAGE("https://raw.githubusercontent.com/ltdimages/images/refs/heads/main/Coordinate0256_02.png")</f>
        <v/>
      </c>
      <c r="F176" s="55" t="str">
        <f>IMAGE("https://raw.githubusercontent.com/ltdimages/images/refs/heads/main/Coordinate0256_03.png")</f>
        <v/>
      </c>
      <c r="G176" s="55" t="str">
        <f>IMAGE("https://raw.githubusercontent.com/ltdimages/images/refs/heads/main/Coordinate0256_04.png")</f>
        <v/>
      </c>
      <c r="H176" s="55" t="str">
        <f>IMAGE("https://raw.githubusercontent.com/ltdimages/images/refs/heads/main/Coordinate0256_05.png")</f>
        <v/>
      </c>
      <c r="I176" s="56" t="s">
        <v>3095</v>
      </c>
      <c r="J176" s="55" t="s">
        <v>3095</v>
      </c>
      <c r="K176" s="20" t="s">
        <v>3972</v>
      </c>
      <c r="L176" s="20" t="s">
        <v>3097</v>
      </c>
      <c r="M176" s="55" t="s">
        <v>3098</v>
      </c>
      <c r="N176" s="55" t="s">
        <v>3114</v>
      </c>
      <c r="O176" s="55" t="s">
        <v>45</v>
      </c>
      <c r="P176" s="55" t="s">
        <v>45</v>
      </c>
      <c r="Q176" s="55" t="s">
        <v>45</v>
      </c>
      <c r="R176" s="55" t="s">
        <v>45</v>
      </c>
      <c r="S176" s="55" t="s">
        <v>45</v>
      </c>
      <c r="T176" s="55" t="s">
        <v>45</v>
      </c>
      <c r="U176" s="55" t="s">
        <v>3973</v>
      </c>
      <c r="V176" s="55" t="s">
        <v>3095</v>
      </c>
      <c r="W176" s="55" t="s">
        <v>3359</v>
      </c>
      <c r="X176" s="55" t="s">
        <v>3974</v>
      </c>
      <c r="Y176" s="55" t="s">
        <v>3095</v>
      </c>
      <c r="Z176" s="55" t="s">
        <v>3177</v>
      </c>
      <c r="AA176" s="55" t="s">
        <v>3752</v>
      </c>
      <c r="AB176" s="55" t="s">
        <v>3095</v>
      </c>
      <c r="AC176" s="55" t="s">
        <v>3103</v>
      </c>
      <c r="AD176" s="55" t="s">
        <v>3975</v>
      </c>
      <c r="AE176" s="55" t="s">
        <v>3095</v>
      </c>
      <c r="AF176" s="55" t="s">
        <v>3095</v>
      </c>
      <c r="AG176" s="55" t="s">
        <v>3095</v>
      </c>
      <c r="AH176" s="55" t="s">
        <v>3095</v>
      </c>
      <c r="AI176" s="55" t="s">
        <v>3095</v>
      </c>
      <c r="AJ176" s="55" t="s">
        <v>3095</v>
      </c>
      <c r="AK176" s="55" t="s">
        <v>3095</v>
      </c>
      <c r="AL176" s="55" t="s">
        <v>3095</v>
      </c>
      <c r="AM176" s="55" t="s">
        <v>3095</v>
      </c>
    </row>
    <row r="177" ht="45.0" customHeight="1">
      <c r="A177" s="55" t="s">
        <v>798</v>
      </c>
      <c r="B177" s="55" t="s">
        <v>3976</v>
      </c>
      <c r="C177" s="55" t="str">
        <f>IMAGE("https://raw.githubusercontent.com/ltdimages/images/refs/heads/main/Coordinate0195_00.png")</f>
        <v/>
      </c>
      <c r="D177" s="55" t="str">
        <f>IMAGE("https://raw.githubusercontent.com/ltdimages/images/refs/heads/main/Coordinate0195_01.png")</f>
        <v/>
      </c>
      <c r="E177" s="55" t="str">
        <f>IMAGE("https://raw.githubusercontent.com/ltdimages/images/refs/heads/main/Coordinate0195_02.png")</f>
        <v/>
      </c>
      <c r="F177" s="55" t="str">
        <f>IMAGE("https://raw.githubusercontent.com/ltdimages/images/refs/heads/main/Coordinate0195_03.png")</f>
        <v/>
      </c>
      <c r="G177" s="55" t="s">
        <v>3095</v>
      </c>
      <c r="H177" s="55" t="s">
        <v>3095</v>
      </c>
      <c r="I177" s="56" t="s">
        <v>3095</v>
      </c>
      <c r="J177" s="55" t="s">
        <v>3095</v>
      </c>
      <c r="K177" s="20" t="s">
        <v>3977</v>
      </c>
      <c r="L177" s="20" t="s">
        <v>3097</v>
      </c>
      <c r="M177" s="55" t="s">
        <v>2574</v>
      </c>
      <c r="N177" s="55" t="s">
        <v>3099</v>
      </c>
      <c r="O177" s="55" t="s">
        <v>45</v>
      </c>
      <c r="P177" s="55" t="s">
        <v>45</v>
      </c>
      <c r="Q177" s="55" t="s">
        <v>45</v>
      </c>
      <c r="R177" s="55" t="s">
        <v>49</v>
      </c>
      <c r="S177" s="55" t="s">
        <v>45</v>
      </c>
      <c r="T177" s="55" t="s">
        <v>45</v>
      </c>
      <c r="U177" s="55" t="s">
        <v>3095</v>
      </c>
      <c r="V177" s="55" t="s">
        <v>3095</v>
      </c>
      <c r="W177" s="55" t="s">
        <v>3095</v>
      </c>
      <c r="X177" s="55" t="s">
        <v>3978</v>
      </c>
      <c r="Y177" s="55" t="s">
        <v>3095</v>
      </c>
      <c r="Z177" s="55" t="s">
        <v>3095</v>
      </c>
      <c r="AA177" s="55" t="s">
        <v>3095</v>
      </c>
      <c r="AB177" s="55" t="s">
        <v>3979</v>
      </c>
      <c r="AC177" s="55" t="s">
        <v>3099</v>
      </c>
      <c r="AD177" s="55" t="s">
        <v>3980</v>
      </c>
      <c r="AE177" s="55" t="s">
        <v>3095</v>
      </c>
      <c r="AF177" s="55" t="s">
        <v>3095</v>
      </c>
      <c r="AG177" s="55" t="s">
        <v>3095</v>
      </c>
      <c r="AH177" s="55" t="s">
        <v>3095</v>
      </c>
      <c r="AI177" s="55" t="s">
        <v>3095</v>
      </c>
      <c r="AJ177" s="55" t="s">
        <v>3095</v>
      </c>
      <c r="AK177" s="55" t="s">
        <v>3095</v>
      </c>
      <c r="AL177" s="55" t="s">
        <v>3095</v>
      </c>
      <c r="AM177" s="55" t="s">
        <v>3095</v>
      </c>
    </row>
    <row r="178" ht="45.0" customHeight="1">
      <c r="A178" s="55" t="s">
        <v>802</v>
      </c>
      <c r="B178" s="55" t="s">
        <v>3981</v>
      </c>
      <c r="C178" s="55" t="str">
        <f>IMAGE("https://raw.githubusercontent.com/ltdimages/images/refs/heads/main/Coordinate0167_00.png")</f>
        <v/>
      </c>
      <c r="D178" s="55" t="str">
        <f>IMAGE("https://raw.githubusercontent.com/ltdimages/images/refs/heads/main/Coordinate0167_01.png")</f>
        <v/>
      </c>
      <c r="E178" s="55" t="str">
        <f>IMAGE("https://raw.githubusercontent.com/ltdimages/images/refs/heads/main/Coordinate0167_02.png")</f>
        <v/>
      </c>
      <c r="F178" s="55" t="str">
        <f>IMAGE("https://raw.githubusercontent.com/ltdimages/images/refs/heads/main/Coordinate0167_03.png")</f>
        <v/>
      </c>
      <c r="G178" s="55" t="str">
        <f>IMAGE("https://raw.githubusercontent.com/ltdimages/images/refs/heads/main/Coordinate0167_04.png")</f>
        <v/>
      </c>
      <c r="H178" s="55" t="str">
        <f>IMAGE("https://raw.githubusercontent.com/ltdimages/images/refs/heads/main/Coordinate0167_05.png")</f>
        <v/>
      </c>
      <c r="I178" s="56" t="s">
        <v>3095</v>
      </c>
      <c r="J178" s="55" t="s">
        <v>3095</v>
      </c>
      <c r="K178" s="20" t="s">
        <v>3982</v>
      </c>
      <c r="L178" s="20" t="s">
        <v>3097</v>
      </c>
      <c r="M178" s="55" t="s">
        <v>3098</v>
      </c>
      <c r="N178" s="55" t="s">
        <v>3114</v>
      </c>
      <c r="O178" s="55" t="s">
        <v>45</v>
      </c>
      <c r="P178" s="55" t="s">
        <v>45</v>
      </c>
      <c r="Q178" s="55" t="s">
        <v>45</v>
      </c>
      <c r="R178" s="55" t="s">
        <v>45</v>
      </c>
      <c r="S178" s="55" t="s">
        <v>45</v>
      </c>
      <c r="T178" s="55" t="s">
        <v>45</v>
      </c>
      <c r="U178" s="55" t="s">
        <v>3983</v>
      </c>
      <c r="V178" s="55" t="s">
        <v>3095</v>
      </c>
      <c r="W178" s="55" t="s">
        <v>3984</v>
      </c>
      <c r="X178" s="55" t="s">
        <v>3985</v>
      </c>
      <c r="Y178" s="55" t="s">
        <v>3095</v>
      </c>
      <c r="Z178" s="55" t="s">
        <v>3986</v>
      </c>
      <c r="AA178" s="55" t="s">
        <v>3987</v>
      </c>
      <c r="AB178" s="55" t="s">
        <v>3095</v>
      </c>
      <c r="AC178" s="55" t="s">
        <v>3103</v>
      </c>
      <c r="AD178" s="55" t="s">
        <v>3988</v>
      </c>
      <c r="AE178" s="55" t="s">
        <v>3095</v>
      </c>
      <c r="AF178" s="55" t="s">
        <v>3095</v>
      </c>
      <c r="AG178" s="55" t="s">
        <v>3095</v>
      </c>
      <c r="AH178" s="55" t="s">
        <v>3095</v>
      </c>
      <c r="AI178" s="55" t="s">
        <v>3095</v>
      </c>
      <c r="AJ178" s="55" t="s">
        <v>3095</v>
      </c>
      <c r="AK178" s="55" t="s">
        <v>3095</v>
      </c>
      <c r="AL178" s="55" t="s">
        <v>3095</v>
      </c>
      <c r="AM178" s="55" t="s">
        <v>3095</v>
      </c>
    </row>
    <row r="179" ht="45.0" customHeight="1">
      <c r="A179" s="55" t="s">
        <v>806</v>
      </c>
      <c r="B179" s="55" t="s">
        <v>3989</v>
      </c>
      <c r="C179" s="55" t="str">
        <f>IMAGE("https://raw.githubusercontent.com/ltdimages/images/refs/heads/main/Coordinate0235_00.png")</f>
        <v/>
      </c>
      <c r="D179" s="55" t="str">
        <f>IMAGE("https://raw.githubusercontent.com/ltdimages/images/refs/heads/main/Coordinate0235_01.png")</f>
        <v/>
      </c>
      <c r="E179" s="55" t="str">
        <f>IMAGE("https://raw.githubusercontent.com/ltdimages/images/refs/heads/main/Coordinate0235_02.png")</f>
        <v/>
      </c>
      <c r="F179" s="55" t="str">
        <f>IMAGE("https://raw.githubusercontent.com/ltdimages/images/refs/heads/main/Coordinate0235_03.png")</f>
        <v/>
      </c>
      <c r="G179" s="55" t="s">
        <v>3095</v>
      </c>
      <c r="H179" s="55" t="s">
        <v>3095</v>
      </c>
      <c r="I179" s="56" t="s">
        <v>3095</v>
      </c>
      <c r="J179" s="55" t="s">
        <v>3095</v>
      </c>
      <c r="K179" s="20" t="s">
        <v>3716</v>
      </c>
      <c r="L179" s="20" t="s">
        <v>3097</v>
      </c>
      <c r="M179" s="55" t="s">
        <v>3098</v>
      </c>
      <c r="N179" s="55" t="s">
        <v>3099</v>
      </c>
      <c r="O179" s="55" t="s">
        <v>45</v>
      </c>
      <c r="P179" s="55" t="s">
        <v>45</v>
      </c>
      <c r="Q179" s="55" t="s">
        <v>45</v>
      </c>
      <c r="R179" s="55" t="s">
        <v>45</v>
      </c>
      <c r="S179" s="55" t="s">
        <v>45</v>
      </c>
      <c r="T179" s="55" t="s">
        <v>45</v>
      </c>
      <c r="U179" s="55" t="s">
        <v>3860</v>
      </c>
      <c r="V179" s="55" t="s">
        <v>3095</v>
      </c>
      <c r="W179" s="55" t="s">
        <v>3990</v>
      </c>
      <c r="X179" s="55" t="s">
        <v>3095</v>
      </c>
      <c r="Y179" s="55" t="s">
        <v>3991</v>
      </c>
      <c r="Z179" s="55" t="s">
        <v>3200</v>
      </c>
      <c r="AA179" s="55" t="s">
        <v>3178</v>
      </c>
      <c r="AB179" s="55" t="s">
        <v>3095</v>
      </c>
      <c r="AC179" s="55" t="s">
        <v>3103</v>
      </c>
      <c r="AD179" s="55" t="s">
        <v>3992</v>
      </c>
      <c r="AE179" s="55" t="s">
        <v>3095</v>
      </c>
      <c r="AF179" s="55" t="s">
        <v>3095</v>
      </c>
      <c r="AG179" s="55" t="s">
        <v>3095</v>
      </c>
      <c r="AH179" s="55" t="s">
        <v>3095</v>
      </c>
      <c r="AI179" s="55" t="s">
        <v>3095</v>
      </c>
      <c r="AJ179" s="55" t="s">
        <v>3095</v>
      </c>
      <c r="AK179" s="55" t="s">
        <v>3095</v>
      </c>
      <c r="AL179" s="55" t="s">
        <v>3095</v>
      </c>
      <c r="AM179" s="55" t="s">
        <v>3095</v>
      </c>
    </row>
    <row r="180" ht="45.0" customHeight="1">
      <c r="A180" s="55" t="s">
        <v>810</v>
      </c>
      <c r="B180" s="55" t="s">
        <v>3993</v>
      </c>
      <c r="C180" s="55" t="str">
        <f>IMAGE("https://raw.githubusercontent.com/ltdimages/images/refs/heads/main/Coordinate0246_00.png")</f>
        <v/>
      </c>
      <c r="D180" s="55" t="str">
        <f>IMAGE("https://raw.githubusercontent.com/ltdimages/images/refs/heads/main/Coordinate0246_01.png")</f>
        <v/>
      </c>
      <c r="E180" s="55" t="str">
        <f>IMAGE("https://raw.githubusercontent.com/ltdimages/images/refs/heads/main/Coordinate0246_02.png")</f>
        <v/>
      </c>
      <c r="F180" s="55" t="str">
        <f>IMAGE("https://raw.githubusercontent.com/ltdimages/images/refs/heads/main/Coordinate0246_03.png")</f>
        <v/>
      </c>
      <c r="G180" s="55" t="str">
        <f>IMAGE("https://raw.githubusercontent.com/ltdimages/images/refs/heads/main/Coordinate0246_04.png")</f>
        <v/>
      </c>
      <c r="H180" s="55" t="str">
        <f>IMAGE("https://raw.githubusercontent.com/ltdimages/images/refs/heads/main/Coordinate0246_05.png")</f>
        <v/>
      </c>
      <c r="I180" s="56" t="s">
        <v>3095</v>
      </c>
      <c r="J180" s="55" t="s">
        <v>3095</v>
      </c>
      <c r="K180" s="20" t="s">
        <v>3994</v>
      </c>
      <c r="L180" s="20" t="s">
        <v>3097</v>
      </c>
      <c r="M180" s="55" t="s">
        <v>3098</v>
      </c>
      <c r="N180" s="55" t="s">
        <v>3099</v>
      </c>
      <c r="O180" s="55" t="s">
        <v>45</v>
      </c>
      <c r="P180" s="55" t="s">
        <v>45</v>
      </c>
      <c r="Q180" s="55" t="s">
        <v>45</v>
      </c>
      <c r="R180" s="55" t="s">
        <v>45</v>
      </c>
      <c r="S180" s="55" t="s">
        <v>45</v>
      </c>
      <c r="T180" s="55" t="s">
        <v>45</v>
      </c>
      <c r="U180" s="55" t="s">
        <v>3995</v>
      </c>
      <c r="V180" s="55" t="s">
        <v>3095</v>
      </c>
      <c r="W180" s="55" t="s">
        <v>3996</v>
      </c>
      <c r="X180" s="55" t="s">
        <v>3095</v>
      </c>
      <c r="Y180" s="55" t="s">
        <v>3095</v>
      </c>
      <c r="Z180" s="55" t="s">
        <v>3296</v>
      </c>
      <c r="AA180" s="55" t="s">
        <v>3201</v>
      </c>
      <c r="AB180" s="55" t="s">
        <v>3095</v>
      </c>
      <c r="AC180" s="55" t="s">
        <v>3103</v>
      </c>
      <c r="AD180" s="55" t="s">
        <v>3997</v>
      </c>
      <c r="AE180" s="55" t="s">
        <v>3095</v>
      </c>
      <c r="AF180" s="55" t="s">
        <v>3095</v>
      </c>
      <c r="AG180" s="55" t="s">
        <v>3095</v>
      </c>
      <c r="AH180" s="55" t="s">
        <v>3095</v>
      </c>
      <c r="AI180" s="55" t="s">
        <v>3095</v>
      </c>
      <c r="AJ180" s="55" t="s">
        <v>3095</v>
      </c>
      <c r="AK180" s="55" t="s">
        <v>3095</v>
      </c>
      <c r="AL180" s="55" t="s">
        <v>3095</v>
      </c>
      <c r="AM180" s="55" t="s">
        <v>3095</v>
      </c>
    </row>
    <row r="181" ht="45.0" customHeight="1">
      <c r="A181" s="55" t="s">
        <v>814</v>
      </c>
      <c r="B181" s="55" t="s">
        <v>3998</v>
      </c>
      <c r="C181" s="55" t="str">
        <f>IMAGE("https://raw.githubusercontent.com/ltdimages/images/refs/heads/main/Coordinate0150_00.png")</f>
        <v/>
      </c>
      <c r="D181" s="55" t="str">
        <f>IMAGE("https://raw.githubusercontent.com/ltdimages/images/refs/heads/main/Coordinate0150_01.png")</f>
        <v/>
      </c>
      <c r="E181" s="55" t="str">
        <f>IMAGE("https://raw.githubusercontent.com/ltdimages/images/refs/heads/main/Coordinate0150_02.png")</f>
        <v/>
      </c>
      <c r="F181" s="55" t="str">
        <f>IMAGE("https://raw.githubusercontent.com/ltdimages/images/refs/heads/main/Coordinate0150_03.png")</f>
        <v/>
      </c>
      <c r="G181" s="55" t="str">
        <f>IMAGE("https://raw.githubusercontent.com/ltdimages/images/refs/heads/main/Coordinate0150_04.png")</f>
        <v/>
      </c>
      <c r="H181" s="55" t="str">
        <f>IMAGE("https://raw.githubusercontent.com/ltdimages/images/refs/heads/main/Coordinate0150_05.png")</f>
        <v/>
      </c>
      <c r="I181" s="56" t="str">
        <f>IMAGE("https://raw.githubusercontent.com/ltdimages/images/refs/heads/main/Coordinate0150_06.png")</f>
        <v/>
      </c>
      <c r="J181" s="55" t="str">
        <f>IMAGE("https://raw.githubusercontent.com/ltdimages/images/refs/heads/main/Coordinate0150_07.png")</f>
        <v/>
      </c>
      <c r="K181" s="20" t="s">
        <v>3999</v>
      </c>
      <c r="L181" s="20" t="s">
        <v>3097</v>
      </c>
      <c r="M181" s="55" t="s">
        <v>3098</v>
      </c>
      <c r="N181" s="55" t="s">
        <v>3123</v>
      </c>
      <c r="O181" s="55" t="s">
        <v>45</v>
      </c>
      <c r="P181" s="55" t="s">
        <v>45</v>
      </c>
      <c r="Q181" s="55" t="s">
        <v>45</v>
      </c>
      <c r="R181" s="55" t="s">
        <v>45</v>
      </c>
      <c r="S181" s="55" t="s">
        <v>45</v>
      </c>
      <c r="T181" s="55" t="s">
        <v>45</v>
      </c>
      <c r="U181" s="55" t="s">
        <v>4000</v>
      </c>
      <c r="V181" s="55" t="s">
        <v>3095</v>
      </c>
      <c r="W181" s="55" t="s">
        <v>4001</v>
      </c>
      <c r="X181" s="55" t="s">
        <v>3095</v>
      </c>
      <c r="Y181" s="55" t="s">
        <v>4002</v>
      </c>
      <c r="Z181" s="55" t="s">
        <v>3095</v>
      </c>
      <c r="AA181" s="55" t="s">
        <v>3135</v>
      </c>
      <c r="AB181" s="55" t="s">
        <v>3095</v>
      </c>
      <c r="AC181" s="55" t="s">
        <v>3103</v>
      </c>
      <c r="AD181" s="55" t="s">
        <v>4003</v>
      </c>
      <c r="AE181" s="55" t="s">
        <v>3095</v>
      </c>
      <c r="AF181" s="55" t="s">
        <v>3095</v>
      </c>
      <c r="AG181" s="55" t="s">
        <v>3095</v>
      </c>
      <c r="AH181" s="55" t="s">
        <v>3095</v>
      </c>
      <c r="AI181" s="55" t="s">
        <v>3095</v>
      </c>
      <c r="AJ181" s="55" t="s">
        <v>3095</v>
      </c>
      <c r="AK181" s="55" t="s">
        <v>3095</v>
      </c>
      <c r="AL181" s="55" t="s">
        <v>3095</v>
      </c>
      <c r="AM181" s="55" t="s">
        <v>3095</v>
      </c>
    </row>
    <row r="182" ht="45.0" customHeight="1">
      <c r="A182" s="55" t="s">
        <v>818</v>
      </c>
      <c r="B182" s="55" t="s">
        <v>4004</v>
      </c>
      <c r="C182" s="55" t="str">
        <f>IMAGE("https://raw.githubusercontent.com/ltdimages/images/refs/heads/main/Coordinate0065_00.png")</f>
        <v/>
      </c>
      <c r="D182" s="55" t="str">
        <f>IMAGE("https://raw.githubusercontent.com/ltdimages/images/refs/heads/main/Coordinate0065_01.png")</f>
        <v/>
      </c>
      <c r="E182" s="55" t="str">
        <f>IMAGE("https://raw.githubusercontent.com/ltdimages/images/refs/heads/main/Coordinate0065_02.png")</f>
        <v/>
      </c>
      <c r="F182" s="55" t="str">
        <f>IMAGE("https://raw.githubusercontent.com/ltdimages/images/refs/heads/main/Coordinate0065_03.png")</f>
        <v/>
      </c>
      <c r="G182" s="55" t="str">
        <f>IMAGE("https://raw.githubusercontent.com/ltdimages/images/refs/heads/main/Coordinate0065_04.png")</f>
        <v/>
      </c>
      <c r="H182" s="55" t="str">
        <f>IMAGE("https://raw.githubusercontent.com/ltdimages/images/refs/heads/main/Coordinate0065_05.png")</f>
        <v/>
      </c>
      <c r="I182" s="56" t="s">
        <v>3095</v>
      </c>
      <c r="J182" s="55" t="s">
        <v>3095</v>
      </c>
      <c r="K182" s="20" t="s">
        <v>3573</v>
      </c>
      <c r="L182" s="20" t="s">
        <v>3097</v>
      </c>
      <c r="M182" s="55" t="s">
        <v>3098</v>
      </c>
      <c r="N182" s="55" t="s">
        <v>3123</v>
      </c>
      <c r="O182" s="55" t="s">
        <v>45</v>
      </c>
      <c r="P182" s="55" t="s">
        <v>45</v>
      </c>
      <c r="Q182" s="55" t="s">
        <v>45</v>
      </c>
      <c r="R182" s="55" t="s">
        <v>45</v>
      </c>
      <c r="S182" s="55" t="s">
        <v>45</v>
      </c>
      <c r="T182" s="55" t="s">
        <v>45</v>
      </c>
      <c r="U182" s="55" t="s">
        <v>4005</v>
      </c>
      <c r="V182" s="55" t="s">
        <v>3095</v>
      </c>
      <c r="W182" s="55" t="s">
        <v>4006</v>
      </c>
      <c r="X182" s="55" t="s">
        <v>3095</v>
      </c>
      <c r="Y182" s="55" t="s">
        <v>3095</v>
      </c>
      <c r="Z182" s="55" t="s">
        <v>3193</v>
      </c>
      <c r="AA182" s="55" t="s">
        <v>3222</v>
      </c>
      <c r="AB182" s="55" t="s">
        <v>3095</v>
      </c>
      <c r="AC182" s="55" t="s">
        <v>3103</v>
      </c>
      <c r="AD182" s="55" t="s">
        <v>4007</v>
      </c>
      <c r="AE182" s="55" t="s">
        <v>3095</v>
      </c>
      <c r="AF182" s="55" t="s">
        <v>3095</v>
      </c>
      <c r="AG182" s="55" t="s">
        <v>3095</v>
      </c>
      <c r="AH182" s="55" t="s">
        <v>3095</v>
      </c>
      <c r="AI182" s="55" t="s">
        <v>3095</v>
      </c>
      <c r="AJ182" s="55" t="s">
        <v>3095</v>
      </c>
      <c r="AK182" s="55" t="s">
        <v>3095</v>
      </c>
      <c r="AL182" s="55" t="s">
        <v>3095</v>
      </c>
      <c r="AM182" s="55" t="s">
        <v>3095</v>
      </c>
    </row>
    <row r="183" ht="45.0" customHeight="1">
      <c r="A183" s="55" t="s">
        <v>822</v>
      </c>
      <c r="B183" s="55" t="s">
        <v>4008</v>
      </c>
      <c r="C183" s="55" t="str">
        <f>IMAGE("https://raw.githubusercontent.com/ltdimages/images/refs/heads/main/Coordinate0334_00.png")</f>
        <v/>
      </c>
      <c r="D183" s="55" t="str">
        <f>IMAGE("https://raw.githubusercontent.com/ltdimages/images/refs/heads/main/Coordinate0334_01.png")</f>
        <v/>
      </c>
      <c r="E183" s="55" t="str">
        <f>IMAGE("https://raw.githubusercontent.com/ltdimages/images/refs/heads/main/Coordinate0334_02.png")</f>
        <v/>
      </c>
      <c r="F183" s="55" t="str">
        <f>IMAGE("https://raw.githubusercontent.com/ltdimages/images/refs/heads/main/Coordinate0334_03.png")</f>
        <v/>
      </c>
      <c r="G183" s="55" t="str">
        <f>IMAGE("https://raw.githubusercontent.com/ltdimages/images/refs/heads/main/Coordinate0334_04.png")</f>
        <v/>
      </c>
      <c r="H183" s="55" t="str">
        <f>IMAGE("https://raw.githubusercontent.com/ltdimages/images/refs/heads/main/Coordinate0334_05.png")</f>
        <v/>
      </c>
      <c r="I183" s="56" t="str">
        <f>IMAGE("https://raw.githubusercontent.com/ltdimages/images/refs/heads/main/Coordinate0334_06.png")</f>
        <v/>
      </c>
      <c r="J183" s="55" t="str">
        <f>IMAGE("https://raw.githubusercontent.com/ltdimages/images/refs/heads/main/Coordinate0334_07.png")</f>
        <v/>
      </c>
      <c r="K183" s="20" t="s">
        <v>3469</v>
      </c>
      <c r="L183" s="20" t="s">
        <v>3097</v>
      </c>
      <c r="M183" s="55" t="s">
        <v>2574</v>
      </c>
      <c r="N183" s="55" t="s">
        <v>3123</v>
      </c>
      <c r="O183" s="55" t="s">
        <v>45</v>
      </c>
      <c r="P183" s="55" t="s">
        <v>45</v>
      </c>
      <c r="Q183" s="55" t="s">
        <v>49</v>
      </c>
      <c r="R183" s="55" t="s">
        <v>45</v>
      </c>
      <c r="S183" s="55" t="s">
        <v>45</v>
      </c>
      <c r="T183" s="55" t="s">
        <v>45</v>
      </c>
      <c r="U183" s="55" t="s">
        <v>3095</v>
      </c>
      <c r="V183" s="55" t="s">
        <v>4009</v>
      </c>
      <c r="W183" s="55" t="s">
        <v>3095</v>
      </c>
      <c r="X183" s="55" t="s">
        <v>4010</v>
      </c>
      <c r="Y183" s="55" t="s">
        <v>4011</v>
      </c>
      <c r="Z183" s="55" t="s">
        <v>3095</v>
      </c>
      <c r="AA183" s="55" t="s">
        <v>4012</v>
      </c>
      <c r="AB183" s="55" t="s">
        <v>3095</v>
      </c>
      <c r="AC183" s="55" t="s">
        <v>3110</v>
      </c>
      <c r="AD183" s="55" t="s">
        <v>4013</v>
      </c>
      <c r="AE183" s="55" t="s">
        <v>3095</v>
      </c>
      <c r="AF183" s="55" t="s">
        <v>3095</v>
      </c>
      <c r="AG183" s="55" t="s">
        <v>3095</v>
      </c>
      <c r="AH183" s="55" t="s">
        <v>3095</v>
      </c>
      <c r="AI183" s="55" t="s">
        <v>3095</v>
      </c>
      <c r="AJ183" s="55" t="s">
        <v>3095</v>
      </c>
      <c r="AK183" s="55" t="s">
        <v>3095</v>
      </c>
      <c r="AL183" s="55" t="s">
        <v>3095</v>
      </c>
      <c r="AM183" s="55" t="s">
        <v>3095</v>
      </c>
    </row>
    <row r="184" ht="45.0" customHeight="1">
      <c r="A184" s="55" t="s">
        <v>826</v>
      </c>
      <c r="B184" s="57" t="s">
        <v>4014</v>
      </c>
      <c r="C184" s="57" t="str">
        <f>IMAGE("https://raw.githubusercontent.com/ltdimages/images/refs/heads/main/Coordinate0105_00.png")</f>
        <v/>
      </c>
      <c r="D184" s="57" t="s">
        <v>3095</v>
      </c>
      <c r="E184" s="57" t="s">
        <v>3095</v>
      </c>
      <c r="F184" s="57" t="s">
        <v>3095</v>
      </c>
      <c r="G184" s="57" t="s">
        <v>3095</v>
      </c>
      <c r="H184" s="57" t="s">
        <v>3095</v>
      </c>
      <c r="I184" s="56" t="s">
        <v>3095</v>
      </c>
      <c r="J184" s="57" t="s">
        <v>3095</v>
      </c>
      <c r="K184" s="20" t="s">
        <v>3449</v>
      </c>
      <c r="L184" s="20" t="s">
        <v>3097</v>
      </c>
      <c r="M184" s="57" t="s">
        <v>2574</v>
      </c>
      <c r="N184" s="57" t="s">
        <v>3114</v>
      </c>
      <c r="O184" s="57" t="s">
        <v>45</v>
      </c>
      <c r="P184" s="57" t="s">
        <v>45</v>
      </c>
      <c r="Q184" s="57" t="s">
        <v>45</v>
      </c>
      <c r="R184" s="57" t="s">
        <v>49</v>
      </c>
      <c r="S184" s="57" t="s">
        <v>45</v>
      </c>
      <c r="T184" s="57" t="s">
        <v>45</v>
      </c>
      <c r="U184" s="57" t="s">
        <v>3095</v>
      </c>
      <c r="V184" s="57" t="s">
        <v>3095</v>
      </c>
      <c r="W184" s="57" t="s">
        <v>3095</v>
      </c>
      <c r="X184" s="57" t="s">
        <v>4015</v>
      </c>
      <c r="Y184" s="57" t="s">
        <v>3095</v>
      </c>
      <c r="Z184" s="55" t="s">
        <v>3095</v>
      </c>
      <c r="AA184" s="55" t="s">
        <v>3095</v>
      </c>
      <c r="AB184" s="55" t="s">
        <v>4016</v>
      </c>
      <c r="AC184" s="55" t="s">
        <v>3099</v>
      </c>
      <c r="AD184" s="55" t="s">
        <v>4017</v>
      </c>
      <c r="AE184" s="55" t="s">
        <v>3095</v>
      </c>
      <c r="AF184" s="55" t="s">
        <v>3095</v>
      </c>
      <c r="AG184" s="55" t="s">
        <v>3095</v>
      </c>
      <c r="AH184" s="55" t="s">
        <v>3095</v>
      </c>
      <c r="AI184" s="55" t="s">
        <v>3095</v>
      </c>
      <c r="AJ184" s="55" t="s">
        <v>3095</v>
      </c>
      <c r="AK184" s="55" t="s">
        <v>3095</v>
      </c>
      <c r="AL184" s="55" t="s">
        <v>3095</v>
      </c>
      <c r="AM184" s="55" t="s">
        <v>3095</v>
      </c>
    </row>
    <row r="185" ht="45.0" customHeight="1">
      <c r="A185" s="55" t="s">
        <v>830</v>
      </c>
      <c r="B185" s="55" t="s">
        <v>4018</v>
      </c>
      <c r="C185" s="55" t="str">
        <f>IMAGE("https://raw.githubusercontent.com/ltdimages/images/refs/heads/main/Coordinate0239_00.png")</f>
        <v/>
      </c>
      <c r="D185" s="55" t="str">
        <f>IMAGE("https://raw.githubusercontent.com/ltdimages/images/refs/heads/main/Coordinate0239_01.png")</f>
        <v/>
      </c>
      <c r="E185" s="55" t="str">
        <f>IMAGE("https://raw.githubusercontent.com/ltdimages/images/refs/heads/main/Coordinate0239_02.png")</f>
        <v/>
      </c>
      <c r="F185" s="55" t="str">
        <f>IMAGE("https://raw.githubusercontent.com/ltdimages/images/refs/heads/main/Coordinate0239_03.png")</f>
        <v/>
      </c>
      <c r="G185" s="55" t="str">
        <f>IMAGE("https://raw.githubusercontent.com/ltdimages/images/refs/heads/main/Coordinate0239_04.png")</f>
        <v/>
      </c>
      <c r="H185" s="55" t="str">
        <f>IMAGE("https://raw.githubusercontent.com/ltdimages/images/refs/heads/main/Coordinate0239_05.png")</f>
        <v/>
      </c>
      <c r="I185" s="56" t="str">
        <f>IMAGE("https://raw.githubusercontent.com/ltdimages/images/refs/heads/main/Coordinate0239_06.png")</f>
        <v/>
      </c>
      <c r="J185" s="55" t="str">
        <f>IMAGE("https://raw.githubusercontent.com/ltdimages/images/refs/heads/main/Coordinate0239_07.png")</f>
        <v/>
      </c>
      <c r="K185" s="20" t="s">
        <v>3840</v>
      </c>
      <c r="L185" s="20" t="s">
        <v>3097</v>
      </c>
      <c r="M185" s="55" t="s">
        <v>3098</v>
      </c>
      <c r="N185" s="55" t="s">
        <v>3099</v>
      </c>
      <c r="O185" s="55" t="s">
        <v>45</v>
      </c>
      <c r="P185" s="55" t="s">
        <v>45</v>
      </c>
      <c r="Q185" s="55" t="s">
        <v>45</v>
      </c>
      <c r="R185" s="55" t="s">
        <v>45</v>
      </c>
      <c r="S185" s="55" t="s">
        <v>45</v>
      </c>
      <c r="T185" s="55" t="s">
        <v>45</v>
      </c>
      <c r="U185" s="55" t="s">
        <v>4019</v>
      </c>
      <c r="V185" s="55" t="s">
        <v>3095</v>
      </c>
      <c r="W185" s="55" t="s">
        <v>4020</v>
      </c>
      <c r="X185" s="55" t="s">
        <v>3095</v>
      </c>
      <c r="Y185" s="55" t="s">
        <v>3095</v>
      </c>
      <c r="Z185" s="55" t="s">
        <v>3200</v>
      </c>
      <c r="AA185" s="55" t="s">
        <v>3201</v>
      </c>
      <c r="AB185" s="55" t="s">
        <v>3095</v>
      </c>
      <c r="AC185" s="55" t="s">
        <v>3103</v>
      </c>
      <c r="AD185" s="55" t="s">
        <v>4021</v>
      </c>
      <c r="AE185" s="55" t="s">
        <v>3095</v>
      </c>
      <c r="AF185" s="55" t="s">
        <v>3095</v>
      </c>
      <c r="AG185" s="55" t="s">
        <v>3095</v>
      </c>
      <c r="AH185" s="55" t="s">
        <v>3095</v>
      </c>
      <c r="AI185" s="55" t="s">
        <v>3095</v>
      </c>
      <c r="AJ185" s="55" t="s">
        <v>3095</v>
      </c>
      <c r="AK185" s="55" t="s">
        <v>3095</v>
      </c>
      <c r="AL185" s="55" t="s">
        <v>3095</v>
      </c>
      <c r="AM185" s="55" t="s">
        <v>3095</v>
      </c>
    </row>
    <row r="186" ht="45.0" customHeight="1">
      <c r="A186" s="55" t="s">
        <v>835</v>
      </c>
      <c r="B186" s="55" t="s">
        <v>4022</v>
      </c>
      <c r="C186" s="55" t="str">
        <f>IMAGE("https://raw.githubusercontent.com/ltdimages/images/refs/heads/main/Coordinate0319_00.png")</f>
        <v/>
      </c>
      <c r="D186" s="55" t="str">
        <f>IMAGE("https://raw.githubusercontent.com/ltdimages/images/refs/heads/main/Coordinate0319_01.png")</f>
        <v/>
      </c>
      <c r="E186" s="55" t="str">
        <f>IMAGE("https://raw.githubusercontent.com/ltdimages/images/refs/heads/main/Coordinate0319_02.png")</f>
        <v/>
      </c>
      <c r="F186" s="55" t="str">
        <f>IMAGE("https://raw.githubusercontent.com/ltdimages/images/refs/heads/main/Coordinate0319_03.png")</f>
        <v/>
      </c>
      <c r="G186" s="55" t="str">
        <f>IMAGE("https://raw.githubusercontent.com/ltdimages/images/refs/heads/main/Coordinate0319_04.png")</f>
        <v/>
      </c>
      <c r="H186" s="55" t="str">
        <f>IMAGE("https://raw.githubusercontent.com/ltdimages/images/refs/heads/main/Coordinate0319_05.png")</f>
        <v/>
      </c>
      <c r="I186" s="56" t="str">
        <f>IMAGE("https://raw.githubusercontent.com/ltdimages/images/refs/heads/main/Coordinate0319_06.png")</f>
        <v/>
      </c>
      <c r="J186" s="55" t="str">
        <f>IMAGE("https://raw.githubusercontent.com/ltdimages/images/refs/heads/main/Coordinate0319_07.png")</f>
        <v/>
      </c>
      <c r="K186" s="20" t="s">
        <v>4023</v>
      </c>
      <c r="L186" s="20" t="s">
        <v>3097</v>
      </c>
      <c r="M186" s="55" t="s">
        <v>2574</v>
      </c>
      <c r="N186" s="55" t="s">
        <v>3099</v>
      </c>
      <c r="O186" s="55" t="s">
        <v>45</v>
      </c>
      <c r="P186" s="55" t="s">
        <v>45</v>
      </c>
      <c r="Q186" s="55" t="s">
        <v>45</v>
      </c>
      <c r="R186" s="55" t="s">
        <v>49</v>
      </c>
      <c r="S186" s="55" t="s">
        <v>45</v>
      </c>
      <c r="T186" s="55" t="s">
        <v>45</v>
      </c>
      <c r="U186" s="55" t="s">
        <v>3095</v>
      </c>
      <c r="V186" s="55" t="s">
        <v>3095</v>
      </c>
      <c r="W186" s="55" t="s">
        <v>3095</v>
      </c>
      <c r="X186" s="55" t="s">
        <v>4024</v>
      </c>
      <c r="Y186" s="55" t="s">
        <v>3095</v>
      </c>
      <c r="Z186" s="55" t="s">
        <v>3095</v>
      </c>
      <c r="AA186" s="55" t="s">
        <v>3095</v>
      </c>
      <c r="AB186" s="55" t="s">
        <v>4025</v>
      </c>
      <c r="AC186" s="55" t="s">
        <v>3099</v>
      </c>
      <c r="AD186" s="55" t="s">
        <v>4026</v>
      </c>
      <c r="AE186" s="55" t="s">
        <v>3095</v>
      </c>
      <c r="AF186" s="55" t="s">
        <v>3095</v>
      </c>
      <c r="AG186" s="55" t="s">
        <v>3095</v>
      </c>
      <c r="AH186" s="55" t="s">
        <v>3095</v>
      </c>
      <c r="AI186" s="55" t="s">
        <v>3095</v>
      </c>
      <c r="AJ186" s="55" t="s">
        <v>3095</v>
      </c>
      <c r="AK186" s="55" t="s">
        <v>3095</v>
      </c>
      <c r="AL186" s="55" t="s">
        <v>3095</v>
      </c>
      <c r="AM186" s="55" t="s">
        <v>3095</v>
      </c>
    </row>
    <row r="187" ht="45.0" customHeight="1">
      <c r="A187" s="55" t="s">
        <v>839</v>
      </c>
      <c r="B187" s="55" t="s">
        <v>4027</v>
      </c>
      <c r="C187" s="55" t="str">
        <f>IMAGE("https://raw.githubusercontent.com/ltdimages/images/refs/heads/main/Coordinate0316_00.png")</f>
        <v/>
      </c>
      <c r="D187" s="55" t="str">
        <f>IMAGE("https://raw.githubusercontent.com/ltdimages/images/refs/heads/main/Coordinate0316_01.png")</f>
        <v/>
      </c>
      <c r="E187" s="55" t="str">
        <f>IMAGE("https://raw.githubusercontent.com/ltdimages/images/refs/heads/main/Coordinate0316_02.png")</f>
        <v/>
      </c>
      <c r="F187" s="55" t="str">
        <f>IMAGE("https://raw.githubusercontent.com/ltdimages/images/refs/heads/main/Coordinate0316_03.png")</f>
        <v/>
      </c>
      <c r="G187" s="55" t="str">
        <f>IMAGE("https://raw.githubusercontent.com/ltdimages/images/refs/heads/main/Coordinate0316_04.png")</f>
        <v/>
      </c>
      <c r="H187" s="55" t="str">
        <f>IMAGE("https://raw.githubusercontent.com/ltdimages/images/refs/heads/main/Coordinate0316_05.png")</f>
        <v/>
      </c>
      <c r="I187" s="56" t="str">
        <f>IMAGE("https://raw.githubusercontent.com/ltdimages/images/refs/heads/main/Coordinate0316_06.png")</f>
        <v/>
      </c>
      <c r="J187" s="55" t="str">
        <f>IMAGE("https://raw.githubusercontent.com/ltdimages/images/refs/heads/main/Coordinate0316_07.png")</f>
        <v/>
      </c>
      <c r="K187" s="20" t="s">
        <v>4028</v>
      </c>
      <c r="L187" s="20" t="s">
        <v>3097</v>
      </c>
      <c r="M187" s="55" t="s">
        <v>2574</v>
      </c>
      <c r="N187" s="55" t="s">
        <v>3099</v>
      </c>
      <c r="O187" s="55" t="s">
        <v>45</v>
      </c>
      <c r="P187" s="55" t="s">
        <v>45</v>
      </c>
      <c r="Q187" s="55" t="s">
        <v>45</v>
      </c>
      <c r="R187" s="55" t="s">
        <v>49</v>
      </c>
      <c r="S187" s="55" t="s">
        <v>45</v>
      </c>
      <c r="T187" s="55" t="s">
        <v>45</v>
      </c>
      <c r="U187" s="55" t="s">
        <v>3095</v>
      </c>
      <c r="V187" s="55" t="s">
        <v>3095</v>
      </c>
      <c r="W187" s="55" t="s">
        <v>3095</v>
      </c>
      <c r="X187" s="55" t="s">
        <v>4029</v>
      </c>
      <c r="Y187" s="55" t="s">
        <v>3095</v>
      </c>
      <c r="Z187" s="55" t="s">
        <v>3095</v>
      </c>
      <c r="AA187" s="55" t="s">
        <v>3095</v>
      </c>
      <c r="AB187" s="55" t="s">
        <v>4030</v>
      </c>
      <c r="AC187" s="55" t="s">
        <v>3244</v>
      </c>
      <c r="AD187" s="55" t="s">
        <v>4031</v>
      </c>
      <c r="AE187" s="55" t="s">
        <v>3095</v>
      </c>
      <c r="AF187" s="55" t="s">
        <v>3095</v>
      </c>
      <c r="AG187" s="55" t="s">
        <v>3095</v>
      </c>
      <c r="AH187" s="55" t="s">
        <v>3095</v>
      </c>
      <c r="AI187" s="55" t="s">
        <v>3095</v>
      </c>
      <c r="AJ187" s="55" t="s">
        <v>3095</v>
      </c>
      <c r="AK187" s="55" t="s">
        <v>3095</v>
      </c>
      <c r="AL187" s="55" t="s">
        <v>3095</v>
      </c>
      <c r="AM187" s="55" t="s">
        <v>3095</v>
      </c>
    </row>
    <row r="188" ht="45.0" customHeight="1">
      <c r="A188" s="55" t="s">
        <v>844</v>
      </c>
      <c r="B188" s="55" t="s">
        <v>4032</v>
      </c>
      <c r="C188" s="55" t="str">
        <f>IMAGE("https://raw.githubusercontent.com/ltdimages/images/refs/heads/main/Coordinate0191_00.png")</f>
        <v/>
      </c>
      <c r="D188" s="55" t="str">
        <f>IMAGE("https://raw.githubusercontent.com/ltdimages/images/refs/heads/main/Coordinate0191_01.png")</f>
        <v/>
      </c>
      <c r="E188" s="55" t="str">
        <f>IMAGE("https://raw.githubusercontent.com/ltdimages/images/refs/heads/main/Coordinate0191_02.png")</f>
        <v/>
      </c>
      <c r="F188" s="55" t="str">
        <f>IMAGE("https://raw.githubusercontent.com/ltdimages/images/refs/heads/main/Coordinate0191_03.png")</f>
        <v/>
      </c>
      <c r="G188" s="55" t="s">
        <v>3095</v>
      </c>
      <c r="H188" s="55" t="s">
        <v>3095</v>
      </c>
      <c r="I188" s="56" t="s">
        <v>3095</v>
      </c>
      <c r="J188" s="55" t="s">
        <v>3095</v>
      </c>
      <c r="K188" s="20" t="s">
        <v>3573</v>
      </c>
      <c r="L188" s="20" t="s">
        <v>3097</v>
      </c>
      <c r="M188" s="55" t="s">
        <v>2574</v>
      </c>
      <c r="N188" s="55" t="s">
        <v>3099</v>
      </c>
      <c r="O188" s="55" t="s">
        <v>45</v>
      </c>
      <c r="P188" s="55" t="s">
        <v>45</v>
      </c>
      <c r="Q188" s="55" t="s">
        <v>45</v>
      </c>
      <c r="R188" s="55" t="s">
        <v>49</v>
      </c>
      <c r="S188" s="55" t="s">
        <v>45</v>
      </c>
      <c r="T188" s="55" t="s">
        <v>45</v>
      </c>
      <c r="U188" s="55" t="s">
        <v>3095</v>
      </c>
      <c r="V188" s="55" t="s">
        <v>3095</v>
      </c>
      <c r="W188" s="55" t="s">
        <v>3095</v>
      </c>
      <c r="X188" s="55" t="s">
        <v>4033</v>
      </c>
      <c r="Y188" s="55" t="s">
        <v>3095</v>
      </c>
      <c r="Z188" s="55" t="s">
        <v>3095</v>
      </c>
      <c r="AA188" s="55" t="s">
        <v>3095</v>
      </c>
      <c r="AB188" s="55" t="s">
        <v>3269</v>
      </c>
      <c r="AC188" s="55" t="s">
        <v>3099</v>
      </c>
      <c r="AD188" s="55" t="s">
        <v>4034</v>
      </c>
      <c r="AE188" s="55" t="s">
        <v>3095</v>
      </c>
      <c r="AF188" s="55" t="s">
        <v>3095</v>
      </c>
      <c r="AG188" s="55" t="s">
        <v>3095</v>
      </c>
      <c r="AH188" s="55" t="s">
        <v>3095</v>
      </c>
      <c r="AI188" s="55" t="s">
        <v>3095</v>
      </c>
      <c r="AJ188" s="55" t="s">
        <v>3095</v>
      </c>
      <c r="AK188" s="55" t="s">
        <v>3095</v>
      </c>
      <c r="AL188" s="55" t="s">
        <v>3095</v>
      </c>
      <c r="AM188" s="55" t="s">
        <v>3095</v>
      </c>
    </row>
    <row r="189" ht="45.0" customHeight="1">
      <c r="A189" s="55" t="s">
        <v>848</v>
      </c>
      <c r="B189" s="55" t="s">
        <v>4035</v>
      </c>
      <c r="C189" s="55" t="str">
        <f>IMAGE("https://raw.githubusercontent.com/ltdimages/images/refs/heads/main/Coordinate0331_00.png")</f>
        <v/>
      </c>
      <c r="D189" s="55" t="s">
        <v>3095</v>
      </c>
      <c r="E189" s="55" t="s">
        <v>3095</v>
      </c>
      <c r="F189" s="55" t="s">
        <v>3095</v>
      </c>
      <c r="G189" s="55" t="s">
        <v>3095</v>
      </c>
      <c r="H189" s="55" t="s">
        <v>3095</v>
      </c>
      <c r="I189" s="56" t="s">
        <v>3095</v>
      </c>
      <c r="J189" s="55" t="s">
        <v>3095</v>
      </c>
      <c r="K189" s="20" t="s">
        <v>3197</v>
      </c>
      <c r="L189" s="20" t="s">
        <v>3097</v>
      </c>
      <c r="M189" s="55" t="s">
        <v>2574</v>
      </c>
      <c r="N189" s="55" t="s">
        <v>3099</v>
      </c>
      <c r="O189" s="55" t="s">
        <v>45</v>
      </c>
      <c r="P189" s="55" t="s">
        <v>45</v>
      </c>
      <c r="Q189" s="55" t="s">
        <v>45</v>
      </c>
      <c r="R189" s="55" t="s">
        <v>49</v>
      </c>
      <c r="S189" s="55" t="s">
        <v>45</v>
      </c>
      <c r="T189" s="55" t="s">
        <v>45</v>
      </c>
      <c r="U189" s="55" t="s">
        <v>3095</v>
      </c>
      <c r="V189" s="55" t="s">
        <v>3095</v>
      </c>
      <c r="W189" s="55" t="s">
        <v>3095</v>
      </c>
      <c r="X189" s="55" t="s">
        <v>4036</v>
      </c>
      <c r="Y189" s="55" t="s">
        <v>3095</v>
      </c>
      <c r="Z189" s="55" t="s">
        <v>3095</v>
      </c>
      <c r="AA189" s="55" t="s">
        <v>3095</v>
      </c>
      <c r="AB189" s="55" t="s">
        <v>3269</v>
      </c>
      <c r="AC189" s="55" t="s">
        <v>3244</v>
      </c>
      <c r="AD189" s="55" t="s">
        <v>4037</v>
      </c>
      <c r="AE189" s="55" t="s">
        <v>3095</v>
      </c>
      <c r="AF189" s="55" t="s">
        <v>3095</v>
      </c>
      <c r="AG189" s="55" t="s">
        <v>3095</v>
      </c>
      <c r="AH189" s="55" t="s">
        <v>3095</v>
      </c>
      <c r="AI189" s="55" t="s">
        <v>3095</v>
      </c>
      <c r="AJ189" s="55" t="s">
        <v>3095</v>
      </c>
      <c r="AK189" s="55" t="s">
        <v>3095</v>
      </c>
      <c r="AL189" s="55" t="s">
        <v>3095</v>
      </c>
      <c r="AM189" s="55" t="s">
        <v>3095</v>
      </c>
    </row>
    <row r="190" ht="45.0" customHeight="1">
      <c r="A190" s="55" t="s">
        <v>852</v>
      </c>
      <c r="B190" s="55" t="s">
        <v>4038</v>
      </c>
      <c r="C190" s="55" t="str">
        <f>IMAGE("https://raw.githubusercontent.com/ltdimages/images/refs/heads/main/Coordinate0052_00.png")</f>
        <v/>
      </c>
      <c r="D190" s="55" t="str">
        <f>IMAGE("https://raw.githubusercontent.com/ltdimages/images/refs/heads/main/Coordinate0052_01.png")</f>
        <v/>
      </c>
      <c r="E190" s="55" t="str">
        <f>IMAGE("https://raw.githubusercontent.com/ltdimages/images/refs/heads/main/Coordinate0052_02.png")</f>
        <v/>
      </c>
      <c r="F190" s="55" t="str">
        <f>IMAGE("https://raw.githubusercontent.com/ltdimages/images/refs/heads/main/Coordinate0052_03.png")</f>
        <v/>
      </c>
      <c r="G190" s="55" t="str">
        <f>IMAGE("https://raw.githubusercontent.com/ltdimages/images/refs/heads/main/Coordinate0052_04.png")</f>
        <v/>
      </c>
      <c r="H190" s="55" t="str">
        <f>IMAGE("https://raw.githubusercontent.com/ltdimages/images/refs/heads/main/Coordinate0052_05.png")</f>
        <v/>
      </c>
      <c r="I190" s="56" t="s">
        <v>3095</v>
      </c>
      <c r="J190" s="55" t="s">
        <v>3095</v>
      </c>
      <c r="K190" s="20" t="s">
        <v>3573</v>
      </c>
      <c r="L190" s="20" t="s">
        <v>3097</v>
      </c>
      <c r="M190" s="55" t="s">
        <v>3098</v>
      </c>
      <c r="N190" s="55" t="s">
        <v>3099</v>
      </c>
      <c r="O190" s="55" t="s">
        <v>45</v>
      </c>
      <c r="P190" s="55" t="s">
        <v>45</v>
      </c>
      <c r="Q190" s="55" t="s">
        <v>45</v>
      </c>
      <c r="R190" s="55" t="s">
        <v>45</v>
      </c>
      <c r="S190" s="55" t="s">
        <v>45</v>
      </c>
      <c r="T190" s="55" t="s">
        <v>45</v>
      </c>
      <c r="U190" s="55" t="s">
        <v>4039</v>
      </c>
      <c r="V190" s="55" t="s">
        <v>3095</v>
      </c>
      <c r="W190" s="55" t="s">
        <v>3310</v>
      </c>
      <c r="X190" s="55" t="s">
        <v>3095</v>
      </c>
      <c r="Y190" s="55" t="s">
        <v>3095</v>
      </c>
      <c r="Z190" s="55" t="s">
        <v>3296</v>
      </c>
      <c r="AA190" s="55" t="s">
        <v>3222</v>
      </c>
      <c r="AB190" s="55" t="s">
        <v>3095</v>
      </c>
      <c r="AC190" s="55" t="s">
        <v>3103</v>
      </c>
      <c r="AD190" s="55" t="s">
        <v>4040</v>
      </c>
      <c r="AE190" s="55" t="s">
        <v>3095</v>
      </c>
      <c r="AF190" s="55" t="s">
        <v>3095</v>
      </c>
      <c r="AG190" s="55" t="s">
        <v>3095</v>
      </c>
      <c r="AH190" s="55" t="s">
        <v>3095</v>
      </c>
      <c r="AI190" s="55" t="s">
        <v>3095</v>
      </c>
      <c r="AJ190" s="55" t="s">
        <v>3095</v>
      </c>
      <c r="AK190" s="55" t="s">
        <v>3095</v>
      </c>
      <c r="AL190" s="55" t="s">
        <v>3095</v>
      </c>
      <c r="AM190" s="55" t="s">
        <v>3095</v>
      </c>
    </row>
    <row r="191" ht="45.0" customHeight="1">
      <c r="A191" s="55" t="s">
        <v>856</v>
      </c>
      <c r="B191" s="55" t="s">
        <v>4041</v>
      </c>
      <c r="C191" s="55" t="str">
        <f>IMAGE("https://raw.githubusercontent.com/ltdimages/images/refs/heads/main/Coordinate0278_00.png")</f>
        <v/>
      </c>
      <c r="D191" s="55" t="str">
        <f>IMAGE("https://raw.githubusercontent.com/ltdimages/images/refs/heads/main/Coordinate0278_01.png")</f>
        <v/>
      </c>
      <c r="E191" s="55" t="str">
        <f>IMAGE("https://raw.githubusercontent.com/ltdimages/images/refs/heads/main/Coordinate0278_02.png")</f>
        <v/>
      </c>
      <c r="F191" s="55" t="str">
        <f>IMAGE("https://raw.githubusercontent.com/ltdimages/images/refs/heads/main/Coordinate0278_03.png")</f>
        <v/>
      </c>
      <c r="G191" s="55" t="str">
        <f>IMAGE("https://raw.githubusercontent.com/ltdimages/images/refs/heads/main/Coordinate0278_04.png")</f>
        <v/>
      </c>
      <c r="H191" s="55" t="s">
        <v>3095</v>
      </c>
      <c r="I191" s="56" t="s">
        <v>3095</v>
      </c>
      <c r="J191" s="55" t="s">
        <v>3095</v>
      </c>
      <c r="K191" s="20" t="s">
        <v>4042</v>
      </c>
      <c r="L191" s="20" t="s">
        <v>3097</v>
      </c>
      <c r="M191" s="55" t="s">
        <v>3098</v>
      </c>
      <c r="N191" s="55" t="s">
        <v>3099</v>
      </c>
      <c r="O191" s="55" t="s">
        <v>45</v>
      </c>
      <c r="P191" s="55" t="s">
        <v>45</v>
      </c>
      <c r="Q191" s="55" t="s">
        <v>45</v>
      </c>
      <c r="R191" s="55" t="s">
        <v>49</v>
      </c>
      <c r="S191" s="55" t="s">
        <v>45</v>
      </c>
      <c r="T191" s="55" t="s">
        <v>45</v>
      </c>
      <c r="U191" s="55" t="s">
        <v>4043</v>
      </c>
      <c r="V191" s="55" t="s">
        <v>3095</v>
      </c>
      <c r="W191" s="55" t="s">
        <v>3277</v>
      </c>
      <c r="X191" s="55" t="s">
        <v>4044</v>
      </c>
      <c r="Y191" s="55" t="s">
        <v>3095</v>
      </c>
      <c r="Z191" s="55" t="s">
        <v>3156</v>
      </c>
      <c r="AA191" s="55" t="s">
        <v>3550</v>
      </c>
      <c r="AB191" s="55" t="s">
        <v>3095</v>
      </c>
      <c r="AC191" s="55" t="s">
        <v>3103</v>
      </c>
      <c r="AD191" s="55" t="s">
        <v>4045</v>
      </c>
      <c r="AE191" s="55" t="s">
        <v>3095</v>
      </c>
      <c r="AF191" s="55" t="s">
        <v>3095</v>
      </c>
      <c r="AG191" s="55" t="s">
        <v>3095</v>
      </c>
      <c r="AH191" s="55" t="s">
        <v>3095</v>
      </c>
      <c r="AI191" s="55" t="s">
        <v>3095</v>
      </c>
      <c r="AJ191" s="55" t="s">
        <v>3095</v>
      </c>
      <c r="AK191" s="55" t="s">
        <v>3095</v>
      </c>
      <c r="AL191" s="55" t="s">
        <v>3095</v>
      </c>
      <c r="AM191" s="55" t="s">
        <v>3095</v>
      </c>
    </row>
    <row r="192" ht="45.0" customHeight="1">
      <c r="A192" s="55" t="s">
        <v>860</v>
      </c>
      <c r="B192" s="55" t="s">
        <v>4046</v>
      </c>
      <c r="C192" s="55" t="str">
        <f>IMAGE("https://raw.githubusercontent.com/ltdimages/images/refs/heads/main/Coordinate0220_00.png")</f>
        <v/>
      </c>
      <c r="D192" s="55" t="str">
        <f>IMAGE("https://raw.githubusercontent.com/ltdimages/images/refs/heads/main/Coordinate0220_01.png")</f>
        <v/>
      </c>
      <c r="E192" s="55" t="str">
        <f>IMAGE("https://raw.githubusercontent.com/ltdimages/images/refs/heads/main/Coordinate0220_02.png")</f>
        <v/>
      </c>
      <c r="F192" s="55" t="str">
        <f>IMAGE("https://raw.githubusercontent.com/ltdimages/images/refs/heads/main/Coordinate0220_03.png")</f>
        <v/>
      </c>
      <c r="G192" s="55" t="str">
        <f>IMAGE("https://raw.githubusercontent.com/ltdimages/images/refs/heads/main/Coordinate0220_04.png")</f>
        <v/>
      </c>
      <c r="H192" s="55" t="str">
        <f>IMAGE("https://raw.githubusercontent.com/ltdimages/images/refs/heads/main/Coordinate0220_05.png")</f>
        <v/>
      </c>
      <c r="I192" s="56" t="str">
        <f>IMAGE("https://raw.githubusercontent.com/ltdimages/images/refs/heads/main/Coordinate0220_06.png")</f>
        <v/>
      </c>
      <c r="J192" s="55" t="str">
        <f>IMAGE("https://raw.githubusercontent.com/ltdimages/images/refs/heads/main/Coordinate0220_07.png")</f>
        <v/>
      </c>
      <c r="K192" s="20" t="s">
        <v>4047</v>
      </c>
      <c r="L192" s="20" t="s">
        <v>3097</v>
      </c>
      <c r="M192" s="55" t="s">
        <v>3098</v>
      </c>
      <c r="N192" s="55" t="s">
        <v>3099</v>
      </c>
      <c r="O192" s="55" t="s">
        <v>45</v>
      </c>
      <c r="P192" s="55" t="s">
        <v>45</v>
      </c>
      <c r="Q192" s="55" t="s">
        <v>45</v>
      </c>
      <c r="R192" s="55" t="s">
        <v>45</v>
      </c>
      <c r="S192" s="55" t="s">
        <v>45</v>
      </c>
      <c r="T192" s="55" t="s">
        <v>45</v>
      </c>
      <c r="U192" s="55" t="s">
        <v>4048</v>
      </c>
      <c r="V192" s="55" t="s">
        <v>3095</v>
      </c>
      <c r="W192" s="55" t="s">
        <v>3206</v>
      </c>
      <c r="X192" s="55" t="s">
        <v>3095</v>
      </c>
      <c r="Y192" s="55" t="s">
        <v>4049</v>
      </c>
      <c r="Z192" s="55" t="s">
        <v>3118</v>
      </c>
      <c r="AA192" s="55" t="s">
        <v>3341</v>
      </c>
      <c r="AB192" s="55" t="s">
        <v>3095</v>
      </c>
      <c r="AC192" s="55" t="s">
        <v>3103</v>
      </c>
      <c r="AD192" s="55" t="s">
        <v>4050</v>
      </c>
      <c r="AE192" s="55" t="s">
        <v>3095</v>
      </c>
      <c r="AF192" s="55" t="s">
        <v>3095</v>
      </c>
      <c r="AG192" s="55" t="s">
        <v>3095</v>
      </c>
      <c r="AH192" s="55" t="s">
        <v>3095</v>
      </c>
      <c r="AI192" s="55" t="s">
        <v>3095</v>
      </c>
      <c r="AJ192" s="55" t="s">
        <v>3095</v>
      </c>
      <c r="AK192" s="55" t="s">
        <v>3095</v>
      </c>
      <c r="AL192" s="55" t="s">
        <v>3095</v>
      </c>
      <c r="AM192" s="55" t="s">
        <v>3095</v>
      </c>
    </row>
    <row r="193" ht="45.0" customHeight="1">
      <c r="A193" s="55" t="s">
        <v>864</v>
      </c>
      <c r="B193" s="55" t="s">
        <v>4051</v>
      </c>
      <c r="C193" s="55" t="str">
        <f>IMAGE("https://raw.githubusercontent.com/ltdimages/images/refs/heads/main/Coordinate0021_00.png")</f>
        <v/>
      </c>
      <c r="D193" s="55" t="str">
        <f>IMAGE("https://raw.githubusercontent.com/ltdimages/images/refs/heads/main/Coordinate0021_01.png")</f>
        <v/>
      </c>
      <c r="E193" s="55" t="str">
        <f>IMAGE("https://raw.githubusercontent.com/ltdimages/images/refs/heads/main/Coordinate0021_02.png")</f>
        <v/>
      </c>
      <c r="F193" s="55" t="str">
        <f>IMAGE("https://raw.githubusercontent.com/ltdimages/images/refs/heads/main/Coordinate0021_03.png")</f>
        <v/>
      </c>
      <c r="G193" s="55" t="str">
        <f>IMAGE("https://raw.githubusercontent.com/ltdimages/images/refs/heads/main/Coordinate0021_04.png")</f>
        <v/>
      </c>
      <c r="H193" s="55" t="str">
        <f>IMAGE("https://raw.githubusercontent.com/ltdimages/images/refs/heads/main/Coordinate0021_05.png")</f>
        <v/>
      </c>
      <c r="I193" s="56" t="s">
        <v>3095</v>
      </c>
      <c r="J193" s="55" t="s">
        <v>3095</v>
      </c>
      <c r="K193" s="20" t="s">
        <v>3181</v>
      </c>
      <c r="L193" s="20" t="s">
        <v>3097</v>
      </c>
      <c r="M193" s="55" t="s">
        <v>3098</v>
      </c>
      <c r="N193" s="55" t="s">
        <v>3099</v>
      </c>
      <c r="O193" s="55" t="s">
        <v>45</v>
      </c>
      <c r="P193" s="55" t="s">
        <v>45</v>
      </c>
      <c r="Q193" s="55" t="s">
        <v>45</v>
      </c>
      <c r="R193" s="55" t="s">
        <v>45</v>
      </c>
      <c r="S193" s="55" t="s">
        <v>45</v>
      </c>
      <c r="T193" s="55" t="s">
        <v>45</v>
      </c>
      <c r="U193" s="55" t="s">
        <v>4052</v>
      </c>
      <c r="V193" s="55" t="s">
        <v>3095</v>
      </c>
      <c r="W193" s="55" t="s">
        <v>3216</v>
      </c>
      <c r="X193" s="55" t="s">
        <v>3592</v>
      </c>
      <c r="Y193" s="55" t="s">
        <v>3095</v>
      </c>
      <c r="Z193" s="55" t="s">
        <v>3193</v>
      </c>
      <c r="AA193" s="55" t="s">
        <v>3211</v>
      </c>
      <c r="AB193" s="55" t="s">
        <v>3095</v>
      </c>
      <c r="AC193" s="55" t="s">
        <v>3103</v>
      </c>
      <c r="AD193" s="55" t="s">
        <v>4053</v>
      </c>
      <c r="AE193" s="55" t="s">
        <v>3095</v>
      </c>
      <c r="AF193" s="55" t="s">
        <v>3095</v>
      </c>
      <c r="AG193" s="55" t="s">
        <v>3095</v>
      </c>
      <c r="AH193" s="55" t="s">
        <v>3095</v>
      </c>
      <c r="AI193" s="55" t="s">
        <v>3095</v>
      </c>
      <c r="AJ193" s="55" t="s">
        <v>3095</v>
      </c>
      <c r="AK193" s="55" t="s">
        <v>3095</v>
      </c>
      <c r="AL193" s="55" t="s">
        <v>3095</v>
      </c>
      <c r="AM193" s="55" t="s">
        <v>3095</v>
      </c>
    </row>
    <row r="194" ht="45.0" customHeight="1">
      <c r="A194" s="55" t="s">
        <v>868</v>
      </c>
      <c r="B194" s="55" t="s">
        <v>4054</v>
      </c>
      <c r="C194" s="55" t="str">
        <f>IMAGE("https://raw.githubusercontent.com/ltdimages/images/refs/heads/main/Coordinate0192_00.png")</f>
        <v/>
      </c>
      <c r="D194" s="55" t="str">
        <f>IMAGE("https://raw.githubusercontent.com/ltdimages/images/refs/heads/main/Coordinate0192_01.png")</f>
        <v/>
      </c>
      <c r="E194" s="55" t="str">
        <f>IMAGE("https://raw.githubusercontent.com/ltdimages/images/refs/heads/main/Coordinate0192_02.png")</f>
        <v/>
      </c>
      <c r="F194" s="55" t="str">
        <f>IMAGE("https://raw.githubusercontent.com/ltdimages/images/refs/heads/main/Coordinate0192_03.png")</f>
        <v/>
      </c>
      <c r="G194" s="55" t="str">
        <f>IMAGE("https://raw.githubusercontent.com/ltdimages/images/refs/heads/main/Coordinate0192_04.png")</f>
        <v/>
      </c>
      <c r="H194" s="55" t="str">
        <f>IMAGE("https://raw.githubusercontent.com/ltdimages/images/refs/heads/main/Coordinate0192_05.png")</f>
        <v/>
      </c>
      <c r="I194" s="56" t="str">
        <f>IMAGE("https://raw.githubusercontent.com/ltdimages/images/refs/heads/main/Coordinate0192_06.png")</f>
        <v/>
      </c>
      <c r="J194" s="55" t="str">
        <f>IMAGE("https://raw.githubusercontent.com/ltdimages/images/refs/heads/main/Coordinate0192_07.png")</f>
        <v/>
      </c>
      <c r="K194" s="20" t="s">
        <v>4055</v>
      </c>
      <c r="L194" s="20" t="s">
        <v>3097</v>
      </c>
      <c r="M194" s="55" t="s">
        <v>3098</v>
      </c>
      <c r="N194" s="55" t="s">
        <v>3123</v>
      </c>
      <c r="O194" s="55" t="s">
        <v>45</v>
      </c>
      <c r="P194" s="55" t="s">
        <v>45</v>
      </c>
      <c r="Q194" s="55" t="s">
        <v>45</v>
      </c>
      <c r="R194" s="55" t="s">
        <v>45</v>
      </c>
      <c r="S194" s="55" t="s">
        <v>45</v>
      </c>
      <c r="T194" s="55" t="s">
        <v>45</v>
      </c>
      <c r="U194" s="55" t="s">
        <v>4056</v>
      </c>
      <c r="V194" s="55" t="s">
        <v>3095</v>
      </c>
      <c r="W194" s="55" t="s">
        <v>3990</v>
      </c>
      <c r="X194" s="55" t="s">
        <v>4057</v>
      </c>
      <c r="Y194" s="55" t="s">
        <v>3991</v>
      </c>
      <c r="Z194" s="55" t="s">
        <v>3193</v>
      </c>
      <c r="AA194" s="55" t="s">
        <v>3232</v>
      </c>
      <c r="AB194" s="55" t="s">
        <v>3095</v>
      </c>
      <c r="AC194" s="55" t="s">
        <v>3244</v>
      </c>
      <c r="AD194" s="55" t="s">
        <v>4058</v>
      </c>
      <c r="AE194" s="55" t="s">
        <v>3095</v>
      </c>
      <c r="AF194" s="55" t="s">
        <v>3095</v>
      </c>
      <c r="AG194" s="55" t="s">
        <v>3095</v>
      </c>
      <c r="AH194" s="55" t="s">
        <v>3095</v>
      </c>
      <c r="AI194" s="55" t="s">
        <v>3095</v>
      </c>
      <c r="AJ194" s="55" t="s">
        <v>3095</v>
      </c>
      <c r="AK194" s="55" t="s">
        <v>3095</v>
      </c>
      <c r="AL194" s="55" t="s">
        <v>3095</v>
      </c>
      <c r="AM194" s="55" t="s">
        <v>3095</v>
      </c>
    </row>
    <row r="195" ht="45.0" customHeight="1">
      <c r="A195" s="55" t="s">
        <v>872</v>
      </c>
      <c r="B195" s="55" t="s">
        <v>4059</v>
      </c>
      <c r="C195" s="55" t="str">
        <f>IMAGE("https://raw.githubusercontent.com/ltdimages/images/refs/heads/main/Coordinate0217_00.png")</f>
        <v/>
      </c>
      <c r="D195" s="55" t="str">
        <f>IMAGE("https://raw.githubusercontent.com/ltdimages/images/refs/heads/main/Coordinate0217_01.png")</f>
        <v/>
      </c>
      <c r="E195" s="55" t="str">
        <f>IMAGE("https://raw.githubusercontent.com/ltdimages/images/refs/heads/main/Coordinate0217_02.png")</f>
        <v/>
      </c>
      <c r="F195" s="55" t="str">
        <f>IMAGE("https://raw.githubusercontent.com/ltdimages/images/refs/heads/main/Coordinate0217_03.png")</f>
        <v/>
      </c>
      <c r="G195" s="55" t="str">
        <f>IMAGE("https://raw.githubusercontent.com/ltdimages/images/refs/heads/main/Coordinate0217_04.png")</f>
        <v/>
      </c>
      <c r="H195" s="55" t="str">
        <f>IMAGE("https://raw.githubusercontent.com/ltdimages/images/refs/heads/main/Coordinate0217_05.png")</f>
        <v/>
      </c>
      <c r="I195" s="56" t="s">
        <v>3095</v>
      </c>
      <c r="J195" s="55" t="s">
        <v>3095</v>
      </c>
      <c r="K195" s="20" t="s">
        <v>3396</v>
      </c>
      <c r="L195" s="20" t="s">
        <v>3097</v>
      </c>
      <c r="M195" s="55" t="s">
        <v>3098</v>
      </c>
      <c r="N195" s="55" t="s">
        <v>3099</v>
      </c>
      <c r="O195" s="55" t="s">
        <v>45</v>
      </c>
      <c r="P195" s="55" t="s">
        <v>45</v>
      </c>
      <c r="Q195" s="55" t="s">
        <v>45</v>
      </c>
      <c r="R195" s="55" t="s">
        <v>45</v>
      </c>
      <c r="S195" s="55" t="s">
        <v>45</v>
      </c>
      <c r="T195" s="55" t="s">
        <v>45</v>
      </c>
      <c r="U195" s="55" t="s">
        <v>3712</v>
      </c>
      <c r="V195" s="55" t="s">
        <v>3095</v>
      </c>
      <c r="W195" s="55" t="s">
        <v>4060</v>
      </c>
      <c r="X195" s="55" t="s">
        <v>3095</v>
      </c>
      <c r="Y195" s="55" t="s">
        <v>3095</v>
      </c>
      <c r="Z195" s="55" t="s">
        <v>3862</v>
      </c>
      <c r="AA195" s="55" t="s">
        <v>3222</v>
      </c>
      <c r="AB195" s="55" t="s">
        <v>3095</v>
      </c>
      <c r="AC195" s="55" t="s">
        <v>3103</v>
      </c>
      <c r="AD195" s="55" t="s">
        <v>4061</v>
      </c>
      <c r="AE195" s="55" t="s">
        <v>3095</v>
      </c>
      <c r="AF195" s="55" t="s">
        <v>3095</v>
      </c>
      <c r="AG195" s="55" t="s">
        <v>3095</v>
      </c>
      <c r="AH195" s="55" t="s">
        <v>3095</v>
      </c>
      <c r="AI195" s="55" t="s">
        <v>3095</v>
      </c>
      <c r="AJ195" s="55" t="s">
        <v>3095</v>
      </c>
      <c r="AK195" s="55" t="s">
        <v>3095</v>
      </c>
      <c r="AL195" s="55" t="s">
        <v>3095</v>
      </c>
      <c r="AM195" s="55" t="s">
        <v>3095</v>
      </c>
    </row>
    <row r="196" ht="45.0" customHeight="1">
      <c r="A196" s="55" t="s">
        <v>877</v>
      </c>
      <c r="B196" s="55" t="s">
        <v>4062</v>
      </c>
      <c r="C196" s="55" t="str">
        <f>IMAGE("https://raw.githubusercontent.com/ltdimages/images/refs/heads/main/Coordinate0033_00.png")</f>
        <v/>
      </c>
      <c r="D196" s="55" t="str">
        <f>IMAGE("https://raw.githubusercontent.com/ltdimages/images/refs/heads/main/Coordinate0033_01.png")</f>
        <v/>
      </c>
      <c r="E196" s="55" t="str">
        <f>IMAGE("https://raw.githubusercontent.com/ltdimages/images/refs/heads/main/Coordinate0033_02.png")</f>
        <v/>
      </c>
      <c r="F196" s="55" t="str">
        <f>IMAGE("https://raw.githubusercontent.com/ltdimages/images/refs/heads/main/Coordinate0033_03.png")</f>
        <v/>
      </c>
      <c r="G196" s="55" t="str">
        <f>IMAGE("https://raw.githubusercontent.com/ltdimages/images/refs/heads/main/Coordinate0033_04.png")</f>
        <v/>
      </c>
      <c r="H196" s="55" t="str">
        <f>IMAGE("https://raw.githubusercontent.com/ltdimages/images/refs/heads/main/Coordinate0033_05.png")</f>
        <v/>
      </c>
      <c r="I196" s="56" t="s">
        <v>3095</v>
      </c>
      <c r="J196" s="55" t="s">
        <v>3095</v>
      </c>
      <c r="K196" s="20" t="s">
        <v>4063</v>
      </c>
      <c r="L196" s="20" t="s">
        <v>3097</v>
      </c>
      <c r="M196" s="55" t="s">
        <v>3098</v>
      </c>
      <c r="N196" s="55" t="s">
        <v>3099</v>
      </c>
      <c r="O196" s="55" t="s">
        <v>45</v>
      </c>
      <c r="P196" s="55" t="s">
        <v>45</v>
      </c>
      <c r="Q196" s="55" t="s">
        <v>45</v>
      </c>
      <c r="R196" s="55" t="s">
        <v>45</v>
      </c>
      <c r="S196" s="55" t="s">
        <v>45</v>
      </c>
      <c r="T196" s="55" t="s">
        <v>45</v>
      </c>
      <c r="U196" s="55" t="s">
        <v>4064</v>
      </c>
      <c r="V196" s="55" t="s">
        <v>3095</v>
      </c>
      <c r="W196" s="55" t="s">
        <v>3359</v>
      </c>
      <c r="X196" s="55" t="s">
        <v>3095</v>
      </c>
      <c r="Y196" s="55" t="s">
        <v>3095</v>
      </c>
      <c r="Z196" s="55" t="s">
        <v>3296</v>
      </c>
      <c r="AA196" s="55" t="s">
        <v>3360</v>
      </c>
      <c r="AB196" s="55" t="s">
        <v>3095</v>
      </c>
      <c r="AC196" s="55" t="s">
        <v>3103</v>
      </c>
      <c r="AD196" s="55" t="s">
        <v>4065</v>
      </c>
      <c r="AE196" s="55" t="s">
        <v>3095</v>
      </c>
      <c r="AF196" s="55" t="s">
        <v>3095</v>
      </c>
      <c r="AG196" s="55" t="s">
        <v>3095</v>
      </c>
      <c r="AH196" s="55" t="s">
        <v>3095</v>
      </c>
      <c r="AI196" s="55" t="s">
        <v>3095</v>
      </c>
      <c r="AJ196" s="55" t="s">
        <v>3095</v>
      </c>
      <c r="AK196" s="55" t="s">
        <v>3095</v>
      </c>
      <c r="AL196" s="55" t="s">
        <v>3095</v>
      </c>
      <c r="AM196" s="55" t="s">
        <v>3095</v>
      </c>
    </row>
    <row r="197" ht="45.0" customHeight="1">
      <c r="A197" s="55" t="s">
        <v>881</v>
      </c>
      <c r="B197" s="55" t="s">
        <v>4066</v>
      </c>
      <c r="C197" s="55" t="str">
        <f>IMAGE("https://raw.githubusercontent.com/ltdimages/images/refs/heads/main/Coordinate0026_00.png")</f>
        <v/>
      </c>
      <c r="D197" s="55" t="str">
        <f>IMAGE("https://raw.githubusercontent.com/ltdimages/images/refs/heads/main/Coordinate0026_01.png")</f>
        <v/>
      </c>
      <c r="E197" s="55" t="str">
        <f>IMAGE("https://raw.githubusercontent.com/ltdimages/images/refs/heads/main/Coordinate0026_02.png")</f>
        <v/>
      </c>
      <c r="F197" s="55" t="str">
        <f>IMAGE("https://raw.githubusercontent.com/ltdimages/images/refs/heads/main/Coordinate0026_03.png")</f>
        <v/>
      </c>
      <c r="G197" s="55" t="str">
        <f>IMAGE("https://raw.githubusercontent.com/ltdimages/images/refs/heads/main/Coordinate0026_04.png")</f>
        <v/>
      </c>
      <c r="H197" s="55" t="str">
        <f>IMAGE("https://raw.githubusercontent.com/ltdimages/images/refs/heads/main/Coordinate0026_05.png")</f>
        <v/>
      </c>
      <c r="I197" s="56" t="s">
        <v>3095</v>
      </c>
      <c r="J197" s="55" t="s">
        <v>3095</v>
      </c>
      <c r="K197" s="20" t="s">
        <v>3267</v>
      </c>
      <c r="L197" s="20" t="s">
        <v>3097</v>
      </c>
      <c r="M197" s="55" t="s">
        <v>3098</v>
      </c>
      <c r="N197" s="55" t="s">
        <v>3099</v>
      </c>
      <c r="O197" s="55" t="s">
        <v>45</v>
      </c>
      <c r="P197" s="55" t="s">
        <v>45</v>
      </c>
      <c r="Q197" s="55" t="s">
        <v>45</v>
      </c>
      <c r="R197" s="55" t="s">
        <v>45</v>
      </c>
      <c r="S197" s="55" t="s">
        <v>45</v>
      </c>
      <c r="T197" s="55" t="s">
        <v>45</v>
      </c>
      <c r="U197" s="55" t="s">
        <v>4067</v>
      </c>
      <c r="V197" s="55" t="s">
        <v>3095</v>
      </c>
      <c r="W197" s="55" t="s">
        <v>3543</v>
      </c>
      <c r="X197" s="55" t="s">
        <v>3095</v>
      </c>
      <c r="Y197" s="55" t="s">
        <v>3095</v>
      </c>
      <c r="Z197" s="55" t="s">
        <v>3200</v>
      </c>
      <c r="AA197" s="55" t="s">
        <v>3217</v>
      </c>
      <c r="AB197" s="55" t="s">
        <v>3095</v>
      </c>
      <c r="AC197" s="55" t="s">
        <v>3103</v>
      </c>
      <c r="AD197" s="55" t="s">
        <v>4068</v>
      </c>
      <c r="AE197" s="55" t="s">
        <v>3095</v>
      </c>
      <c r="AF197" s="55" t="s">
        <v>3095</v>
      </c>
      <c r="AG197" s="55" t="s">
        <v>3095</v>
      </c>
      <c r="AH197" s="55" t="s">
        <v>3095</v>
      </c>
      <c r="AI197" s="55" t="s">
        <v>3095</v>
      </c>
      <c r="AJ197" s="55" t="s">
        <v>3095</v>
      </c>
      <c r="AK197" s="55" t="s">
        <v>3095</v>
      </c>
      <c r="AL197" s="55" t="s">
        <v>3095</v>
      </c>
      <c r="AM197" s="55" t="s">
        <v>3095</v>
      </c>
    </row>
    <row r="198" ht="45.0" customHeight="1">
      <c r="A198" s="55" t="s">
        <v>885</v>
      </c>
      <c r="B198" s="55" t="s">
        <v>4069</v>
      </c>
      <c r="C198" s="55" t="str">
        <f>IMAGE("https://raw.githubusercontent.com/ltdimages/images/refs/heads/main/Coordinate0242_00.png")</f>
        <v/>
      </c>
      <c r="D198" s="55" t="str">
        <f>IMAGE("https://raw.githubusercontent.com/ltdimages/images/refs/heads/main/Coordinate0242_01.png")</f>
        <v/>
      </c>
      <c r="E198" s="55" t="str">
        <f>IMAGE("https://raw.githubusercontent.com/ltdimages/images/refs/heads/main/Coordinate0242_02.png")</f>
        <v/>
      </c>
      <c r="F198" s="55" t="str">
        <f>IMAGE("https://raw.githubusercontent.com/ltdimages/images/refs/heads/main/Coordinate0242_03.png")</f>
        <v/>
      </c>
      <c r="G198" s="55" t="s">
        <v>3095</v>
      </c>
      <c r="H198" s="55" t="s">
        <v>3095</v>
      </c>
      <c r="I198" s="56" t="s">
        <v>3095</v>
      </c>
      <c r="J198" s="55" t="s">
        <v>3095</v>
      </c>
      <c r="K198" s="20" t="s">
        <v>3197</v>
      </c>
      <c r="L198" s="20" t="s">
        <v>3097</v>
      </c>
      <c r="M198" s="55" t="s">
        <v>3098</v>
      </c>
      <c r="N198" s="55" t="s">
        <v>3099</v>
      </c>
      <c r="O198" s="55" t="s">
        <v>45</v>
      </c>
      <c r="P198" s="55" t="s">
        <v>45</v>
      </c>
      <c r="Q198" s="55" t="s">
        <v>45</v>
      </c>
      <c r="R198" s="55" t="s">
        <v>45</v>
      </c>
      <c r="S198" s="55" t="s">
        <v>45</v>
      </c>
      <c r="T198" s="55" t="s">
        <v>45</v>
      </c>
      <c r="U198" s="55" t="s">
        <v>3281</v>
      </c>
      <c r="V198" s="55" t="s">
        <v>3095</v>
      </c>
      <c r="W198" s="55" t="s">
        <v>3277</v>
      </c>
      <c r="X198" s="55" t="s">
        <v>4070</v>
      </c>
      <c r="Y198" s="55" t="s">
        <v>3095</v>
      </c>
      <c r="Z198" s="55" t="s">
        <v>3118</v>
      </c>
      <c r="AA198" s="55" t="s">
        <v>3150</v>
      </c>
      <c r="AB198" s="55" t="s">
        <v>3095</v>
      </c>
      <c r="AC198" s="55" t="s">
        <v>3103</v>
      </c>
      <c r="AD198" s="55" t="s">
        <v>4071</v>
      </c>
      <c r="AE198" s="55" t="s">
        <v>3095</v>
      </c>
      <c r="AF198" s="55" t="s">
        <v>3095</v>
      </c>
      <c r="AG198" s="55" t="s">
        <v>3095</v>
      </c>
      <c r="AH198" s="55" t="s">
        <v>3095</v>
      </c>
      <c r="AI198" s="55" t="s">
        <v>3095</v>
      </c>
      <c r="AJ198" s="55" t="s">
        <v>3095</v>
      </c>
      <c r="AK198" s="55" t="s">
        <v>3095</v>
      </c>
      <c r="AL198" s="55" t="s">
        <v>3095</v>
      </c>
      <c r="AM198" s="55" t="s">
        <v>3095</v>
      </c>
    </row>
    <row r="199" ht="45.0" customHeight="1">
      <c r="A199" s="55" t="s">
        <v>889</v>
      </c>
      <c r="B199" s="55" t="s">
        <v>4072</v>
      </c>
      <c r="C199" s="55" t="str">
        <f>IMAGE("https://raw.githubusercontent.com/ltdimages/images/refs/heads/main/Coordinate0027_00.png")</f>
        <v/>
      </c>
      <c r="D199" s="55" t="str">
        <f>IMAGE("https://raw.githubusercontent.com/ltdimages/images/refs/heads/main/Coordinate0027_01.png")</f>
        <v/>
      </c>
      <c r="E199" s="55" t="str">
        <f>IMAGE("https://raw.githubusercontent.com/ltdimages/images/refs/heads/main/Coordinate0027_02.png")</f>
        <v/>
      </c>
      <c r="F199" s="55" t="str">
        <f>IMAGE("https://raw.githubusercontent.com/ltdimages/images/refs/heads/main/Coordinate0027_03.png")</f>
        <v/>
      </c>
      <c r="G199" s="55" t="s">
        <v>3095</v>
      </c>
      <c r="H199" s="55" t="s">
        <v>3095</v>
      </c>
      <c r="I199" s="56" t="s">
        <v>3095</v>
      </c>
      <c r="J199" s="55" t="s">
        <v>3095</v>
      </c>
      <c r="K199" s="20" t="s">
        <v>3573</v>
      </c>
      <c r="L199" s="20" t="s">
        <v>3097</v>
      </c>
      <c r="M199" s="55" t="s">
        <v>3098</v>
      </c>
      <c r="N199" s="55" t="s">
        <v>3099</v>
      </c>
      <c r="O199" s="55" t="s">
        <v>45</v>
      </c>
      <c r="P199" s="55" t="s">
        <v>45</v>
      </c>
      <c r="Q199" s="55" t="s">
        <v>45</v>
      </c>
      <c r="R199" s="55" t="s">
        <v>45</v>
      </c>
      <c r="S199" s="55" t="s">
        <v>45</v>
      </c>
      <c r="T199" s="55" t="s">
        <v>45</v>
      </c>
      <c r="U199" s="55" t="s">
        <v>4073</v>
      </c>
      <c r="V199" s="55" t="s">
        <v>3095</v>
      </c>
      <c r="W199" s="55" t="s">
        <v>4074</v>
      </c>
      <c r="X199" s="55" t="s">
        <v>3095</v>
      </c>
      <c r="Y199" s="55" t="s">
        <v>3095</v>
      </c>
      <c r="Z199" s="55" t="s">
        <v>3200</v>
      </c>
      <c r="AA199" s="55" t="s">
        <v>3222</v>
      </c>
      <c r="AB199" s="55" t="s">
        <v>3095</v>
      </c>
      <c r="AC199" s="55" t="s">
        <v>3103</v>
      </c>
      <c r="AD199" s="55" t="s">
        <v>4075</v>
      </c>
      <c r="AE199" s="55" t="s">
        <v>3095</v>
      </c>
      <c r="AF199" s="55" t="s">
        <v>3095</v>
      </c>
      <c r="AG199" s="55" t="s">
        <v>3095</v>
      </c>
      <c r="AH199" s="55" t="s">
        <v>3095</v>
      </c>
      <c r="AI199" s="55" t="s">
        <v>3095</v>
      </c>
      <c r="AJ199" s="55" t="s">
        <v>3095</v>
      </c>
      <c r="AK199" s="55" t="s">
        <v>3095</v>
      </c>
      <c r="AL199" s="55" t="s">
        <v>3095</v>
      </c>
      <c r="AM199" s="55" t="s">
        <v>3095</v>
      </c>
    </row>
    <row r="200" ht="45.0" customHeight="1">
      <c r="A200" s="55" t="s">
        <v>893</v>
      </c>
      <c r="B200" s="55" t="s">
        <v>4076</v>
      </c>
      <c r="C200" s="55" t="str">
        <f>IMAGE("https://raw.githubusercontent.com/ltdimages/images/refs/heads/main/Coordinate0260_00.png")</f>
        <v/>
      </c>
      <c r="D200" s="55" t="str">
        <f>IMAGE("https://raw.githubusercontent.com/ltdimages/images/refs/heads/main/Coordinate0260_01.png")</f>
        <v/>
      </c>
      <c r="E200" s="55" t="str">
        <f>IMAGE("https://raw.githubusercontent.com/ltdimages/images/refs/heads/main/Coordinate0260_02.png")</f>
        <v/>
      </c>
      <c r="F200" s="55" t="str">
        <f>IMAGE("https://raw.githubusercontent.com/ltdimages/images/refs/heads/main/Coordinate0260_03.png")</f>
        <v/>
      </c>
      <c r="G200" s="55" t="s">
        <v>3095</v>
      </c>
      <c r="H200" s="55" t="s">
        <v>3095</v>
      </c>
      <c r="I200" s="56" t="s">
        <v>3095</v>
      </c>
      <c r="J200" s="55" t="s">
        <v>3095</v>
      </c>
      <c r="K200" s="20" t="s">
        <v>4077</v>
      </c>
      <c r="L200" s="20" t="s">
        <v>3097</v>
      </c>
      <c r="M200" s="55" t="s">
        <v>3098</v>
      </c>
      <c r="N200" s="55" t="s">
        <v>3099</v>
      </c>
      <c r="O200" s="55" t="s">
        <v>45</v>
      </c>
      <c r="P200" s="55" t="s">
        <v>45</v>
      </c>
      <c r="Q200" s="55" t="s">
        <v>45</v>
      </c>
      <c r="R200" s="55" t="s">
        <v>45</v>
      </c>
      <c r="S200" s="55" t="s">
        <v>45</v>
      </c>
      <c r="T200" s="55" t="s">
        <v>45</v>
      </c>
      <c r="U200" s="55" t="s">
        <v>3841</v>
      </c>
      <c r="V200" s="55" t="s">
        <v>3095</v>
      </c>
      <c r="W200" s="55" t="s">
        <v>3155</v>
      </c>
      <c r="X200" s="55" t="s">
        <v>4078</v>
      </c>
      <c r="Y200" s="55" t="s">
        <v>3340</v>
      </c>
      <c r="Z200" s="55" t="s">
        <v>3118</v>
      </c>
      <c r="AA200" s="55" t="s">
        <v>3217</v>
      </c>
      <c r="AB200" s="55" t="s">
        <v>3095</v>
      </c>
      <c r="AC200" s="55" t="s">
        <v>3103</v>
      </c>
      <c r="AD200" s="55" t="s">
        <v>4079</v>
      </c>
      <c r="AE200" s="55" t="s">
        <v>3095</v>
      </c>
      <c r="AF200" s="55" t="s">
        <v>3095</v>
      </c>
      <c r="AG200" s="55" t="s">
        <v>3095</v>
      </c>
      <c r="AH200" s="55" t="s">
        <v>3095</v>
      </c>
      <c r="AI200" s="55" t="s">
        <v>3095</v>
      </c>
      <c r="AJ200" s="55" t="s">
        <v>3095</v>
      </c>
      <c r="AK200" s="55" t="s">
        <v>3095</v>
      </c>
      <c r="AL200" s="55" t="s">
        <v>3095</v>
      </c>
      <c r="AM200" s="55" t="s">
        <v>3095</v>
      </c>
    </row>
    <row r="201" ht="45.0" customHeight="1">
      <c r="A201" s="55" t="s">
        <v>897</v>
      </c>
      <c r="B201" s="55" t="s">
        <v>4080</v>
      </c>
      <c r="C201" s="55" t="str">
        <f>IMAGE("https://raw.githubusercontent.com/ltdimages/images/refs/heads/main/Coordinate0137_00.png")</f>
        <v/>
      </c>
      <c r="D201" s="55" t="str">
        <f>IMAGE("https://raw.githubusercontent.com/ltdimages/images/refs/heads/main/Coordinate0137_01.png")</f>
        <v/>
      </c>
      <c r="E201" s="55" t="str">
        <f>IMAGE("https://raw.githubusercontent.com/ltdimages/images/refs/heads/main/Coordinate0137_02.png")</f>
        <v/>
      </c>
      <c r="F201" s="55" t="str">
        <f>IMAGE("https://raw.githubusercontent.com/ltdimages/images/refs/heads/main/Coordinate0137_03.png")</f>
        <v/>
      </c>
      <c r="G201" s="55" t="str">
        <f>IMAGE("https://raw.githubusercontent.com/ltdimages/images/refs/heads/main/Coordinate0137_04.png")</f>
        <v/>
      </c>
      <c r="H201" s="55" t="str">
        <f>IMAGE("https://raw.githubusercontent.com/ltdimages/images/refs/heads/main/Coordinate0137_05.png")</f>
        <v/>
      </c>
      <c r="I201" s="56" t="str">
        <f>IMAGE("https://raw.githubusercontent.com/ltdimages/images/refs/heads/main/Coordinate0137_06.png")</f>
        <v/>
      </c>
      <c r="J201" s="55" t="str">
        <f>IMAGE("https://raw.githubusercontent.com/ltdimages/images/refs/heads/main/Coordinate0137_07.png")</f>
        <v/>
      </c>
      <c r="K201" s="20" t="s">
        <v>4081</v>
      </c>
      <c r="L201" s="20" t="s">
        <v>3097</v>
      </c>
      <c r="M201" s="55" t="s">
        <v>3098</v>
      </c>
      <c r="N201" s="55" t="s">
        <v>3099</v>
      </c>
      <c r="O201" s="55" t="s">
        <v>45</v>
      </c>
      <c r="P201" s="55" t="s">
        <v>45</v>
      </c>
      <c r="Q201" s="55" t="s">
        <v>45</v>
      </c>
      <c r="R201" s="55" t="s">
        <v>45</v>
      </c>
      <c r="S201" s="55" t="s">
        <v>45</v>
      </c>
      <c r="T201" s="55" t="s">
        <v>45</v>
      </c>
      <c r="U201" s="55" t="s">
        <v>4082</v>
      </c>
      <c r="V201" s="55" t="s">
        <v>3095</v>
      </c>
      <c r="W201" s="55" t="s">
        <v>3206</v>
      </c>
      <c r="X201" s="55" t="s">
        <v>4083</v>
      </c>
      <c r="Y201" s="55" t="s">
        <v>4084</v>
      </c>
      <c r="Z201" s="55" t="s">
        <v>3118</v>
      </c>
      <c r="AA201" s="55" t="s">
        <v>3389</v>
      </c>
      <c r="AB201" s="55" t="s">
        <v>3095</v>
      </c>
      <c r="AC201" s="55" t="s">
        <v>3103</v>
      </c>
      <c r="AD201" s="55" t="s">
        <v>4085</v>
      </c>
      <c r="AE201" s="55" t="s">
        <v>3095</v>
      </c>
      <c r="AF201" s="55" t="s">
        <v>3095</v>
      </c>
      <c r="AG201" s="55" t="s">
        <v>3095</v>
      </c>
      <c r="AH201" s="55" t="s">
        <v>3095</v>
      </c>
      <c r="AI201" s="55" t="s">
        <v>3095</v>
      </c>
      <c r="AJ201" s="55" t="s">
        <v>3095</v>
      </c>
      <c r="AK201" s="55" t="s">
        <v>3095</v>
      </c>
      <c r="AL201" s="55" t="s">
        <v>3095</v>
      </c>
      <c r="AM201" s="55" t="s">
        <v>3095</v>
      </c>
    </row>
    <row r="202" ht="45.0" customHeight="1">
      <c r="A202" s="55" t="s">
        <v>901</v>
      </c>
      <c r="B202" s="55" t="s">
        <v>4086</v>
      </c>
      <c r="C202" s="55" t="str">
        <f>IMAGE("https://raw.githubusercontent.com/ltdimages/images/refs/heads/main/Coordinate0088_00.png")</f>
        <v/>
      </c>
      <c r="D202" s="55" t="str">
        <f>IMAGE("https://raw.githubusercontent.com/ltdimages/images/refs/heads/main/Coordinate0088_01.png")</f>
        <v/>
      </c>
      <c r="E202" s="55" t="str">
        <f>IMAGE("https://raw.githubusercontent.com/ltdimages/images/refs/heads/main/Coordinate0088_02.png")</f>
        <v/>
      </c>
      <c r="F202" s="55" t="str">
        <f>IMAGE("https://raw.githubusercontent.com/ltdimages/images/refs/heads/main/Coordinate0088_03.png")</f>
        <v/>
      </c>
      <c r="G202" s="55" t="s">
        <v>3095</v>
      </c>
      <c r="H202" s="55" t="s">
        <v>3095</v>
      </c>
      <c r="I202" s="56" t="s">
        <v>3095</v>
      </c>
      <c r="J202" s="55" t="s">
        <v>3095</v>
      </c>
      <c r="K202" s="20" t="s">
        <v>4087</v>
      </c>
      <c r="L202" s="20" t="s">
        <v>3097</v>
      </c>
      <c r="M202" s="55" t="s">
        <v>3098</v>
      </c>
      <c r="N202" s="55" t="s">
        <v>3099</v>
      </c>
      <c r="O202" s="55" t="s">
        <v>45</v>
      </c>
      <c r="P202" s="55" t="s">
        <v>45</v>
      </c>
      <c r="Q202" s="55" t="s">
        <v>45</v>
      </c>
      <c r="R202" s="55" t="s">
        <v>45</v>
      </c>
      <c r="S202" s="55" t="s">
        <v>45</v>
      </c>
      <c r="T202" s="55" t="s">
        <v>45</v>
      </c>
      <c r="U202" s="55" t="s">
        <v>3095</v>
      </c>
      <c r="V202" s="55" t="s">
        <v>4088</v>
      </c>
      <c r="W202" s="55" t="s">
        <v>3095</v>
      </c>
      <c r="X202" s="55" t="s">
        <v>4089</v>
      </c>
      <c r="Y202" s="55" t="s">
        <v>3095</v>
      </c>
      <c r="Z202" s="55" t="s">
        <v>3118</v>
      </c>
      <c r="AA202" s="55" t="s">
        <v>3157</v>
      </c>
      <c r="AB202" s="55" t="s">
        <v>3095</v>
      </c>
      <c r="AC202" s="55" t="s">
        <v>3110</v>
      </c>
      <c r="AD202" s="55" t="s">
        <v>4090</v>
      </c>
      <c r="AE202" s="55" t="s">
        <v>3095</v>
      </c>
      <c r="AF202" s="55" t="s">
        <v>3095</v>
      </c>
      <c r="AG202" s="55" t="s">
        <v>3095</v>
      </c>
      <c r="AH202" s="55" t="s">
        <v>3095</v>
      </c>
      <c r="AI202" s="55" t="s">
        <v>3095</v>
      </c>
      <c r="AJ202" s="55" t="s">
        <v>3095</v>
      </c>
      <c r="AK202" s="55" t="s">
        <v>3095</v>
      </c>
      <c r="AL202" s="55" t="s">
        <v>3095</v>
      </c>
      <c r="AM202" s="55" t="s">
        <v>3095</v>
      </c>
    </row>
    <row r="203" ht="45.0" customHeight="1">
      <c r="A203" s="55" t="s">
        <v>905</v>
      </c>
      <c r="B203" s="55" t="s">
        <v>4091</v>
      </c>
      <c r="C203" s="55" t="str">
        <f>IMAGE("https://raw.githubusercontent.com/ltdimages/images/refs/heads/main/Coordinate0180_00.png")</f>
        <v/>
      </c>
      <c r="D203" s="55" t="str">
        <f>IMAGE("https://raw.githubusercontent.com/ltdimages/images/refs/heads/main/Coordinate0180_01.png")</f>
        <v/>
      </c>
      <c r="E203" s="55" t="str">
        <f>IMAGE("https://raw.githubusercontent.com/ltdimages/images/refs/heads/main/Coordinate0180_02.png")</f>
        <v/>
      </c>
      <c r="F203" s="55" t="str">
        <f>IMAGE("https://raw.githubusercontent.com/ltdimages/images/refs/heads/main/Coordinate0180_03.png")</f>
        <v/>
      </c>
      <c r="G203" s="55" t="str">
        <f>IMAGE("https://raw.githubusercontent.com/ltdimages/images/refs/heads/main/Coordinate0180_04.png")</f>
        <v/>
      </c>
      <c r="H203" s="55" t="str">
        <f>IMAGE("https://raw.githubusercontent.com/ltdimages/images/refs/heads/main/Coordinate0180_05.png")</f>
        <v/>
      </c>
      <c r="I203" s="56" t="str">
        <f>IMAGE("https://raw.githubusercontent.com/ltdimages/images/refs/heads/main/Coordinate0180_06.png")</f>
        <v/>
      </c>
      <c r="J203" s="55" t="str">
        <f>IMAGE("https://raw.githubusercontent.com/ltdimages/images/refs/heads/main/Coordinate0180_07.png")</f>
        <v/>
      </c>
      <c r="K203" s="20" t="s">
        <v>4092</v>
      </c>
      <c r="L203" s="20" t="s">
        <v>3097</v>
      </c>
      <c r="M203" s="55" t="s">
        <v>3098</v>
      </c>
      <c r="N203" s="55" t="s">
        <v>3123</v>
      </c>
      <c r="O203" s="55" t="s">
        <v>45</v>
      </c>
      <c r="P203" s="55" t="s">
        <v>45</v>
      </c>
      <c r="Q203" s="55" t="s">
        <v>49</v>
      </c>
      <c r="R203" s="55" t="s">
        <v>45</v>
      </c>
      <c r="S203" s="55" t="s">
        <v>45</v>
      </c>
      <c r="T203" s="55" t="s">
        <v>45</v>
      </c>
      <c r="U203" s="55" t="s">
        <v>4093</v>
      </c>
      <c r="V203" s="55" t="s">
        <v>3095</v>
      </c>
      <c r="W203" s="55" t="s">
        <v>4094</v>
      </c>
      <c r="X203" s="55" t="s">
        <v>3095</v>
      </c>
      <c r="Y203" s="55" t="s">
        <v>3095</v>
      </c>
      <c r="Z203" s="55" t="s">
        <v>3095</v>
      </c>
      <c r="AA203" s="55" t="s">
        <v>3095</v>
      </c>
      <c r="AB203" s="55" t="s">
        <v>3095</v>
      </c>
      <c r="AC203" s="55" t="s">
        <v>3103</v>
      </c>
      <c r="AD203" s="55" t="s">
        <v>4095</v>
      </c>
      <c r="AE203" s="55" t="s">
        <v>3095</v>
      </c>
      <c r="AF203" s="55" t="s">
        <v>3095</v>
      </c>
      <c r="AG203" s="55" t="s">
        <v>3095</v>
      </c>
      <c r="AH203" s="55" t="s">
        <v>3095</v>
      </c>
      <c r="AI203" s="55" t="s">
        <v>3095</v>
      </c>
      <c r="AJ203" s="55" t="s">
        <v>3095</v>
      </c>
      <c r="AK203" s="55" t="s">
        <v>3095</v>
      </c>
      <c r="AL203" s="55" t="s">
        <v>3095</v>
      </c>
      <c r="AM203" s="55" t="s">
        <v>3095</v>
      </c>
    </row>
    <row r="204" ht="45.0" customHeight="1">
      <c r="A204" s="55" t="s">
        <v>909</v>
      </c>
      <c r="B204" s="55" t="s">
        <v>4096</v>
      </c>
      <c r="C204" s="55" t="str">
        <f>IMAGE("https://raw.githubusercontent.com/ltdimages/images/refs/heads/main/Coordinate0053_00.png")</f>
        <v/>
      </c>
      <c r="D204" s="55" t="str">
        <f>IMAGE("https://raw.githubusercontent.com/ltdimages/images/refs/heads/main/Coordinate0053_01.png")</f>
        <v/>
      </c>
      <c r="E204" s="55" t="s">
        <v>3095</v>
      </c>
      <c r="F204" s="55" t="s">
        <v>3095</v>
      </c>
      <c r="G204" s="55" t="s">
        <v>3095</v>
      </c>
      <c r="H204" s="55" t="s">
        <v>3095</v>
      </c>
      <c r="I204" s="56" t="s">
        <v>3095</v>
      </c>
      <c r="J204" s="55" t="s">
        <v>3095</v>
      </c>
      <c r="K204" s="20" t="s">
        <v>4097</v>
      </c>
      <c r="L204" s="20" t="s">
        <v>3097</v>
      </c>
      <c r="M204" s="55" t="s">
        <v>3098</v>
      </c>
      <c r="N204" s="55" t="s">
        <v>3099</v>
      </c>
      <c r="O204" s="55" t="s">
        <v>45</v>
      </c>
      <c r="P204" s="55" t="s">
        <v>45</v>
      </c>
      <c r="Q204" s="55" t="s">
        <v>45</v>
      </c>
      <c r="R204" s="55" t="s">
        <v>45</v>
      </c>
      <c r="S204" s="55" t="s">
        <v>45</v>
      </c>
      <c r="T204" s="55" t="s">
        <v>45</v>
      </c>
      <c r="U204" s="55" t="s">
        <v>4098</v>
      </c>
      <c r="V204" s="55" t="s">
        <v>3095</v>
      </c>
      <c r="W204" s="55" t="s">
        <v>3277</v>
      </c>
      <c r="X204" s="55" t="s">
        <v>4099</v>
      </c>
      <c r="Y204" s="55" t="s">
        <v>3095</v>
      </c>
      <c r="Z204" s="55" t="s">
        <v>3118</v>
      </c>
      <c r="AA204" s="55" t="s">
        <v>3157</v>
      </c>
      <c r="AB204" s="55" t="s">
        <v>3095</v>
      </c>
      <c r="AC204" s="55" t="s">
        <v>3103</v>
      </c>
      <c r="AD204" s="55" t="s">
        <v>4100</v>
      </c>
      <c r="AE204" s="55" t="s">
        <v>3095</v>
      </c>
      <c r="AF204" s="55" t="s">
        <v>3095</v>
      </c>
      <c r="AG204" s="55" t="s">
        <v>3095</v>
      </c>
      <c r="AH204" s="55" t="s">
        <v>3095</v>
      </c>
      <c r="AI204" s="55" t="s">
        <v>3095</v>
      </c>
      <c r="AJ204" s="55" t="s">
        <v>3095</v>
      </c>
      <c r="AK204" s="55" t="s">
        <v>3095</v>
      </c>
      <c r="AL204" s="55" t="s">
        <v>3095</v>
      </c>
      <c r="AM204" s="55" t="s">
        <v>3095</v>
      </c>
    </row>
    <row r="205" ht="45.0" customHeight="1">
      <c r="A205" s="55" t="s">
        <v>913</v>
      </c>
      <c r="B205" s="55" t="s">
        <v>4101</v>
      </c>
      <c r="C205" s="55" t="str">
        <f>IMAGE("https://raw.githubusercontent.com/ltdimages/images/refs/heads/main/Coordinate0008_00.png")</f>
        <v/>
      </c>
      <c r="D205" s="55" t="str">
        <f>IMAGE("https://raw.githubusercontent.com/ltdimages/images/refs/heads/main/Coordinate0008_01.png")</f>
        <v/>
      </c>
      <c r="E205" s="55" t="str">
        <f>IMAGE("https://raw.githubusercontent.com/ltdimages/images/refs/heads/main/Coordinate0008_02.png")</f>
        <v/>
      </c>
      <c r="F205" s="55" t="str">
        <f>IMAGE("https://raw.githubusercontent.com/ltdimages/images/refs/heads/main/Coordinate0008_03.png")</f>
        <v/>
      </c>
      <c r="G205" s="55" t="str">
        <f>IMAGE("https://raw.githubusercontent.com/ltdimages/images/refs/heads/main/Coordinate0008_04.png")</f>
        <v/>
      </c>
      <c r="H205" s="55" t="str">
        <f>IMAGE("https://raw.githubusercontent.com/ltdimages/images/refs/heads/main/Coordinate0008_05.png")</f>
        <v/>
      </c>
      <c r="I205" s="56" t="s">
        <v>3095</v>
      </c>
      <c r="J205" s="55" t="s">
        <v>3095</v>
      </c>
      <c r="K205" s="20" t="s">
        <v>3617</v>
      </c>
      <c r="L205" s="20" t="s">
        <v>3097</v>
      </c>
      <c r="M205" s="55" t="s">
        <v>3098</v>
      </c>
      <c r="N205" s="55" t="s">
        <v>3099</v>
      </c>
      <c r="O205" s="55" t="s">
        <v>45</v>
      </c>
      <c r="P205" s="55" t="s">
        <v>45</v>
      </c>
      <c r="Q205" s="55" t="s">
        <v>45</v>
      </c>
      <c r="R205" s="55" t="s">
        <v>45</v>
      </c>
      <c r="S205" s="55" t="s">
        <v>45</v>
      </c>
      <c r="T205" s="55" t="s">
        <v>45</v>
      </c>
      <c r="U205" s="55" t="s">
        <v>4102</v>
      </c>
      <c r="V205" s="55" t="s">
        <v>3095</v>
      </c>
      <c r="W205" s="55" t="s">
        <v>3254</v>
      </c>
      <c r="X205" s="55" t="s">
        <v>3095</v>
      </c>
      <c r="Y205" s="55" t="s">
        <v>3095</v>
      </c>
      <c r="Z205" s="55" t="s">
        <v>3193</v>
      </c>
      <c r="AA205" s="55" t="s">
        <v>4103</v>
      </c>
      <c r="AB205" s="55" t="s">
        <v>3095</v>
      </c>
      <c r="AC205" s="55" t="s">
        <v>3103</v>
      </c>
      <c r="AD205" s="55" t="s">
        <v>4104</v>
      </c>
      <c r="AE205" s="55" t="s">
        <v>3095</v>
      </c>
      <c r="AF205" s="55" t="s">
        <v>3095</v>
      </c>
      <c r="AG205" s="55" t="s">
        <v>3095</v>
      </c>
      <c r="AH205" s="55" t="s">
        <v>3095</v>
      </c>
      <c r="AI205" s="55" t="s">
        <v>3095</v>
      </c>
      <c r="AJ205" s="55" t="s">
        <v>3095</v>
      </c>
      <c r="AK205" s="55" t="s">
        <v>3095</v>
      </c>
      <c r="AL205" s="55" t="s">
        <v>3095</v>
      </c>
      <c r="AM205" s="55" t="s">
        <v>3095</v>
      </c>
    </row>
    <row r="206" ht="45.0" customHeight="1">
      <c r="A206" s="55" t="s">
        <v>917</v>
      </c>
      <c r="B206" s="55" t="s">
        <v>4105</v>
      </c>
      <c r="C206" s="55" t="str">
        <f>IMAGE("https://raw.githubusercontent.com/ltdimages/images/refs/heads/main/Coordinate0243_00.png")</f>
        <v/>
      </c>
      <c r="D206" s="55" t="str">
        <f>IMAGE("https://raw.githubusercontent.com/ltdimages/images/refs/heads/main/Coordinate0243_01.png")</f>
        <v/>
      </c>
      <c r="E206" s="55" t="str">
        <f>IMAGE("https://raw.githubusercontent.com/ltdimages/images/refs/heads/main/Coordinate0243_02.png")</f>
        <v/>
      </c>
      <c r="F206" s="55" t="str">
        <f>IMAGE("https://raw.githubusercontent.com/ltdimages/images/refs/heads/main/Coordinate0243_03.png")</f>
        <v/>
      </c>
      <c r="G206" s="55" t="str">
        <f>IMAGE("https://raw.githubusercontent.com/ltdimages/images/refs/heads/main/Coordinate0243_04.png")</f>
        <v/>
      </c>
      <c r="H206" s="55" t="str">
        <f>IMAGE("https://raw.githubusercontent.com/ltdimages/images/refs/heads/main/Coordinate0243_05.png")</f>
        <v/>
      </c>
      <c r="I206" s="56" t="s">
        <v>3095</v>
      </c>
      <c r="J206" s="55" t="s">
        <v>3095</v>
      </c>
      <c r="K206" s="20" t="s">
        <v>3191</v>
      </c>
      <c r="L206" s="20" t="s">
        <v>3097</v>
      </c>
      <c r="M206" s="55" t="s">
        <v>3098</v>
      </c>
      <c r="N206" s="55" t="s">
        <v>3123</v>
      </c>
      <c r="O206" s="55" t="s">
        <v>45</v>
      </c>
      <c r="P206" s="55" t="s">
        <v>45</v>
      </c>
      <c r="Q206" s="55" t="s">
        <v>45</v>
      </c>
      <c r="R206" s="55" t="s">
        <v>45</v>
      </c>
      <c r="S206" s="55" t="s">
        <v>45</v>
      </c>
      <c r="T206" s="55" t="s">
        <v>45</v>
      </c>
      <c r="U206" s="55" t="s">
        <v>3124</v>
      </c>
      <c r="V206" s="55" t="s">
        <v>3095</v>
      </c>
      <c r="W206" s="55" t="s">
        <v>3543</v>
      </c>
      <c r="X206" s="55" t="s">
        <v>4106</v>
      </c>
      <c r="Y206" s="55" t="s">
        <v>4107</v>
      </c>
      <c r="Z206" s="55" t="s">
        <v>3095</v>
      </c>
      <c r="AA206" s="55" t="s">
        <v>3663</v>
      </c>
      <c r="AB206" s="55" t="s">
        <v>3095</v>
      </c>
      <c r="AC206" s="55" t="s">
        <v>3244</v>
      </c>
      <c r="AD206" s="55" t="s">
        <v>4108</v>
      </c>
      <c r="AE206" s="55" t="s">
        <v>3095</v>
      </c>
      <c r="AF206" s="55" t="s">
        <v>3095</v>
      </c>
      <c r="AG206" s="55" t="s">
        <v>3095</v>
      </c>
      <c r="AH206" s="55" t="s">
        <v>3095</v>
      </c>
      <c r="AI206" s="55" t="s">
        <v>3095</v>
      </c>
      <c r="AJ206" s="55" t="s">
        <v>3095</v>
      </c>
      <c r="AK206" s="55" t="s">
        <v>3095</v>
      </c>
      <c r="AL206" s="55" t="s">
        <v>3095</v>
      </c>
      <c r="AM206" s="55" t="s">
        <v>3095</v>
      </c>
    </row>
    <row r="207" ht="45.0" customHeight="1">
      <c r="A207" s="55" t="s">
        <v>921</v>
      </c>
      <c r="B207" s="55" t="s">
        <v>4109</v>
      </c>
      <c r="C207" s="55" t="str">
        <f>IMAGE("https://raw.githubusercontent.com/ltdimages/images/refs/heads/main/Coordinate0067_00.png")</f>
        <v/>
      </c>
      <c r="D207" s="55" t="str">
        <f>IMAGE("https://raw.githubusercontent.com/ltdimages/images/refs/heads/main/Coordinate0067_01.png")</f>
        <v/>
      </c>
      <c r="E207" s="55" t="str">
        <f>IMAGE("https://raw.githubusercontent.com/ltdimages/images/refs/heads/main/Coordinate0067_02.png")</f>
        <v/>
      </c>
      <c r="F207" s="55" t="str">
        <f>IMAGE("https://raw.githubusercontent.com/ltdimages/images/refs/heads/main/Coordinate0067_03.png")</f>
        <v/>
      </c>
      <c r="G207" s="55" t="s">
        <v>3095</v>
      </c>
      <c r="H207" s="55" t="s">
        <v>3095</v>
      </c>
      <c r="I207" s="56" t="s">
        <v>3095</v>
      </c>
      <c r="J207" s="55" t="s">
        <v>3095</v>
      </c>
      <c r="K207" s="20" t="s">
        <v>4110</v>
      </c>
      <c r="L207" s="20" t="s">
        <v>3097</v>
      </c>
      <c r="M207" s="55" t="s">
        <v>3098</v>
      </c>
      <c r="N207" s="55" t="s">
        <v>3099</v>
      </c>
      <c r="O207" s="55" t="s">
        <v>45</v>
      </c>
      <c r="P207" s="55" t="s">
        <v>45</v>
      </c>
      <c r="Q207" s="55" t="s">
        <v>45</v>
      </c>
      <c r="R207" s="55" t="s">
        <v>45</v>
      </c>
      <c r="S207" s="55" t="s">
        <v>45</v>
      </c>
      <c r="T207" s="55" t="s">
        <v>45</v>
      </c>
      <c r="U207" s="55" t="s">
        <v>4111</v>
      </c>
      <c r="V207" s="55" t="s">
        <v>3095</v>
      </c>
      <c r="W207" s="55" t="s">
        <v>3148</v>
      </c>
      <c r="X207" s="55" t="s">
        <v>3095</v>
      </c>
      <c r="Y207" s="55" t="s">
        <v>3095</v>
      </c>
      <c r="Z207" s="55" t="s">
        <v>3193</v>
      </c>
      <c r="AA207" s="55" t="s">
        <v>3157</v>
      </c>
      <c r="AB207" s="55" t="s">
        <v>3095</v>
      </c>
      <c r="AC207" s="55" t="s">
        <v>3103</v>
      </c>
      <c r="AD207" s="55" t="s">
        <v>4112</v>
      </c>
      <c r="AE207" s="55" t="s">
        <v>3095</v>
      </c>
      <c r="AF207" s="55" t="s">
        <v>3095</v>
      </c>
      <c r="AG207" s="55" t="s">
        <v>3095</v>
      </c>
      <c r="AH207" s="55" t="s">
        <v>3095</v>
      </c>
      <c r="AI207" s="55" t="s">
        <v>3095</v>
      </c>
      <c r="AJ207" s="55" t="s">
        <v>3095</v>
      </c>
      <c r="AK207" s="55" t="s">
        <v>3095</v>
      </c>
      <c r="AL207" s="55" t="s">
        <v>3095</v>
      </c>
      <c r="AM207" s="55" t="s">
        <v>3095</v>
      </c>
    </row>
    <row r="208" ht="45.0" customHeight="1">
      <c r="A208" s="55" t="s">
        <v>925</v>
      </c>
      <c r="B208" s="55" t="s">
        <v>4113</v>
      </c>
      <c r="C208" s="55" t="str">
        <f>IMAGE("https://raw.githubusercontent.com/ltdimages/images/refs/heads/main/Coordinate0022_00.png")</f>
        <v/>
      </c>
      <c r="D208" s="55" t="str">
        <f>IMAGE("https://raw.githubusercontent.com/ltdimages/images/refs/heads/main/Coordinate0022_01.png")</f>
        <v/>
      </c>
      <c r="E208" s="55" t="str">
        <f>IMAGE("https://raw.githubusercontent.com/ltdimages/images/refs/heads/main/Coordinate0022_02.png")</f>
        <v/>
      </c>
      <c r="F208" s="55" t="str">
        <f>IMAGE("https://raw.githubusercontent.com/ltdimages/images/refs/heads/main/Coordinate0022_03.png")</f>
        <v/>
      </c>
      <c r="G208" s="55" t="str">
        <f>IMAGE("https://raw.githubusercontent.com/ltdimages/images/refs/heads/main/Coordinate0022_04.png")</f>
        <v/>
      </c>
      <c r="H208" s="55" t="str">
        <f>IMAGE("https://raw.githubusercontent.com/ltdimages/images/refs/heads/main/Coordinate0022_05.png")</f>
        <v/>
      </c>
      <c r="I208" s="56" t="str">
        <f>IMAGE("https://raw.githubusercontent.com/ltdimages/images/refs/heads/main/Coordinate0022_06.png")</f>
        <v/>
      </c>
      <c r="J208" s="55" t="str">
        <f>IMAGE("https://raw.githubusercontent.com/ltdimages/images/refs/heads/main/Coordinate0022_07.png")</f>
        <v/>
      </c>
      <c r="K208" s="20" t="s">
        <v>4114</v>
      </c>
      <c r="L208" s="20" t="s">
        <v>3097</v>
      </c>
      <c r="M208" s="55" t="s">
        <v>3098</v>
      </c>
      <c r="N208" s="55" t="s">
        <v>3099</v>
      </c>
      <c r="O208" s="55" t="s">
        <v>45</v>
      </c>
      <c r="P208" s="55" t="s">
        <v>45</v>
      </c>
      <c r="Q208" s="55" t="s">
        <v>45</v>
      </c>
      <c r="R208" s="55" t="s">
        <v>45</v>
      </c>
      <c r="S208" s="55" t="s">
        <v>45</v>
      </c>
      <c r="T208" s="55" t="s">
        <v>45</v>
      </c>
      <c r="U208" s="55" t="s">
        <v>4115</v>
      </c>
      <c r="V208" s="55" t="s">
        <v>3095</v>
      </c>
      <c r="W208" s="55" t="s">
        <v>3148</v>
      </c>
      <c r="X208" s="55" t="s">
        <v>3095</v>
      </c>
      <c r="Y208" s="55" t="s">
        <v>3095</v>
      </c>
      <c r="Z208" s="55" t="s">
        <v>3193</v>
      </c>
      <c r="AA208" s="55" t="s">
        <v>3217</v>
      </c>
      <c r="AB208" s="55" t="s">
        <v>3095</v>
      </c>
      <c r="AC208" s="55" t="s">
        <v>3103</v>
      </c>
      <c r="AD208" s="55" t="s">
        <v>4116</v>
      </c>
      <c r="AE208" s="55" t="s">
        <v>3095</v>
      </c>
      <c r="AF208" s="55" t="s">
        <v>3095</v>
      </c>
      <c r="AG208" s="55" t="s">
        <v>3095</v>
      </c>
      <c r="AH208" s="55" t="s">
        <v>3095</v>
      </c>
      <c r="AI208" s="55" t="s">
        <v>3095</v>
      </c>
      <c r="AJ208" s="55" t="s">
        <v>3095</v>
      </c>
      <c r="AK208" s="55" t="s">
        <v>3095</v>
      </c>
      <c r="AL208" s="55" t="s">
        <v>3095</v>
      </c>
      <c r="AM208" s="55" t="s">
        <v>3095</v>
      </c>
    </row>
    <row r="209" ht="45.0" customHeight="1">
      <c r="A209" s="55" t="s">
        <v>929</v>
      </c>
      <c r="B209" s="55" t="s">
        <v>4117</v>
      </c>
      <c r="C209" s="55" t="str">
        <f>IMAGE("https://raw.githubusercontent.com/ltdimages/images/refs/heads/main/Coordinate0149_00.png")</f>
        <v/>
      </c>
      <c r="D209" s="55" t="str">
        <f>IMAGE("https://raw.githubusercontent.com/ltdimages/images/refs/heads/main/Coordinate0149_01.png")</f>
        <v/>
      </c>
      <c r="E209" s="55" t="str">
        <f>IMAGE("https://raw.githubusercontent.com/ltdimages/images/refs/heads/main/Coordinate0149_02.png")</f>
        <v/>
      </c>
      <c r="F209" s="55" t="str">
        <f>IMAGE("https://raw.githubusercontent.com/ltdimages/images/refs/heads/main/Coordinate0149_03.png")</f>
        <v/>
      </c>
      <c r="G209" s="55" t="s">
        <v>3095</v>
      </c>
      <c r="H209" s="55" t="s">
        <v>3095</v>
      </c>
      <c r="I209" s="56" t="s">
        <v>3095</v>
      </c>
      <c r="J209" s="55" t="s">
        <v>3095</v>
      </c>
      <c r="K209" s="20" t="s">
        <v>4118</v>
      </c>
      <c r="L209" s="20" t="s">
        <v>3097</v>
      </c>
      <c r="M209" s="55" t="s">
        <v>3098</v>
      </c>
      <c r="N209" s="55" t="s">
        <v>3123</v>
      </c>
      <c r="O209" s="55" t="s">
        <v>45</v>
      </c>
      <c r="P209" s="55" t="s">
        <v>45</v>
      </c>
      <c r="Q209" s="55" t="s">
        <v>45</v>
      </c>
      <c r="R209" s="55" t="s">
        <v>45</v>
      </c>
      <c r="S209" s="55" t="s">
        <v>45</v>
      </c>
      <c r="T209" s="55" t="s">
        <v>45</v>
      </c>
      <c r="U209" s="55" t="s">
        <v>4119</v>
      </c>
      <c r="V209" s="55" t="s">
        <v>3095</v>
      </c>
      <c r="W209" s="55" t="s">
        <v>4074</v>
      </c>
      <c r="X209" s="55" t="s">
        <v>3095</v>
      </c>
      <c r="Y209" s="55" t="s">
        <v>3095</v>
      </c>
      <c r="Z209" s="55" t="s">
        <v>3095</v>
      </c>
      <c r="AA209" s="55" t="s">
        <v>3663</v>
      </c>
      <c r="AB209" s="55" t="s">
        <v>3095</v>
      </c>
      <c r="AC209" s="55" t="s">
        <v>3103</v>
      </c>
      <c r="AD209" s="55" t="s">
        <v>4120</v>
      </c>
      <c r="AE209" s="55" t="s">
        <v>3095</v>
      </c>
      <c r="AF209" s="55" t="s">
        <v>3095</v>
      </c>
      <c r="AG209" s="55" t="s">
        <v>3095</v>
      </c>
      <c r="AH209" s="55" t="s">
        <v>3095</v>
      </c>
      <c r="AI209" s="55" t="s">
        <v>3095</v>
      </c>
      <c r="AJ209" s="55" t="s">
        <v>3095</v>
      </c>
      <c r="AK209" s="55" t="s">
        <v>3095</v>
      </c>
      <c r="AL209" s="55" t="s">
        <v>3095</v>
      </c>
      <c r="AM209" s="55" t="s">
        <v>3095</v>
      </c>
    </row>
    <row r="210" ht="45.0" customHeight="1">
      <c r="A210" s="55" t="s">
        <v>933</v>
      </c>
      <c r="B210" s="55" t="s">
        <v>4121</v>
      </c>
      <c r="C210" s="55" t="str">
        <f>IMAGE("https://raw.githubusercontent.com/ltdimages/images/refs/heads/main/Coordinate0152_00.png")</f>
        <v/>
      </c>
      <c r="D210" s="55" t="str">
        <f>IMAGE("https://raw.githubusercontent.com/ltdimages/images/refs/heads/main/Coordinate0152_01.png")</f>
        <v/>
      </c>
      <c r="E210" s="55" t="str">
        <f>IMAGE("https://raw.githubusercontent.com/ltdimages/images/refs/heads/main/Coordinate0152_02.png")</f>
        <v/>
      </c>
      <c r="F210" s="55" t="str">
        <f>IMAGE("https://raw.githubusercontent.com/ltdimages/images/refs/heads/main/Coordinate0152_03.png")</f>
        <v/>
      </c>
      <c r="G210" s="55" t="str">
        <f>IMAGE("https://raw.githubusercontent.com/ltdimages/images/refs/heads/main/Coordinate0152_04.png")</f>
        <v/>
      </c>
      <c r="H210" s="55" t="str">
        <f>IMAGE("https://raw.githubusercontent.com/ltdimages/images/refs/heads/main/Coordinate0152_05.png")</f>
        <v/>
      </c>
      <c r="I210" s="56" t="str">
        <f>IMAGE("https://raw.githubusercontent.com/ltdimages/images/refs/heads/main/Coordinate0152_06.png")</f>
        <v/>
      </c>
      <c r="J210" s="55" t="str">
        <f>IMAGE("https://raw.githubusercontent.com/ltdimages/images/refs/heads/main/Coordinate0152_07.png")</f>
        <v/>
      </c>
      <c r="K210" s="20" t="s">
        <v>3617</v>
      </c>
      <c r="L210" s="20" t="s">
        <v>3097</v>
      </c>
      <c r="M210" s="55" t="s">
        <v>3098</v>
      </c>
      <c r="N210" s="55" t="s">
        <v>3114</v>
      </c>
      <c r="O210" s="55" t="s">
        <v>45</v>
      </c>
      <c r="P210" s="55" t="s">
        <v>45</v>
      </c>
      <c r="Q210" s="55" t="s">
        <v>45</v>
      </c>
      <c r="R210" s="55" t="s">
        <v>45</v>
      </c>
      <c r="S210" s="55" t="s">
        <v>45</v>
      </c>
      <c r="T210" s="55" t="s">
        <v>45</v>
      </c>
      <c r="U210" s="55" t="s">
        <v>4122</v>
      </c>
      <c r="V210" s="55" t="s">
        <v>3095</v>
      </c>
      <c r="W210" s="55" t="s">
        <v>3254</v>
      </c>
      <c r="X210" s="55" t="s">
        <v>3095</v>
      </c>
      <c r="Y210" s="55" t="s">
        <v>3095</v>
      </c>
      <c r="Z210" s="55" t="s">
        <v>3296</v>
      </c>
      <c r="AA210" s="55" t="s">
        <v>3232</v>
      </c>
      <c r="AB210" s="55" t="s">
        <v>3095</v>
      </c>
      <c r="AC210" s="55" t="s">
        <v>3103</v>
      </c>
      <c r="AD210" s="55" t="s">
        <v>4123</v>
      </c>
      <c r="AE210" s="55" t="s">
        <v>3095</v>
      </c>
      <c r="AF210" s="55" t="s">
        <v>3095</v>
      </c>
      <c r="AG210" s="55" t="s">
        <v>3095</v>
      </c>
      <c r="AH210" s="55" t="s">
        <v>3095</v>
      </c>
      <c r="AI210" s="55" t="s">
        <v>3095</v>
      </c>
      <c r="AJ210" s="55" t="s">
        <v>3095</v>
      </c>
      <c r="AK210" s="55" t="s">
        <v>3095</v>
      </c>
      <c r="AL210" s="55" t="s">
        <v>3095</v>
      </c>
      <c r="AM210" s="55" t="s">
        <v>3095</v>
      </c>
    </row>
    <row r="211" ht="45.0" customHeight="1">
      <c r="A211" s="55" t="s">
        <v>937</v>
      </c>
      <c r="B211" s="55" t="s">
        <v>4124</v>
      </c>
      <c r="C211" s="55" t="str">
        <f>IMAGE("https://raw.githubusercontent.com/ltdimages/images/refs/heads/main/Coordinate0216_00.png")</f>
        <v/>
      </c>
      <c r="D211" s="55" t="str">
        <f>IMAGE("https://raw.githubusercontent.com/ltdimages/images/refs/heads/main/Coordinate0216_01.png")</f>
        <v/>
      </c>
      <c r="E211" s="55" t="str">
        <f>IMAGE("https://raw.githubusercontent.com/ltdimages/images/refs/heads/main/Coordinate0216_02.png")</f>
        <v/>
      </c>
      <c r="F211" s="55" t="s">
        <v>3095</v>
      </c>
      <c r="G211" s="55" t="s">
        <v>3095</v>
      </c>
      <c r="H211" s="55" t="s">
        <v>3095</v>
      </c>
      <c r="I211" s="56" t="s">
        <v>3095</v>
      </c>
      <c r="J211" s="55" t="s">
        <v>3095</v>
      </c>
      <c r="K211" s="20" t="s">
        <v>4125</v>
      </c>
      <c r="L211" s="20" t="s">
        <v>3097</v>
      </c>
      <c r="M211" s="55" t="s">
        <v>2574</v>
      </c>
      <c r="N211" s="55" t="s">
        <v>3099</v>
      </c>
      <c r="O211" s="55" t="s">
        <v>45</v>
      </c>
      <c r="P211" s="55" t="s">
        <v>45</v>
      </c>
      <c r="Q211" s="55" t="s">
        <v>45</v>
      </c>
      <c r="R211" s="55" t="s">
        <v>49</v>
      </c>
      <c r="S211" s="55" t="s">
        <v>45</v>
      </c>
      <c r="T211" s="55" t="s">
        <v>45</v>
      </c>
      <c r="U211" s="55" t="s">
        <v>3095</v>
      </c>
      <c r="V211" s="55" t="s">
        <v>3095</v>
      </c>
      <c r="W211" s="55" t="s">
        <v>3095</v>
      </c>
      <c r="X211" s="55" t="s">
        <v>4126</v>
      </c>
      <c r="Y211" s="55" t="s">
        <v>3095</v>
      </c>
      <c r="Z211" s="55" t="s">
        <v>3095</v>
      </c>
      <c r="AA211" s="55" t="s">
        <v>3095</v>
      </c>
      <c r="AB211" s="55" t="s">
        <v>4127</v>
      </c>
      <c r="AC211" s="55" t="s">
        <v>3099</v>
      </c>
      <c r="AD211" s="55" t="s">
        <v>4128</v>
      </c>
      <c r="AE211" s="55" t="s">
        <v>3095</v>
      </c>
      <c r="AF211" s="55" t="s">
        <v>3095</v>
      </c>
      <c r="AG211" s="55" t="s">
        <v>3095</v>
      </c>
      <c r="AH211" s="55" t="s">
        <v>3095</v>
      </c>
      <c r="AI211" s="55" t="s">
        <v>3095</v>
      </c>
      <c r="AJ211" s="55" t="s">
        <v>3095</v>
      </c>
      <c r="AK211" s="55" t="s">
        <v>3095</v>
      </c>
      <c r="AL211" s="55" t="s">
        <v>3095</v>
      </c>
      <c r="AM211" s="55" t="s">
        <v>3095</v>
      </c>
    </row>
    <row r="212" ht="45.0" customHeight="1">
      <c r="A212" s="55" t="s">
        <v>941</v>
      </c>
      <c r="B212" s="55" t="s">
        <v>4129</v>
      </c>
      <c r="C212" s="55" t="str">
        <f>IMAGE("https://raw.githubusercontent.com/ltdimages/images/refs/heads/main/Coordinate0202_00.png")</f>
        <v/>
      </c>
      <c r="D212" s="55" t="str">
        <f>IMAGE("https://raw.githubusercontent.com/ltdimages/images/refs/heads/main/Coordinate0202_01.png")</f>
        <v/>
      </c>
      <c r="E212" s="55" t="str">
        <f>IMAGE("https://raw.githubusercontent.com/ltdimages/images/refs/heads/main/Coordinate0202_02.png")</f>
        <v/>
      </c>
      <c r="F212" s="55" t="str">
        <f>IMAGE("https://raw.githubusercontent.com/ltdimages/images/refs/heads/main/Coordinate0202_03.png")</f>
        <v/>
      </c>
      <c r="G212" s="55" t="s">
        <v>3095</v>
      </c>
      <c r="H212" s="55" t="s">
        <v>3095</v>
      </c>
      <c r="I212" s="56" t="s">
        <v>3095</v>
      </c>
      <c r="J212" s="55" t="s">
        <v>3095</v>
      </c>
      <c r="K212" s="20" t="s">
        <v>4130</v>
      </c>
      <c r="L212" s="20" t="s">
        <v>3097</v>
      </c>
      <c r="M212" s="55" t="s">
        <v>2574</v>
      </c>
      <c r="N212" s="55" t="s">
        <v>3099</v>
      </c>
      <c r="O212" s="55" t="s">
        <v>45</v>
      </c>
      <c r="P212" s="55" t="s">
        <v>45</v>
      </c>
      <c r="Q212" s="55" t="s">
        <v>45</v>
      </c>
      <c r="R212" s="55" t="s">
        <v>49</v>
      </c>
      <c r="S212" s="55" t="s">
        <v>45</v>
      </c>
      <c r="T212" s="55" t="s">
        <v>45</v>
      </c>
      <c r="U212" s="55" t="s">
        <v>3095</v>
      </c>
      <c r="V212" s="55" t="s">
        <v>3095</v>
      </c>
      <c r="W212" s="55" t="s">
        <v>3095</v>
      </c>
      <c r="X212" s="55" t="s">
        <v>4131</v>
      </c>
      <c r="Y212" s="55" t="s">
        <v>3095</v>
      </c>
      <c r="Z212" s="55" t="s">
        <v>3095</v>
      </c>
      <c r="AA212" s="55" t="s">
        <v>3095</v>
      </c>
      <c r="AB212" s="55" t="s">
        <v>4132</v>
      </c>
      <c r="AC212" s="55" t="s">
        <v>3099</v>
      </c>
      <c r="AD212" s="55" t="s">
        <v>4133</v>
      </c>
      <c r="AE212" s="55" t="s">
        <v>3095</v>
      </c>
      <c r="AF212" s="55" t="s">
        <v>3095</v>
      </c>
      <c r="AG212" s="55" t="s">
        <v>3095</v>
      </c>
      <c r="AH212" s="55" t="s">
        <v>3095</v>
      </c>
      <c r="AI212" s="55" t="s">
        <v>3095</v>
      </c>
      <c r="AJ212" s="55" t="s">
        <v>3095</v>
      </c>
      <c r="AK212" s="55" t="s">
        <v>3095</v>
      </c>
      <c r="AL212" s="55" t="s">
        <v>3095</v>
      </c>
      <c r="AM212" s="55" t="s">
        <v>3095</v>
      </c>
    </row>
    <row r="213" ht="45.0" customHeight="1">
      <c r="A213" s="55" t="s">
        <v>945</v>
      </c>
      <c r="B213" s="57" t="s">
        <v>4134</v>
      </c>
      <c r="C213" s="57" t="str">
        <f>IMAGE("https://raw.githubusercontent.com/ltdimages/images/refs/heads/main/Coordinate0106_00.png")</f>
        <v/>
      </c>
      <c r="D213" s="57" t="str">
        <f>IMAGE("https://raw.githubusercontent.com/ltdimages/images/refs/heads/main/Coordinate0106_01.png")</f>
        <v/>
      </c>
      <c r="E213" s="57" t="str">
        <f>IMAGE("https://raw.githubusercontent.com/ltdimages/images/refs/heads/main/Coordinate0106_02.png")</f>
        <v/>
      </c>
      <c r="F213" s="57" t="str">
        <f>IMAGE("https://raw.githubusercontent.com/ltdimages/images/refs/heads/main/Coordinate0106_03.png")</f>
        <v/>
      </c>
      <c r="G213" s="57" t="str">
        <f>IMAGE("https://raw.githubusercontent.com/ltdimages/images/refs/heads/main/Coordinate0106_04.png")</f>
        <v/>
      </c>
      <c r="H213" s="57" t="str">
        <f>IMAGE("https://raw.githubusercontent.com/ltdimages/images/refs/heads/main/Coordinate0106_05.png")</f>
        <v/>
      </c>
      <c r="I213" s="56" t="str">
        <f>IMAGE("https://raw.githubusercontent.com/ltdimages/images/refs/heads/main/Coordinate0106_06.png")</f>
        <v/>
      </c>
      <c r="J213" s="57" t="str">
        <f>IMAGE("https://raw.githubusercontent.com/ltdimages/images/refs/heads/main/Coordinate0106_07.png")</f>
        <v/>
      </c>
      <c r="K213" s="20" t="s">
        <v>3573</v>
      </c>
      <c r="L213" s="20" t="s">
        <v>3097</v>
      </c>
      <c r="M213" s="57" t="s">
        <v>3098</v>
      </c>
      <c r="N213" s="57" t="s">
        <v>3099</v>
      </c>
      <c r="O213" s="57" t="s">
        <v>45</v>
      </c>
      <c r="P213" s="57" t="s">
        <v>45</v>
      </c>
      <c r="Q213" s="57" t="s">
        <v>45</v>
      </c>
      <c r="R213" s="57" t="s">
        <v>45</v>
      </c>
      <c r="S213" s="57" t="s">
        <v>45</v>
      </c>
      <c r="T213" s="57" t="s">
        <v>45</v>
      </c>
      <c r="U213" s="57" t="s">
        <v>4135</v>
      </c>
      <c r="V213" s="57" t="s">
        <v>3095</v>
      </c>
      <c r="W213" s="57" t="s">
        <v>4136</v>
      </c>
      <c r="X213" s="57" t="s">
        <v>3095</v>
      </c>
      <c r="Y213" s="57" t="s">
        <v>3095</v>
      </c>
      <c r="Z213" s="55" t="s">
        <v>3193</v>
      </c>
      <c r="AA213" s="55" t="s">
        <v>3366</v>
      </c>
      <c r="AB213" s="55" t="s">
        <v>3095</v>
      </c>
      <c r="AC213" s="55" t="s">
        <v>3103</v>
      </c>
      <c r="AD213" s="55" t="s">
        <v>4137</v>
      </c>
      <c r="AE213" s="55" t="s">
        <v>3095</v>
      </c>
      <c r="AF213" s="55" t="s">
        <v>3095</v>
      </c>
      <c r="AG213" s="55" t="s">
        <v>3095</v>
      </c>
      <c r="AH213" s="55" t="s">
        <v>3095</v>
      </c>
      <c r="AI213" s="55" t="s">
        <v>3095</v>
      </c>
      <c r="AJ213" s="55" t="s">
        <v>3095</v>
      </c>
      <c r="AK213" s="55" t="s">
        <v>3095</v>
      </c>
      <c r="AL213" s="55" t="s">
        <v>3095</v>
      </c>
      <c r="AM213" s="55" t="s">
        <v>3095</v>
      </c>
    </row>
    <row r="214" ht="45.0" customHeight="1">
      <c r="A214" s="55" t="s">
        <v>949</v>
      </c>
      <c r="B214" s="57" t="s">
        <v>4138</v>
      </c>
      <c r="C214" s="57" t="str">
        <f>IMAGE("https://raw.githubusercontent.com/ltdimages/images/refs/heads/main/Coordinate0107_00.png")</f>
        <v/>
      </c>
      <c r="D214" s="57" t="str">
        <f>IMAGE("https://raw.githubusercontent.com/ltdimages/images/refs/heads/main/Coordinate0107_01.png")</f>
        <v/>
      </c>
      <c r="E214" s="57" t="str">
        <f>IMAGE("https://raw.githubusercontent.com/ltdimages/images/refs/heads/main/Coordinate0107_02.png")</f>
        <v/>
      </c>
      <c r="F214" s="57" t="str">
        <f>IMAGE("https://raw.githubusercontent.com/ltdimages/images/refs/heads/main/Coordinate0107_03.png")</f>
        <v/>
      </c>
      <c r="G214" s="57" t="str">
        <f>IMAGE("https://raw.githubusercontent.com/ltdimages/images/refs/heads/main/Coordinate0107_04.png")</f>
        <v/>
      </c>
      <c r="H214" s="57" t="str">
        <f>IMAGE("https://raw.githubusercontent.com/ltdimages/images/refs/heads/main/Coordinate0107_05.png")</f>
        <v/>
      </c>
      <c r="I214" s="56" t="str">
        <f>IMAGE("https://raw.githubusercontent.com/ltdimages/images/refs/heads/main/Coordinate0107_06.png")</f>
        <v/>
      </c>
      <c r="J214" s="57" t="str">
        <f>IMAGE("https://raw.githubusercontent.com/ltdimages/images/refs/heads/main/Coordinate0107_07.png")</f>
        <v/>
      </c>
      <c r="K214" s="20" t="s">
        <v>4023</v>
      </c>
      <c r="L214" s="20" t="s">
        <v>3097</v>
      </c>
      <c r="M214" s="57" t="s">
        <v>3098</v>
      </c>
      <c r="N214" s="57" t="s">
        <v>3099</v>
      </c>
      <c r="O214" s="57" t="s">
        <v>45</v>
      </c>
      <c r="P214" s="57" t="s">
        <v>45</v>
      </c>
      <c r="Q214" s="57" t="s">
        <v>45</v>
      </c>
      <c r="R214" s="57" t="s">
        <v>45</v>
      </c>
      <c r="S214" s="57" t="s">
        <v>45</v>
      </c>
      <c r="T214" s="57" t="s">
        <v>45</v>
      </c>
      <c r="U214" s="57" t="s">
        <v>4135</v>
      </c>
      <c r="V214" s="57" t="s">
        <v>3095</v>
      </c>
      <c r="W214" s="57" t="s">
        <v>3444</v>
      </c>
      <c r="X214" s="57" t="s">
        <v>3095</v>
      </c>
      <c r="Y214" s="57" t="s">
        <v>3095</v>
      </c>
      <c r="Z214" s="55" t="s">
        <v>3193</v>
      </c>
      <c r="AA214" s="55" t="s">
        <v>3341</v>
      </c>
      <c r="AB214" s="55" t="s">
        <v>3095</v>
      </c>
      <c r="AC214" s="55" t="s">
        <v>3103</v>
      </c>
      <c r="AD214" s="55" t="s">
        <v>4139</v>
      </c>
      <c r="AE214" s="55" t="s">
        <v>3095</v>
      </c>
      <c r="AF214" s="55" t="s">
        <v>3095</v>
      </c>
      <c r="AG214" s="55" t="s">
        <v>3095</v>
      </c>
      <c r="AH214" s="55" t="s">
        <v>3095</v>
      </c>
      <c r="AI214" s="55" t="s">
        <v>3095</v>
      </c>
      <c r="AJ214" s="55" t="s">
        <v>3095</v>
      </c>
      <c r="AK214" s="55" t="s">
        <v>3095</v>
      </c>
      <c r="AL214" s="55" t="s">
        <v>3095</v>
      </c>
      <c r="AM214" s="55" t="s">
        <v>3095</v>
      </c>
    </row>
    <row r="215" ht="45.0" customHeight="1">
      <c r="A215" s="55" t="s">
        <v>954</v>
      </c>
      <c r="B215" s="55" t="s">
        <v>4140</v>
      </c>
      <c r="C215" s="55" t="str">
        <f>IMAGE("https://raw.githubusercontent.com/ltdimages/images/refs/heads/main/Coordinate0241_00.png")</f>
        <v/>
      </c>
      <c r="D215" s="55" t="str">
        <f>IMAGE("https://raw.githubusercontent.com/ltdimages/images/refs/heads/main/Coordinate0241_01.png")</f>
        <v/>
      </c>
      <c r="E215" s="55" t="str">
        <f>IMAGE("https://raw.githubusercontent.com/ltdimages/images/refs/heads/main/Coordinate0241_02.png")</f>
        <v/>
      </c>
      <c r="F215" s="55" t="str">
        <f>IMAGE("https://raw.githubusercontent.com/ltdimages/images/refs/heads/main/Coordinate0241_03.png")</f>
        <v/>
      </c>
      <c r="G215" s="55" t="str">
        <f>IMAGE("https://raw.githubusercontent.com/ltdimages/images/refs/heads/main/Coordinate0241_04.png")</f>
        <v/>
      </c>
      <c r="H215" s="55" t="str">
        <f>IMAGE("https://raw.githubusercontent.com/ltdimages/images/refs/heads/main/Coordinate0241_05.png")</f>
        <v/>
      </c>
      <c r="I215" s="56" t="s">
        <v>3095</v>
      </c>
      <c r="J215" s="55" t="s">
        <v>3095</v>
      </c>
      <c r="K215" s="20" t="s">
        <v>4141</v>
      </c>
      <c r="L215" s="20" t="s">
        <v>3097</v>
      </c>
      <c r="M215" s="55" t="s">
        <v>3098</v>
      </c>
      <c r="N215" s="55" t="s">
        <v>3099</v>
      </c>
      <c r="O215" s="55" t="s">
        <v>45</v>
      </c>
      <c r="P215" s="55" t="s">
        <v>45</v>
      </c>
      <c r="Q215" s="55" t="s">
        <v>45</v>
      </c>
      <c r="R215" s="55" t="s">
        <v>45</v>
      </c>
      <c r="S215" s="55" t="s">
        <v>45</v>
      </c>
      <c r="T215" s="55" t="s">
        <v>45</v>
      </c>
      <c r="U215" s="55" t="s">
        <v>4142</v>
      </c>
      <c r="V215" s="55" t="s">
        <v>3095</v>
      </c>
      <c r="W215" s="55" t="s">
        <v>3277</v>
      </c>
      <c r="X215" s="55" t="s">
        <v>4083</v>
      </c>
      <c r="Y215" s="55" t="s">
        <v>3095</v>
      </c>
      <c r="Z215" s="55" t="s">
        <v>3118</v>
      </c>
      <c r="AA215" s="55" t="s">
        <v>3389</v>
      </c>
      <c r="AB215" s="55" t="s">
        <v>3095</v>
      </c>
      <c r="AC215" s="55" t="s">
        <v>3103</v>
      </c>
      <c r="AD215" s="55" t="s">
        <v>4143</v>
      </c>
      <c r="AE215" s="55" t="s">
        <v>3095</v>
      </c>
      <c r="AF215" s="55" t="s">
        <v>3095</v>
      </c>
      <c r="AG215" s="55" t="s">
        <v>3095</v>
      </c>
      <c r="AH215" s="55" t="s">
        <v>3095</v>
      </c>
      <c r="AI215" s="55" t="s">
        <v>3095</v>
      </c>
      <c r="AJ215" s="55" t="s">
        <v>3095</v>
      </c>
      <c r="AK215" s="55" t="s">
        <v>3095</v>
      </c>
      <c r="AL215" s="55" t="s">
        <v>3095</v>
      </c>
      <c r="AM215" s="55" t="s">
        <v>3095</v>
      </c>
    </row>
    <row r="216" ht="45.0" customHeight="1">
      <c r="A216" s="55" t="s">
        <v>958</v>
      </c>
      <c r="B216" s="55" t="s">
        <v>4144</v>
      </c>
      <c r="C216" s="55" t="str">
        <f>IMAGE("https://raw.githubusercontent.com/ltdimages/images/refs/heads/main/Coordinate0054_00.png")</f>
        <v/>
      </c>
      <c r="D216" s="55" t="str">
        <f>IMAGE("https://raw.githubusercontent.com/ltdimages/images/refs/heads/main/Coordinate0054_01.png")</f>
        <v/>
      </c>
      <c r="E216" s="55" t="str">
        <f>IMAGE("https://raw.githubusercontent.com/ltdimages/images/refs/heads/main/Coordinate0054_02.png")</f>
        <v/>
      </c>
      <c r="F216" s="55" t="str">
        <f>IMAGE("https://raw.githubusercontent.com/ltdimages/images/refs/heads/main/Coordinate0054_03.png")</f>
        <v/>
      </c>
      <c r="G216" s="55" t="str">
        <f>IMAGE("https://raw.githubusercontent.com/ltdimages/images/refs/heads/main/Coordinate0054_04.png")</f>
        <v/>
      </c>
      <c r="H216" s="55" t="s">
        <v>3095</v>
      </c>
      <c r="I216" s="56" t="s">
        <v>3095</v>
      </c>
      <c r="J216" s="55" t="s">
        <v>3095</v>
      </c>
      <c r="K216" s="20" t="s">
        <v>4145</v>
      </c>
      <c r="L216" s="20" t="s">
        <v>3097</v>
      </c>
      <c r="M216" s="55" t="s">
        <v>3098</v>
      </c>
      <c r="N216" s="55" t="s">
        <v>3099</v>
      </c>
      <c r="O216" s="55" t="s">
        <v>45</v>
      </c>
      <c r="P216" s="55" t="s">
        <v>45</v>
      </c>
      <c r="Q216" s="55" t="s">
        <v>45</v>
      </c>
      <c r="R216" s="55" t="s">
        <v>45</v>
      </c>
      <c r="S216" s="55" t="s">
        <v>45</v>
      </c>
      <c r="T216" s="55" t="s">
        <v>45</v>
      </c>
      <c r="U216" s="55" t="s">
        <v>4146</v>
      </c>
      <c r="V216" s="55" t="s">
        <v>3095</v>
      </c>
      <c r="W216" s="55" t="s">
        <v>3295</v>
      </c>
      <c r="X216" s="55" t="s">
        <v>3095</v>
      </c>
      <c r="Y216" s="55" t="s">
        <v>3095</v>
      </c>
      <c r="Z216" s="55" t="s">
        <v>3200</v>
      </c>
      <c r="AA216" s="55" t="s">
        <v>3217</v>
      </c>
      <c r="AB216" s="55" t="s">
        <v>3095</v>
      </c>
      <c r="AC216" s="55" t="s">
        <v>3103</v>
      </c>
      <c r="AD216" s="55" t="s">
        <v>4147</v>
      </c>
      <c r="AE216" s="55" t="s">
        <v>3095</v>
      </c>
      <c r="AF216" s="55" t="s">
        <v>3095</v>
      </c>
      <c r="AG216" s="55" t="s">
        <v>3095</v>
      </c>
      <c r="AH216" s="55" t="s">
        <v>3095</v>
      </c>
      <c r="AI216" s="55" t="s">
        <v>3095</v>
      </c>
      <c r="AJ216" s="55" t="s">
        <v>3095</v>
      </c>
      <c r="AK216" s="55" t="s">
        <v>3095</v>
      </c>
      <c r="AL216" s="55" t="s">
        <v>3095</v>
      </c>
      <c r="AM216" s="55" t="s">
        <v>3095</v>
      </c>
    </row>
    <row r="217" ht="45.0" customHeight="1">
      <c r="A217" s="55" t="s">
        <v>962</v>
      </c>
      <c r="B217" s="55" t="s">
        <v>4148</v>
      </c>
      <c r="C217" s="55" t="str">
        <f>IMAGE("https://raw.githubusercontent.com/ltdimages/images/refs/heads/main/Coordinate0272_00.png")</f>
        <v/>
      </c>
      <c r="D217" s="55" t="str">
        <f>IMAGE("https://raw.githubusercontent.com/ltdimages/images/refs/heads/main/Coordinate0272_01.png")</f>
        <v/>
      </c>
      <c r="E217" s="55" t="str">
        <f>IMAGE("https://raw.githubusercontent.com/ltdimages/images/refs/heads/main/Coordinate0272_02.png")</f>
        <v/>
      </c>
      <c r="F217" s="55" t="s">
        <v>3095</v>
      </c>
      <c r="G217" s="55" t="s">
        <v>3095</v>
      </c>
      <c r="H217" s="55" t="s">
        <v>3095</v>
      </c>
      <c r="I217" s="56" t="s">
        <v>3095</v>
      </c>
      <c r="J217" s="55" t="s">
        <v>3095</v>
      </c>
      <c r="K217" s="20" t="s">
        <v>4149</v>
      </c>
      <c r="L217" s="20" t="s">
        <v>3097</v>
      </c>
      <c r="M217" s="55" t="s">
        <v>2574</v>
      </c>
      <c r="N217" s="55" t="s">
        <v>3099</v>
      </c>
      <c r="O217" s="55" t="s">
        <v>45</v>
      </c>
      <c r="P217" s="55" t="s">
        <v>45</v>
      </c>
      <c r="Q217" s="55" t="s">
        <v>45</v>
      </c>
      <c r="R217" s="55" t="s">
        <v>49</v>
      </c>
      <c r="S217" s="55" t="s">
        <v>45</v>
      </c>
      <c r="T217" s="55" t="s">
        <v>45</v>
      </c>
      <c r="U217" s="55" t="s">
        <v>3095</v>
      </c>
      <c r="V217" s="55" t="s">
        <v>3095</v>
      </c>
      <c r="W217" s="55" t="s">
        <v>3095</v>
      </c>
      <c r="X217" s="55" t="s">
        <v>4150</v>
      </c>
      <c r="Y217" s="55" t="s">
        <v>3095</v>
      </c>
      <c r="Z217" s="55" t="s">
        <v>3095</v>
      </c>
      <c r="AA217" s="55" t="s">
        <v>3095</v>
      </c>
      <c r="AB217" s="55" t="s">
        <v>4151</v>
      </c>
      <c r="AC217" s="55" t="s">
        <v>3099</v>
      </c>
      <c r="AD217" s="55" t="s">
        <v>4152</v>
      </c>
      <c r="AE217" s="55" t="s">
        <v>3095</v>
      </c>
      <c r="AF217" s="55" t="s">
        <v>3095</v>
      </c>
      <c r="AG217" s="55" t="s">
        <v>3095</v>
      </c>
      <c r="AH217" s="55" t="s">
        <v>3095</v>
      </c>
      <c r="AI217" s="55" t="s">
        <v>3095</v>
      </c>
      <c r="AJ217" s="55" t="s">
        <v>3095</v>
      </c>
      <c r="AK217" s="55" t="s">
        <v>3095</v>
      </c>
      <c r="AL217" s="55" t="s">
        <v>3095</v>
      </c>
      <c r="AM217" s="55" t="s">
        <v>3095</v>
      </c>
    </row>
    <row r="218" ht="45.0" customHeight="1">
      <c r="A218" s="55" t="s">
        <v>966</v>
      </c>
      <c r="B218" s="55" t="s">
        <v>4153</v>
      </c>
      <c r="C218" s="55" t="str">
        <f>IMAGE("https://raw.githubusercontent.com/ltdimages/images/refs/heads/main/Coordinate0030_00.png")</f>
        <v/>
      </c>
      <c r="D218" s="55" t="str">
        <f>IMAGE("https://raw.githubusercontent.com/ltdimages/images/refs/heads/main/Coordinate0030_01.png")</f>
        <v/>
      </c>
      <c r="E218" s="55" t="str">
        <f>IMAGE("https://raw.githubusercontent.com/ltdimages/images/refs/heads/main/Coordinate0030_02.png")</f>
        <v/>
      </c>
      <c r="F218" s="55" t="s">
        <v>3095</v>
      </c>
      <c r="G218" s="55" t="s">
        <v>3095</v>
      </c>
      <c r="H218" s="55" t="s">
        <v>3095</v>
      </c>
      <c r="I218" s="56" t="s">
        <v>3095</v>
      </c>
      <c r="J218" s="55" t="s">
        <v>3095</v>
      </c>
      <c r="K218" s="20" t="s">
        <v>4154</v>
      </c>
      <c r="L218" s="20" t="s">
        <v>3097</v>
      </c>
      <c r="M218" s="55" t="s">
        <v>3098</v>
      </c>
      <c r="N218" s="55" t="s">
        <v>3099</v>
      </c>
      <c r="O218" s="55" t="s">
        <v>45</v>
      </c>
      <c r="P218" s="55" t="s">
        <v>45</v>
      </c>
      <c r="Q218" s="55" t="s">
        <v>45</v>
      </c>
      <c r="R218" s="55" t="s">
        <v>45</v>
      </c>
      <c r="S218" s="55" t="s">
        <v>45</v>
      </c>
      <c r="T218" s="55" t="s">
        <v>45</v>
      </c>
      <c r="U218" s="55" t="s">
        <v>3418</v>
      </c>
      <c r="V218" s="55" t="s">
        <v>3095</v>
      </c>
      <c r="W218" s="55" t="s">
        <v>3277</v>
      </c>
      <c r="X218" s="55" t="s">
        <v>3095</v>
      </c>
      <c r="Y218" s="55" t="s">
        <v>3095</v>
      </c>
      <c r="Z218" s="55" t="s">
        <v>3156</v>
      </c>
      <c r="AA218" s="55" t="s">
        <v>3157</v>
      </c>
      <c r="AB218" s="55" t="s">
        <v>3095</v>
      </c>
      <c r="AC218" s="55" t="s">
        <v>3103</v>
      </c>
      <c r="AD218" s="55" t="s">
        <v>4155</v>
      </c>
      <c r="AE218" s="55" t="s">
        <v>3095</v>
      </c>
      <c r="AF218" s="55" t="s">
        <v>3095</v>
      </c>
      <c r="AG218" s="55" t="s">
        <v>3095</v>
      </c>
      <c r="AH218" s="55" t="s">
        <v>3095</v>
      </c>
      <c r="AI218" s="55" t="s">
        <v>3095</v>
      </c>
      <c r="AJ218" s="55" t="s">
        <v>3095</v>
      </c>
      <c r="AK218" s="55" t="s">
        <v>3095</v>
      </c>
      <c r="AL218" s="55" t="s">
        <v>3095</v>
      </c>
      <c r="AM218" s="55" t="s">
        <v>3095</v>
      </c>
    </row>
    <row r="219" ht="45.0" customHeight="1">
      <c r="A219" s="55" t="s">
        <v>970</v>
      </c>
      <c r="B219" s="55" t="s">
        <v>4156</v>
      </c>
      <c r="C219" s="55" t="str">
        <f>IMAGE("https://raw.githubusercontent.com/ltdimages/images/refs/heads/main/Coordinate0336_00.png")</f>
        <v/>
      </c>
      <c r="D219" s="55" t="s">
        <v>3095</v>
      </c>
      <c r="E219" s="55" t="s">
        <v>3095</v>
      </c>
      <c r="F219" s="55" t="s">
        <v>3095</v>
      </c>
      <c r="G219" s="55" t="s">
        <v>3095</v>
      </c>
      <c r="H219" s="55" t="s">
        <v>3095</v>
      </c>
      <c r="I219" s="56" t="s">
        <v>3095</v>
      </c>
      <c r="J219" s="55" t="s">
        <v>3095</v>
      </c>
      <c r="K219" s="20" t="s">
        <v>3332</v>
      </c>
      <c r="L219" s="20" t="s">
        <v>3097</v>
      </c>
      <c r="M219" s="55" t="s">
        <v>2574</v>
      </c>
      <c r="N219" s="55" t="s">
        <v>3099</v>
      </c>
      <c r="O219" s="55" t="s">
        <v>45</v>
      </c>
      <c r="P219" s="55" t="s">
        <v>45</v>
      </c>
      <c r="Q219" s="55" t="s">
        <v>45</v>
      </c>
      <c r="R219" s="55" t="s">
        <v>49</v>
      </c>
      <c r="S219" s="55" t="s">
        <v>45</v>
      </c>
      <c r="T219" s="55" t="s">
        <v>45</v>
      </c>
      <c r="U219" s="55" t="s">
        <v>3095</v>
      </c>
      <c r="V219" s="55" t="s">
        <v>3095</v>
      </c>
      <c r="W219" s="55" t="s">
        <v>3095</v>
      </c>
      <c r="X219" s="55" t="s">
        <v>4157</v>
      </c>
      <c r="Y219" s="55" t="s">
        <v>3095</v>
      </c>
      <c r="Z219" s="55" t="s">
        <v>3095</v>
      </c>
      <c r="AA219" s="55" t="s">
        <v>3095</v>
      </c>
      <c r="AB219" s="55" t="s">
        <v>4158</v>
      </c>
      <c r="AC219" s="55" t="s">
        <v>3099</v>
      </c>
      <c r="AD219" s="55" t="s">
        <v>4159</v>
      </c>
      <c r="AE219" s="55" t="s">
        <v>3095</v>
      </c>
      <c r="AF219" s="55" t="s">
        <v>3095</v>
      </c>
      <c r="AG219" s="55" t="s">
        <v>3095</v>
      </c>
      <c r="AH219" s="55" t="s">
        <v>3095</v>
      </c>
      <c r="AI219" s="55" t="s">
        <v>3095</v>
      </c>
      <c r="AJ219" s="55" t="s">
        <v>3095</v>
      </c>
      <c r="AK219" s="55" t="s">
        <v>3095</v>
      </c>
      <c r="AL219" s="55" t="s">
        <v>3095</v>
      </c>
      <c r="AM219" s="55" t="s">
        <v>3095</v>
      </c>
    </row>
    <row r="220" ht="45.0" customHeight="1">
      <c r="A220" s="55" t="s">
        <v>974</v>
      </c>
      <c r="B220" s="55" t="s">
        <v>4160</v>
      </c>
      <c r="C220" s="55" t="str">
        <f>IMAGE("https://raw.githubusercontent.com/ltdimages/images/refs/heads/main/Coordinate0295_00.png")</f>
        <v/>
      </c>
      <c r="D220" s="55" t="str">
        <f>IMAGE("https://raw.githubusercontent.com/ltdimages/images/refs/heads/main/Coordinate0295_01.png")</f>
        <v/>
      </c>
      <c r="E220" s="55" t="str">
        <f>IMAGE("https://raw.githubusercontent.com/ltdimages/images/refs/heads/main/Coordinate0295_02.png")</f>
        <v/>
      </c>
      <c r="F220" s="55" t="str">
        <f>IMAGE("https://raw.githubusercontent.com/ltdimages/images/refs/heads/main/Coordinate0295_03.png")</f>
        <v/>
      </c>
      <c r="G220" s="55" t="str">
        <f>IMAGE("https://raw.githubusercontent.com/ltdimages/images/refs/heads/main/Coordinate0295_04.png")</f>
        <v/>
      </c>
      <c r="H220" s="55" t="str">
        <f>IMAGE("https://raw.githubusercontent.com/ltdimages/images/refs/heads/main/Coordinate0295_05.png")</f>
        <v/>
      </c>
      <c r="I220" s="56" t="s">
        <v>3095</v>
      </c>
      <c r="J220" s="55" t="s">
        <v>3095</v>
      </c>
      <c r="K220" s="20" t="s">
        <v>4161</v>
      </c>
      <c r="L220" s="20" t="s">
        <v>3097</v>
      </c>
      <c r="M220" s="55" t="s">
        <v>3098</v>
      </c>
      <c r="N220" s="55" t="s">
        <v>3099</v>
      </c>
      <c r="O220" s="55" t="s">
        <v>45</v>
      </c>
      <c r="P220" s="55" t="s">
        <v>45</v>
      </c>
      <c r="Q220" s="55" t="s">
        <v>45</v>
      </c>
      <c r="R220" s="55" t="s">
        <v>45</v>
      </c>
      <c r="S220" s="55" t="s">
        <v>45</v>
      </c>
      <c r="T220" s="55" t="s">
        <v>45</v>
      </c>
      <c r="U220" s="55" t="s">
        <v>3095</v>
      </c>
      <c r="V220" s="55" t="s">
        <v>4162</v>
      </c>
      <c r="W220" s="55" t="s">
        <v>3095</v>
      </c>
      <c r="X220" s="55" t="s">
        <v>4163</v>
      </c>
      <c r="Y220" s="55" t="s">
        <v>3095</v>
      </c>
      <c r="Z220" s="55" t="s">
        <v>3118</v>
      </c>
      <c r="AA220" s="55" t="s">
        <v>3157</v>
      </c>
      <c r="AB220" s="55" t="s">
        <v>3095</v>
      </c>
      <c r="AC220" s="55" t="s">
        <v>3110</v>
      </c>
      <c r="AD220" s="55" t="s">
        <v>4164</v>
      </c>
      <c r="AE220" s="55" t="s">
        <v>3095</v>
      </c>
      <c r="AF220" s="55" t="s">
        <v>3095</v>
      </c>
      <c r="AG220" s="55" t="s">
        <v>3095</v>
      </c>
      <c r="AH220" s="55" t="s">
        <v>3095</v>
      </c>
      <c r="AI220" s="55" t="s">
        <v>3095</v>
      </c>
      <c r="AJ220" s="55" t="s">
        <v>3095</v>
      </c>
      <c r="AK220" s="55" t="s">
        <v>3095</v>
      </c>
      <c r="AL220" s="55" t="s">
        <v>3095</v>
      </c>
      <c r="AM220" s="55" t="s">
        <v>3095</v>
      </c>
    </row>
    <row r="221" ht="45.0" customHeight="1">
      <c r="A221" s="55" t="s">
        <v>977</v>
      </c>
      <c r="B221" s="55" t="s">
        <v>4165</v>
      </c>
      <c r="C221" s="55" t="str">
        <f>IMAGE("https://raw.githubusercontent.com/ltdimages/images/refs/heads/main/Coordinate0218_00.png")</f>
        <v/>
      </c>
      <c r="D221" s="55" t="str">
        <f>IMAGE("https://raw.githubusercontent.com/ltdimages/images/refs/heads/main/Coordinate0218_01.png")</f>
        <v/>
      </c>
      <c r="E221" s="55" t="str">
        <f>IMAGE("https://raw.githubusercontent.com/ltdimages/images/refs/heads/main/Coordinate0218_02.png")</f>
        <v/>
      </c>
      <c r="F221" s="55" t="str">
        <f>IMAGE("https://raw.githubusercontent.com/ltdimages/images/refs/heads/main/Coordinate0218_03.png")</f>
        <v/>
      </c>
      <c r="G221" s="55" t="str">
        <f>IMAGE("https://raw.githubusercontent.com/ltdimages/images/refs/heads/main/Coordinate0218_04.png")</f>
        <v/>
      </c>
      <c r="H221" s="55" t="str">
        <f>IMAGE("https://raw.githubusercontent.com/ltdimages/images/refs/heads/main/Coordinate0218_05.png")</f>
        <v/>
      </c>
      <c r="I221" s="56" t="str">
        <f>IMAGE("https://raw.githubusercontent.com/ltdimages/images/refs/heads/main/Coordinate0218_06.png")</f>
        <v/>
      </c>
      <c r="J221" s="55" t="str">
        <f>IMAGE("https://raw.githubusercontent.com/ltdimages/images/refs/heads/main/Coordinate0218_07.png")</f>
        <v/>
      </c>
      <c r="K221" s="20" t="s">
        <v>4166</v>
      </c>
      <c r="L221" s="20" t="s">
        <v>3097</v>
      </c>
      <c r="M221" s="55" t="s">
        <v>3098</v>
      </c>
      <c r="N221" s="55" t="s">
        <v>3099</v>
      </c>
      <c r="O221" s="55" t="s">
        <v>45</v>
      </c>
      <c r="P221" s="55" t="s">
        <v>45</v>
      </c>
      <c r="Q221" s="55" t="s">
        <v>45</v>
      </c>
      <c r="R221" s="55" t="s">
        <v>45</v>
      </c>
      <c r="S221" s="55" t="s">
        <v>45</v>
      </c>
      <c r="T221" s="55" t="s">
        <v>45</v>
      </c>
      <c r="U221" s="55" t="s">
        <v>4167</v>
      </c>
      <c r="V221" s="55" t="s">
        <v>3095</v>
      </c>
      <c r="W221" s="55" t="s">
        <v>3254</v>
      </c>
      <c r="X221" s="55" t="s">
        <v>3095</v>
      </c>
      <c r="Y221" s="55" t="s">
        <v>3095</v>
      </c>
      <c r="Z221" s="55" t="s">
        <v>3200</v>
      </c>
      <c r="AA221" s="55" t="s">
        <v>3178</v>
      </c>
      <c r="AB221" s="55" t="s">
        <v>3095</v>
      </c>
      <c r="AC221" s="55" t="s">
        <v>3103</v>
      </c>
      <c r="AD221" s="55" t="s">
        <v>4168</v>
      </c>
      <c r="AE221" s="55" t="s">
        <v>3095</v>
      </c>
      <c r="AF221" s="55" t="s">
        <v>3095</v>
      </c>
      <c r="AG221" s="55" t="s">
        <v>3095</v>
      </c>
      <c r="AH221" s="55" t="s">
        <v>3095</v>
      </c>
      <c r="AI221" s="55" t="s">
        <v>3095</v>
      </c>
      <c r="AJ221" s="55" t="s">
        <v>3095</v>
      </c>
      <c r="AK221" s="55" t="s">
        <v>3095</v>
      </c>
      <c r="AL221" s="55" t="s">
        <v>3095</v>
      </c>
      <c r="AM221" s="55" t="s">
        <v>3095</v>
      </c>
    </row>
    <row r="222" ht="45.0" customHeight="1">
      <c r="A222" s="55" t="s">
        <v>981</v>
      </c>
      <c r="B222" s="57" t="s">
        <v>4169</v>
      </c>
      <c r="C222" s="57" t="str">
        <f>IMAGE("https://raw.githubusercontent.com/ltdimages/images/refs/heads/main/Coordinate0104_00.png")</f>
        <v/>
      </c>
      <c r="D222" s="57" t="str">
        <f>IMAGE("https://raw.githubusercontent.com/ltdimages/images/refs/heads/main/Coordinate0104_01.png")</f>
        <v/>
      </c>
      <c r="E222" s="57" t="str">
        <f>IMAGE("https://raw.githubusercontent.com/ltdimages/images/refs/heads/main/Coordinate0104_02.png")</f>
        <v/>
      </c>
      <c r="F222" s="57" t="s">
        <v>3095</v>
      </c>
      <c r="G222" s="57" t="s">
        <v>3095</v>
      </c>
      <c r="H222" s="57" t="s">
        <v>3095</v>
      </c>
      <c r="I222" s="56" t="s">
        <v>3095</v>
      </c>
      <c r="J222" s="57" t="s">
        <v>3095</v>
      </c>
      <c r="K222" s="20" t="s">
        <v>4170</v>
      </c>
      <c r="L222" s="20" t="s">
        <v>3097</v>
      </c>
      <c r="M222" s="57" t="s">
        <v>3098</v>
      </c>
      <c r="N222" s="57" t="s">
        <v>3099</v>
      </c>
      <c r="O222" s="57" t="s">
        <v>45</v>
      </c>
      <c r="P222" s="57" t="s">
        <v>45</v>
      </c>
      <c r="Q222" s="57" t="s">
        <v>45</v>
      </c>
      <c r="R222" s="57" t="s">
        <v>45</v>
      </c>
      <c r="S222" s="57" t="s">
        <v>45</v>
      </c>
      <c r="T222" s="57" t="s">
        <v>45</v>
      </c>
      <c r="U222" s="57" t="s">
        <v>4171</v>
      </c>
      <c r="V222" s="57" t="s">
        <v>3095</v>
      </c>
      <c r="W222" s="57" t="s">
        <v>3206</v>
      </c>
      <c r="X222" s="57" t="s">
        <v>4172</v>
      </c>
      <c r="Y222" s="57" t="s">
        <v>3095</v>
      </c>
      <c r="Z222" s="55" t="s">
        <v>3352</v>
      </c>
      <c r="AA222" s="55" t="s">
        <v>3157</v>
      </c>
      <c r="AB222" s="55" t="s">
        <v>3095</v>
      </c>
      <c r="AC222" s="55" t="s">
        <v>3103</v>
      </c>
      <c r="AD222" s="55" t="s">
        <v>4173</v>
      </c>
      <c r="AE222" s="55" t="s">
        <v>3095</v>
      </c>
      <c r="AF222" s="55" t="s">
        <v>3095</v>
      </c>
      <c r="AG222" s="55" t="s">
        <v>3095</v>
      </c>
      <c r="AH222" s="55" t="s">
        <v>3095</v>
      </c>
      <c r="AI222" s="55" t="s">
        <v>3095</v>
      </c>
      <c r="AJ222" s="55" t="s">
        <v>3095</v>
      </c>
      <c r="AK222" s="55" t="s">
        <v>3095</v>
      </c>
      <c r="AL222" s="55" t="s">
        <v>3095</v>
      </c>
      <c r="AM222" s="55" t="s">
        <v>3095</v>
      </c>
    </row>
    <row r="223" ht="45.0" customHeight="1">
      <c r="A223" s="55" t="s">
        <v>985</v>
      </c>
      <c r="B223" s="55" t="s">
        <v>4174</v>
      </c>
      <c r="C223" s="55" t="str">
        <f>IMAGE("https://raw.githubusercontent.com/ltdimages/images/refs/heads/main/Coordinate0230_00.png")</f>
        <v/>
      </c>
      <c r="D223" s="55" t="str">
        <f>IMAGE("https://raw.githubusercontent.com/ltdimages/images/refs/heads/main/Coordinate0230_01.png")</f>
        <v/>
      </c>
      <c r="E223" s="55" t="s">
        <v>3095</v>
      </c>
      <c r="F223" s="55" t="s">
        <v>3095</v>
      </c>
      <c r="G223" s="55" t="s">
        <v>3095</v>
      </c>
      <c r="H223" s="55" t="s">
        <v>3095</v>
      </c>
      <c r="I223" s="56" t="s">
        <v>3095</v>
      </c>
      <c r="J223" s="55" t="s">
        <v>3095</v>
      </c>
      <c r="K223" s="20" t="s">
        <v>4175</v>
      </c>
      <c r="L223" s="20" t="s">
        <v>3097</v>
      </c>
      <c r="M223" s="55" t="s">
        <v>3098</v>
      </c>
      <c r="N223" s="55" t="s">
        <v>3099</v>
      </c>
      <c r="O223" s="55" t="s">
        <v>45</v>
      </c>
      <c r="P223" s="55" t="s">
        <v>45</v>
      </c>
      <c r="Q223" s="55" t="s">
        <v>45</v>
      </c>
      <c r="R223" s="55" t="s">
        <v>49</v>
      </c>
      <c r="S223" s="55" t="s">
        <v>45</v>
      </c>
      <c r="T223" s="55" t="s">
        <v>45</v>
      </c>
      <c r="U223" s="55" t="s">
        <v>4176</v>
      </c>
      <c r="V223" s="55" t="s">
        <v>3095</v>
      </c>
      <c r="W223" s="55" t="s">
        <v>3277</v>
      </c>
      <c r="X223" s="55" t="s">
        <v>4099</v>
      </c>
      <c r="Y223" s="55" t="s">
        <v>3095</v>
      </c>
      <c r="Z223" s="55" t="s">
        <v>3118</v>
      </c>
      <c r="AA223" s="55" t="s">
        <v>3165</v>
      </c>
      <c r="AB223" s="55" t="s">
        <v>3095</v>
      </c>
      <c r="AC223" s="55" t="s">
        <v>3103</v>
      </c>
      <c r="AD223" s="55" t="s">
        <v>4177</v>
      </c>
      <c r="AE223" s="55" t="s">
        <v>3095</v>
      </c>
      <c r="AF223" s="55" t="s">
        <v>3095</v>
      </c>
      <c r="AG223" s="55" t="s">
        <v>3095</v>
      </c>
      <c r="AH223" s="55" t="s">
        <v>3095</v>
      </c>
      <c r="AI223" s="55" t="s">
        <v>3095</v>
      </c>
      <c r="AJ223" s="55" t="s">
        <v>3095</v>
      </c>
      <c r="AK223" s="55" t="s">
        <v>3095</v>
      </c>
      <c r="AL223" s="55" t="s">
        <v>3095</v>
      </c>
      <c r="AM223" s="55" t="s">
        <v>3095</v>
      </c>
    </row>
    <row r="224" ht="45.0" customHeight="1">
      <c r="A224" s="55" t="s">
        <v>989</v>
      </c>
      <c r="B224" s="55" t="s">
        <v>4178</v>
      </c>
      <c r="C224" s="55" t="str">
        <f>IMAGE("https://raw.githubusercontent.com/ltdimages/images/refs/heads/main/Coordinate0064_00.png")</f>
        <v/>
      </c>
      <c r="D224" s="55" t="str">
        <f>IMAGE("https://raw.githubusercontent.com/ltdimages/images/refs/heads/main/Coordinate0064_01.png")</f>
        <v/>
      </c>
      <c r="E224" s="55" t="str">
        <f>IMAGE("https://raw.githubusercontent.com/ltdimages/images/refs/heads/main/Coordinate0064_02.png")</f>
        <v/>
      </c>
      <c r="F224" s="55" t="str">
        <f>IMAGE("https://raw.githubusercontent.com/ltdimages/images/refs/heads/main/Coordinate0064_03.png")</f>
        <v/>
      </c>
      <c r="G224" s="55" t="str">
        <f>IMAGE("https://raw.githubusercontent.com/ltdimages/images/refs/heads/main/Coordinate0064_04.png")</f>
        <v/>
      </c>
      <c r="H224" s="55" t="str">
        <f>IMAGE("https://raw.githubusercontent.com/ltdimages/images/refs/heads/main/Coordinate0064_05.png")</f>
        <v/>
      </c>
      <c r="I224" s="56" t="s">
        <v>3095</v>
      </c>
      <c r="J224" s="55" t="s">
        <v>3095</v>
      </c>
      <c r="K224" s="20" t="s">
        <v>4179</v>
      </c>
      <c r="L224" s="20" t="s">
        <v>3097</v>
      </c>
      <c r="M224" s="55" t="s">
        <v>3098</v>
      </c>
      <c r="N224" s="55" t="s">
        <v>3099</v>
      </c>
      <c r="O224" s="55" t="s">
        <v>45</v>
      </c>
      <c r="P224" s="55" t="s">
        <v>45</v>
      </c>
      <c r="Q224" s="55" t="s">
        <v>45</v>
      </c>
      <c r="R224" s="55" t="s">
        <v>45</v>
      </c>
      <c r="S224" s="55" t="s">
        <v>45</v>
      </c>
      <c r="T224" s="55" t="s">
        <v>45</v>
      </c>
      <c r="U224" s="55" t="s">
        <v>4180</v>
      </c>
      <c r="V224" s="55" t="s">
        <v>3095</v>
      </c>
      <c r="W224" s="55" t="s">
        <v>3216</v>
      </c>
      <c r="X224" s="55" t="s">
        <v>3095</v>
      </c>
      <c r="Y224" s="55" t="s">
        <v>3095</v>
      </c>
      <c r="Z224" s="55" t="s">
        <v>3156</v>
      </c>
      <c r="AA224" s="55" t="s">
        <v>3512</v>
      </c>
      <c r="AB224" s="55" t="s">
        <v>3095</v>
      </c>
      <c r="AC224" s="55" t="s">
        <v>3103</v>
      </c>
      <c r="AD224" s="55" t="s">
        <v>4181</v>
      </c>
      <c r="AE224" s="55" t="s">
        <v>3095</v>
      </c>
      <c r="AF224" s="55" t="s">
        <v>3095</v>
      </c>
      <c r="AG224" s="55" t="s">
        <v>3095</v>
      </c>
      <c r="AH224" s="55" t="s">
        <v>3095</v>
      </c>
      <c r="AI224" s="55" t="s">
        <v>3095</v>
      </c>
      <c r="AJ224" s="55" t="s">
        <v>3095</v>
      </c>
      <c r="AK224" s="55" t="s">
        <v>3095</v>
      </c>
      <c r="AL224" s="55" t="s">
        <v>3095</v>
      </c>
      <c r="AM224" s="55" t="s">
        <v>3095</v>
      </c>
    </row>
    <row r="225" ht="45.0" customHeight="1">
      <c r="A225" s="55" t="s">
        <v>993</v>
      </c>
      <c r="B225" s="55" t="s">
        <v>4182</v>
      </c>
      <c r="C225" s="55" t="str">
        <f>IMAGE("https://raw.githubusercontent.com/ltdimages/images/refs/heads/main/Coordinate0184_00.png")</f>
        <v/>
      </c>
      <c r="D225" s="55" t="str">
        <f>IMAGE("https://raw.githubusercontent.com/ltdimages/images/refs/heads/main/Coordinate0184_01.png")</f>
        <v/>
      </c>
      <c r="E225" s="55" t="str">
        <f>IMAGE("https://raw.githubusercontent.com/ltdimages/images/refs/heads/main/Coordinate0184_02.png")</f>
        <v/>
      </c>
      <c r="F225" s="55" t="str">
        <f>IMAGE("https://raw.githubusercontent.com/ltdimages/images/refs/heads/main/Coordinate0184_03.png")</f>
        <v/>
      </c>
      <c r="G225" s="55" t="str">
        <f>IMAGE("https://raw.githubusercontent.com/ltdimages/images/refs/heads/main/Coordinate0184_04.png")</f>
        <v/>
      </c>
      <c r="H225" s="55" t="str">
        <f>IMAGE("https://raw.githubusercontent.com/ltdimages/images/refs/heads/main/Coordinate0184_05.png")</f>
        <v/>
      </c>
      <c r="I225" s="56" t="str">
        <f>IMAGE("https://raw.githubusercontent.com/ltdimages/images/refs/heads/main/Coordinate0184_06.png")</f>
        <v/>
      </c>
      <c r="J225" s="55" t="str">
        <f>IMAGE("https://raw.githubusercontent.com/ltdimages/images/refs/heads/main/Coordinate0184_07.png")</f>
        <v/>
      </c>
      <c r="K225" s="20" t="s">
        <v>4183</v>
      </c>
      <c r="L225" s="20" t="s">
        <v>3097</v>
      </c>
      <c r="M225" s="55" t="s">
        <v>3098</v>
      </c>
      <c r="N225" s="55" t="s">
        <v>3114</v>
      </c>
      <c r="O225" s="55" t="s">
        <v>45</v>
      </c>
      <c r="P225" s="55" t="s">
        <v>45</v>
      </c>
      <c r="Q225" s="55" t="s">
        <v>45</v>
      </c>
      <c r="R225" s="55" t="s">
        <v>45</v>
      </c>
      <c r="S225" s="55" t="s">
        <v>45</v>
      </c>
      <c r="T225" s="55" t="s">
        <v>45</v>
      </c>
      <c r="U225" s="55" t="s">
        <v>4184</v>
      </c>
      <c r="V225" s="55" t="s">
        <v>3095</v>
      </c>
      <c r="W225" s="55" t="s">
        <v>3155</v>
      </c>
      <c r="X225" s="55" t="s">
        <v>4185</v>
      </c>
      <c r="Y225" s="55" t="s">
        <v>3095</v>
      </c>
      <c r="Z225" s="55" t="s">
        <v>3193</v>
      </c>
      <c r="AA225" s="55" t="s">
        <v>3341</v>
      </c>
      <c r="AB225" s="55" t="s">
        <v>3095</v>
      </c>
      <c r="AC225" s="55" t="s">
        <v>3103</v>
      </c>
      <c r="AD225" s="55" t="s">
        <v>4186</v>
      </c>
      <c r="AE225" s="55" t="s">
        <v>3095</v>
      </c>
      <c r="AF225" s="55" t="s">
        <v>3095</v>
      </c>
      <c r="AG225" s="55" t="s">
        <v>3095</v>
      </c>
      <c r="AH225" s="55" t="s">
        <v>3095</v>
      </c>
      <c r="AI225" s="55" t="s">
        <v>3095</v>
      </c>
      <c r="AJ225" s="55" t="s">
        <v>3095</v>
      </c>
      <c r="AK225" s="55" t="s">
        <v>3095</v>
      </c>
      <c r="AL225" s="55" t="s">
        <v>3095</v>
      </c>
      <c r="AM225" s="55" t="s">
        <v>3095</v>
      </c>
    </row>
    <row r="226" ht="45.0" customHeight="1">
      <c r="A226" s="55" t="s">
        <v>997</v>
      </c>
      <c r="B226" s="55" t="s">
        <v>4187</v>
      </c>
      <c r="C226" s="55" t="str">
        <f>IMAGE("https://raw.githubusercontent.com/ltdimages/images/refs/heads/main/Coordinate0267_00.png")</f>
        <v/>
      </c>
      <c r="D226" s="55" t="str">
        <f>IMAGE("https://raw.githubusercontent.com/ltdimages/images/refs/heads/main/Coordinate0267_01.png")</f>
        <v/>
      </c>
      <c r="E226" s="55" t="str">
        <f>IMAGE("https://raw.githubusercontent.com/ltdimages/images/refs/heads/main/Coordinate0267_02.png")</f>
        <v/>
      </c>
      <c r="F226" s="55" t="str">
        <f>IMAGE("https://raw.githubusercontent.com/ltdimages/images/refs/heads/main/Coordinate0267_03.png")</f>
        <v/>
      </c>
      <c r="G226" s="55" t="s">
        <v>3095</v>
      </c>
      <c r="H226" s="55" t="s">
        <v>3095</v>
      </c>
      <c r="I226" s="56" t="s">
        <v>3095</v>
      </c>
      <c r="J226" s="55" t="s">
        <v>3095</v>
      </c>
      <c r="K226" s="20" t="s">
        <v>4188</v>
      </c>
      <c r="L226" s="20" t="s">
        <v>3097</v>
      </c>
      <c r="M226" s="55" t="s">
        <v>3098</v>
      </c>
      <c r="N226" s="55" t="s">
        <v>3114</v>
      </c>
      <c r="O226" s="55" t="s">
        <v>45</v>
      </c>
      <c r="P226" s="55" t="s">
        <v>45</v>
      </c>
      <c r="Q226" s="55" t="s">
        <v>45</v>
      </c>
      <c r="R226" s="55" t="s">
        <v>49</v>
      </c>
      <c r="S226" s="55" t="s">
        <v>45</v>
      </c>
      <c r="T226" s="55" t="s">
        <v>45</v>
      </c>
      <c r="U226" s="55" t="s">
        <v>4189</v>
      </c>
      <c r="V226" s="55" t="s">
        <v>3095</v>
      </c>
      <c r="W226" s="55" t="s">
        <v>3548</v>
      </c>
      <c r="X226" s="55" t="s">
        <v>4190</v>
      </c>
      <c r="Y226" s="55" t="s">
        <v>4191</v>
      </c>
      <c r="Z226" s="55" t="s">
        <v>3095</v>
      </c>
      <c r="AA226" s="55" t="s">
        <v>3550</v>
      </c>
      <c r="AB226" s="55" t="s">
        <v>3095</v>
      </c>
      <c r="AC226" s="55" t="s">
        <v>3103</v>
      </c>
      <c r="AD226" s="55" t="s">
        <v>4192</v>
      </c>
      <c r="AE226" s="55" t="s">
        <v>3095</v>
      </c>
      <c r="AF226" s="55" t="s">
        <v>3095</v>
      </c>
      <c r="AG226" s="55" t="s">
        <v>3095</v>
      </c>
      <c r="AH226" s="55" t="s">
        <v>3095</v>
      </c>
      <c r="AI226" s="55" t="s">
        <v>3095</v>
      </c>
      <c r="AJ226" s="55" t="s">
        <v>3095</v>
      </c>
      <c r="AK226" s="55" t="s">
        <v>3095</v>
      </c>
      <c r="AL226" s="55" t="s">
        <v>3095</v>
      </c>
      <c r="AM226" s="55" t="s">
        <v>3095</v>
      </c>
    </row>
    <row r="227" ht="45.0" customHeight="1">
      <c r="A227" s="55" t="s">
        <v>1002</v>
      </c>
      <c r="B227" s="55" t="s">
        <v>4193</v>
      </c>
      <c r="C227" s="55" t="str">
        <f>IMAGE("https://raw.githubusercontent.com/ltdimages/images/refs/heads/main/Coordinate0173_00.png")</f>
        <v/>
      </c>
      <c r="D227" s="55" t="str">
        <f>IMAGE("https://raw.githubusercontent.com/ltdimages/images/refs/heads/main/Coordinate0173_01.png")</f>
        <v/>
      </c>
      <c r="E227" s="55" t="str">
        <f>IMAGE("https://raw.githubusercontent.com/ltdimages/images/refs/heads/main/Coordinate0173_02.png")</f>
        <v/>
      </c>
      <c r="F227" s="55" t="str">
        <f>IMAGE("https://raw.githubusercontent.com/ltdimages/images/refs/heads/main/Coordinate0173_03.png")</f>
        <v/>
      </c>
      <c r="G227" s="55" t="str">
        <f>IMAGE("https://raw.githubusercontent.com/ltdimages/images/refs/heads/main/Coordinate0173_04.png")</f>
        <v/>
      </c>
      <c r="H227" s="55" t="str">
        <f>IMAGE("https://raw.githubusercontent.com/ltdimages/images/refs/heads/main/Coordinate0173_05.png")</f>
        <v/>
      </c>
      <c r="I227" s="56" t="str">
        <f>IMAGE("https://raw.githubusercontent.com/ltdimages/images/refs/heads/main/Coordinate0173_06.png")</f>
        <v/>
      </c>
      <c r="J227" s="55" t="str">
        <f>IMAGE("https://raw.githubusercontent.com/ltdimages/images/refs/heads/main/Coordinate0173_07.png")</f>
        <v/>
      </c>
      <c r="K227" s="20" t="s">
        <v>3464</v>
      </c>
      <c r="L227" s="20" t="s">
        <v>3097</v>
      </c>
      <c r="M227" s="55" t="s">
        <v>3098</v>
      </c>
      <c r="N227" s="55" t="s">
        <v>3099</v>
      </c>
      <c r="O227" s="55" t="s">
        <v>45</v>
      </c>
      <c r="P227" s="55" t="s">
        <v>45</v>
      </c>
      <c r="Q227" s="55" t="s">
        <v>45</v>
      </c>
      <c r="R227" s="55" t="s">
        <v>45</v>
      </c>
      <c r="S227" s="55" t="s">
        <v>45</v>
      </c>
      <c r="T227" s="55" t="s">
        <v>45</v>
      </c>
      <c r="U227" s="55" t="s">
        <v>4194</v>
      </c>
      <c r="V227" s="55" t="s">
        <v>3095</v>
      </c>
      <c r="W227" s="55" t="s">
        <v>3206</v>
      </c>
      <c r="X227" s="55" t="s">
        <v>3095</v>
      </c>
      <c r="Y227" s="55" t="s">
        <v>3095</v>
      </c>
      <c r="Z227" s="55" t="s">
        <v>3118</v>
      </c>
      <c r="AA227" s="55" t="s">
        <v>3217</v>
      </c>
      <c r="AB227" s="55" t="s">
        <v>3095</v>
      </c>
      <c r="AC227" s="55" t="s">
        <v>3103</v>
      </c>
      <c r="AD227" s="55" t="s">
        <v>4195</v>
      </c>
      <c r="AE227" s="55" t="s">
        <v>3095</v>
      </c>
      <c r="AF227" s="55" t="s">
        <v>3095</v>
      </c>
      <c r="AG227" s="55" t="s">
        <v>3095</v>
      </c>
      <c r="AH227" s="55" t="s">
        <v>3095</v>
      </c>
      <c r="AI227" s="55" t="s">
        <v>3095</v>
      </c>
      <c r="AJ227" s="55" t="s">
        <v>3095</v>
      </c>
      <c r="AK227" s="55" t="s">
        <v>3095</v>
      </c>
      <c r="AL227" s="55" t="s">
        <v>3095</v>
      </c>
      <c r="AM227" s="55" t="s">
        <v>3095</v>
      </c>
    </row>
    <row r="228" ht="45.0" customHeight="1">
      <c r="A228" s="55" t="s">
        <v>1007</v>
      </c>
      <c r="B228" s="55" t="s">
        <v>4196</v>
      </c>
      <c r="C228" s="55" t="str">
        <f>IMAGE("https://raw.githubusercontent.com/ltdimages/images/refs/heads/main/Coordinate0250_00.png")</f>
        <v/>
      </c>
      <c r="D228" s="55" t="str">
        <f>IMAGE("https://raw.githubusercontent.com/ltdimages/images/refs/heads/main/Coordinate0250_01.png")</f>
        <v/>
      </c>
      <c r="E228" s="55" t="str">
        <f>IMAGE("https://raw.githubusercontent.com/ltdimages/images/refs/heads/main/Coordinate0250_02.png")</f>
        <v/>
      </c>
      <c r="F228" s="55" t="str">
        <f>IMAGE("https://raw.githubusercontent.com/ltdimages/images/refs/heads/main/Coordinate0250_03.png")</f>
        <v/>
      </c>
      <c r="G228" s="55" t="str">
        <f>IMAGE("https://raw.githubusercontent.com/ltdimages/images/refs/heads/main/Coordinate0250_04.png")</f>
        <v/>
      </c>
      <c r="H228" s="55" t="str">
        <f>IMAGE("https://raw.githubusercontent.com/ltdimages/images/refs/heads/main/Coordinate0250_05.png")</f>
        <v/>
      </c>
      <c r="I228" s="56" t="str">
        <f>IMAGE("https://raw.githubusercontent.com/ltdimages/images/refs/heads/main/Coordinate0250_06.png")</f>
        <v/>
      </c>
      <c r="J228" s="55" t="str">
        <f>IMAGE("https://raw.githubusercontent.com/ltdimages/images/refs/heads/main/Coordinate0250_07.png")</f>
        <v/>
      </c>
      <c r="K228" s="20" t="s">
        <v>4197</v>
      </c>
      <c r="L228" s="20" t="s">
        <v>3097</v>
      </c>
      <c r="M228" s="55" t="s">
        <v>3098</v>
      </c>
      <c r="N228" s="55" t="s">
        <v>3114</v>
      </c>
      <c r="O228" s="55" t="s">
        <v>45</v>
      </c>
      <c r="P228" s="55" t="s">
        <v>45</v>
      </c>
      <c r="Q228" s="55" t="s">
        <v>45</v>
      </c>
      <c r="R228" s="55" t="s">
        <v>45</v>
      </c>
      <c r="S228" s="55" t="s">
        <v>45</v>
      </c>
      <c r="T228" s="55" t="s">
        <v>45</v>
      </c>
      <c r="U228" s="55" t="s">
        <v>4198</v>
      </c>
      <c r="V228" s="55" t="s">
        <v>3095</v>
      </c>
      <c r="W228" s="55" t="s">
        <v>3175</v>
      </c>
      <c r="X228" s="55" t="s">
        <v>4199</v>
      </c>
      <c r="Y228" s="55" t="s">
        <v>3095</v>
      </c>
      <c r="Z228" s="55" t="s">
        <v>3142</v>
      </c>
      <c r="AA228" s="55" t="s">
        <v>3178</v>
      </c>
      <c r="AB228" s="55" t="s">
        <v>3095</v>
      </c>
      <c r="AC228" s="55" t="s">
        <v>3103</v>
      </c>
      <c r="AD228" s="55" t="s">
        <v>4200</v>
      </c>
      <c r="AE228" s="55" t="s">
        <v>3095</v>
      </c>
      <c r="AF228" s="55" t="s">
        <v>3095</v>
      </c>
      <c r="AG228" s="55" t="s">
        <v>3095</v>
      </c>
      <c r="AH228" s="55" t="s">
        <v>3095</v>
      </c>
      <c r="AI228" s="55" t="s">
        <v>3095</v>
      </c>
      <c r="AJ228" s="55" t="s">
        <v>3095</v>
      </c>
      <c r="AK228" s="55" t="s">
        <v>3095</v>
      </c>
      <c r="AL228" s="55" t="s">
        <v>3095</v>
      </c>
      <c r="AM228" s="55" t="s">
        <v>3095</v>
      </c>
    </row>
    <row r="229" ht="45.0" customHeight="1">
      <c r="A229" s="55" t="s">
        <v>1011</v>
      </c>
      <c r="B229" s="55" t="s">
        <v>4201</v>
      </c>
      <c r="C229" s="55" t="str">
        <f>IMAGE("https://raw.githubusercontent.com/ltdimages/images/refs/heads/main/Coordinate0170_00.png")</f>
        <v/>
      </c>
      <c r="D229" s="55" t="s">
        <v>3095</v>
      </c>
      <c r="E229" s="55" t="s">
        <v>3095</v>
      </c>
      <c r="F229" s="55" t="s">
        <v>3095</v>
      </c>
      <c r="G229" s="55" t="s">
        <v>3095</v>
      </c>
      <c r="H229" s="55" t="s">
        <v>3095</v>
      </c>
      <c r="I229" s="56" t="s">
        <v>3095</v>
      </c>
      <c r="J229" s="55" t="s">
        <v>3095</v>
      </c>
      <c r="K229" s="20" t="s">
        <v>4202</v>
      </c>
      <c r="L229" s="20" t="s">
        <v>3097</v>
      </c>
      <c r="M229" s="55" t="s">
        <v>3098</v>
      </c>
      <c r="N229" s="55" t="s">
        <v>3099</v>
      </c>
      <c r="O229" s="55" t="s">
        <v>45</v>
      </c>
      <c r="P229" s="55" t="s">
        <v>45</v>
      </c>
      <c r="Q229" s="55" t="s">
        <v>45</v>
      </c>
      <c r="R229" s="55" t="s">
        <v>45</v>
      </c>
      <c r="S229" s="55" t="s">
        <v>45</v>
      </c>
      <c r="T229" s="55" t="s">
        <v>45</v>
      </c>
      <c r="U229" s="55" t="s">
        <v>4098</v>
      </c>
      <c r="V229" s="55" t="s">
        <v>3095</v>
      </c>
      <c r="W229" s="55" t="s">
        <v>3277</v>
      </c>
      <c r="X229" s="55" t="s">
        <v>3095</v>
      </c>
      <c r="Y229" s="55" t="s">
        <v>4203</v>
      </c>
      <c r="Z229" s="55" t="s">
        <v>3118</v>
      </c>
      <c r="AA229" s="55" t="s">
        <v>3150</v>
      </c>
      <c r="AB229" s="55" t="s">
        <v>3095</v>
      </c>
      <c r="AC229" s="55" t="s">
        <v>3103</v>
      </c>
      <c r="AD229" s="55" t="s">
        <v>4204</v>
      </c>
      <c r="AE229" s="55" t="s">
        <v>3095</v>
      </c>
      <c r="AF229" s="55" t="s">
        <v>3095</v>
      </c>
      <c r="AG229" s="55" t="s">
        <v>3095</v>
      </c>
      <c r="AH229" s="55" t="s">
        <v>3095</v>
      </c>
      <c r="AI229" s="55" t="s">
        <v>3095</v>
      </c>
      <c r="AJ229" s="55" t="s">
        <v>3095</v>
      </c>
      <c r="AK229" s="55" t="s">
        <v>3095</v>
      </c>
      <c r="AL229" s="55" t="s">
        <v>3095</v>
      </c>
      <c r="AM229" s="55" t="s">
        <v>3095</v>
      </c>
    </row>
    <row r="230" ht="45.0" customHeight="1">
      <c r="A230" s="55" t="s">
        <v>1015</v>
      </c>
      <c r="B230" s="55" t="s">
        <v>4205</v>
      </c>
      <c r="C230" s="55" t="str">
        <f>IMAGE("https://raw.githubusercontent.com/ltdimages/images/refs/heads/main/Coordinate0185_00.png")</f>
        <v/>
      </c>
      <c r="D230" s="55" t="str">
        <f>IMAGE("https://raw.githubusercontent.com/ltdimages/images/refs/heads/main/Coordinate0185_01.png")</f>
        <v/>
      </c>
      <c r="E230" s="55" t="str">
        <f>IMAGE("https://raw.githubusercontent.com/ltdimages/images/refs/heads/main/Coordinate0185_02.png")</f>
        <v/>
      </c>
      <c r="F230" s="55" t="str">
        <f>IMAGE("https://raw.githubusercontent.com/ltdimages/images/refs/heads/main/Coordinate0185_03.png")</f>
        <v/>
      </c>
      <c r="G230" s="55" t="str">
        <f>IMAGE("https://raw.githubusercontent.com/ltdimages/images/refs/heads/main/Coordinate0185_04.png")</f>
        <v/>
      </c>
      <c r="H230" s="55" t="str">
        <f>IMAGE("https://raw.githubusercontent.com/ltdimages/images/refs/heads/main/Coordinate0185_05.png")</f>
        <v/>
      </c>
      <c r="I230" s="56" t="s">
        <v>3095</v>
      </c>
      <c r="J230" s="55" t="s">
        <v>3095</v>
      </c>
      <c r="K230" s="20" t="s">
        <v>4206</v>
      </c>
      <c r="L230" s="20" t="s">
        <v>3097</v>
      </c>
      <c r="M230" s="55" t="s">
        <v>3098</v>
      </c>
      <c r="N230" s="55" t="s">
        <v>3099</v>
      </c>
      <c r="O230" s="55" t="s">
        <v>45</v>
      </c>
      <c r="P230" s="55" t="s">
        <v>45</v>
      </c>
      <c r="Q230" s="55" t="s">
        <v>45</v>
      </c>
      <c r="R230" s="55" t="s">
        <v>45</v>
      </c>
      <c r="S230" s="55" t="s">
        <v>45</v>
      </c>
      <c r="T230" s="55" t="s">
        <v>45</v>
      </c>
      <c r="U230" s="55" t="s">
        <v>4207</v>
      </c>
      <c r="V230" s="55" t="s">
        <v>3095</v>
      </c>
      <c r="W230" s="55" t="s">
        <v>3254</v>
      </c>
      <c r="X230" s="55" t="s">
        <v>3907</v>
      </c>
      <c r="Y230" s="55" t="s">
        <v>3095</v>
      </c>
      <c r="Z230" s="55" t="s">
        <v>3156</v>
      </c>
      <c r="AA230" s="55" t="s">
        <v>3908</v>
      </c>
      <c r="AB230" s="55" t="s">
        <v>3095</v>
      </c>
      <c r="AC230" s="55" t="s">
        <v>3103</v>
      </c>
      <c r="AD230" s="55" t="s">
        <v>4208</v>
      </c>
      <c r="AE230" s="55" t="s">
        <v>3095</v>
      </c>
      <c r="AF230" s="55" t="s">
        <v>3095</v>
      </c>
      <c r="AG230" s="55" t="s">
        <v>3095</v>
      </c>
      <c r="AH230" s="55" t="s">
        <v>3095</v>
      </c>
      <c r="AI230" s="55" t="s">
        <v>3095</v>
      </c>
      <c r="AJ230" s="55" t="s">
        <v>3095</v>
      </c>
      <c r="AK230" s="55" t="s">
        <v>3095</v>
      </c>
      <c r="AL230" s="55" t="s">
        <v>3095</v>
      </c>
      <c r="AM230" s="55" t="s">
        <v>3095</v>
      </c>
    </row>
    <row r="231" ht="45.0" customHeight="1">
      <c r="A231" s="55" t="s">
        <v>1020</v>
      </c>
      <c r="B231" s="55" t="s">
        <v>4209</v>
      </c>
      <c r="C231" s="55" t="str">
        <f>IMAGE("https://raw.githubusercontent.com/ltdimages/images/refs/heads/main/Coordinate0286_00.png")</f>
        <v/>
      </c>
      <c r="D231" s="55" t="str">
        <f>IMAGE("https://raw.githubusercontent.com/ltdimages/images/refs/heads/main/Coordinate0286_01.png")</f>
        <v/>
      </c>
      <c r="E231" s="55" t="str">
        <f>IMAGE("https://raw.githubusercontent.com/ltdimages/images/refs/heads/main/Coordinate0286_02.png")</f>
        <v/>
      </c>
      <c r="F231" s="55" t="str">
        <f>IMAGE("https://raw.githubusercontent.com/ltdimages/images/refs/heads/main/Coordinate0286_03.png")</f>
        <v/>
      </c>
      <c r="G231" s="55" t="str">
        <f>IMAGE("https://raw.githubusercontent.com/ltdimages/images/refs/heads/main/Coordinate0286_04.png")</f>
        <v/>
      </c>
      <c r="H231" s="55" t="str">
        <f>IMAGE("https://raw.githubusercontent.com/ltdimages/images/refs/heads/main/Coordinate0286_05.png")</f>
        <v/>
      </c>
      <c r="I231" s="56" t="str">
        <f>IMAGE("https://raw.githubusercontent.com/ltdimages/images/refs/heads/main/Coordinate0286_06.png")</f>
        <v/>
      </c>
      <c r="J231" s="55" t="str">
        <f>IMAGE("https://raw.githubusercontent.com/ltdimages/images/refs/heads/main/Coordinate0286_07.png")</f>
        <v/>
      </c>
      <c r="K231" s="20" t="s">
        <v>4210</v>
      </c>
      <c r="L231" s="20" t="s">
        <v>3097</v>
      </c>
      <c r="M231" s="55" t="s">
        <v>3098</v>
      </c>
      <c r="N231" s="55" t="s">
        <v>3114</v>
      </c>
      <c r="O231" s="55" t="s">
        <v>45</v>
      </c>
      <c r="P231" s="55" t="s">
        <v>45</v>
      </c>
      <c r="Q231" s="55" t="s">
        <v>45</v>
      </c>
      <c r="R231" s="55" t="s">
        <v>45</v>
      </c>
      <c r="S231" s="55" t="s">
        <v>45</v>
      </c>
      <c r="T231" s="55" t="s">
        <v>45</v>
      </c>
      <c r="U231" s="55" t="s">
        <v>4211</v>
      </c>
      <c r="V231" s="55" t="s">
        <v>3095</v>
      </c>
      <c r="W231" s="55" t="s">
        <v>4136</v>
      </c>
      <c r="X231" s="55" t="s">
        <v>4212</v>
      </c>
      <c r="Y231" s="55" t="s">
        <v>3095</v>
      </c>
      <c r="Z231" s="55" t="s">
        <v>3296</v>
      </c>
      <c r="AA231" s="55" t="s">
        <v>3232</v>
      </c>
      <c r="AB231" s="55" t="s">
        <v>3095</v>
      </c>
      <c r="AC231" s="55" t="s">
        <v>3103</v>
      </c>
      <c r="AD231" s="55" t="s">
        <v>4213</v>
      </c>
      <c r="AE231" s="55" t="s">
        <v>3095</v>
      </c>
      <c r="AF231" s="55" t="s">
        <v>3095</v>
      </c>
      <c r="AG231" s="55" t="s">
        <v>3095</v>
      </c>
      <c r="AH231" s="55" t="s">
        <v>3095</v>
      </c>
      <c r="AI231" s="55" t="s">
        <v>3095</v>
      </c>
      <c r="AJ231" s="55" t="s">
        <v>3095</v>
      </c>
      <c r="AK231" s="55" t="s">
        <v>3095</v>
      </c>
      <c r="AL231" s="55" t="s">
        <v>3095</v>
      </c>
      <c r="AM231" s="55" t="s">
        <v>3095</v>
      </c>
    </row>
    <row r="232" ht="45.0" customHeight="1">
      <c r="A232" s="55" t="s">
        <v>1024</v>
      </c>
      <c r="B232" s="55" t="s">
        <v>4214</v>
      </c>
      <c r="C232" s="55" t="str">
        <f>IMAGE("https://raw.githubusercontent.com/ltdimages/images/refs/heads/main/Coordinate0289_00.png")</f>
        <v/>
      </c>
      <c r="D232" s="55" t="str">
        <f>IMAGE("https://raw.githubusercontent.com/ltdimages/images/refs/heads/main/Coordinate0289_01.png")</f>
        <v/>
      </c>
      <c r="E232" s="55" t="str">
        <f>IMAGE("https://raw.githubusercontent.com/ltdimages/images/refs/heads/main/Coordinate0289_02.png")</f>
        <v/>
      </c>
      <c r="F232" s="55" t="s">
        <v>3095</v>
      </c>
      <c r="G232" s="55" t="s">
        <v>3095</v>
      </c>
      <c r="H232" s="55" t="s">
        <v>3095</v>
      </c>
      <c r="I232" s="56" t="s">
        <v>3095</v>
      </c>
      <c r="J232" s="55" t="s">
        <v>3095</v>
      </c>
      <c r="K232" s="20" t="s">
        <v>3648</v>
      </c>
      <c r="L232" s="20" t="s">
        <v>3097</v>
      </c>
      <c r="M232" s="55" t="s">
        <v>3098</v>
      </c>
      <c r="N232" s="55" t="s">
        <v>3114</v>
      </c>
      <c r="O232" s="55" t="s">
        <v>45</v>
      </c>
      <c r="P232" s="55" t="s">
        <v>45</v>
      </c>
      <c r="Q232" s="55" t="s">
        <v>45</v>
      </c>
      <c r="R232" s="55" t="s">
        <v>45</v>
      </c>
      <c r="S232" s="55" t="s">
        <v>45</v>
      </c>
      <c r="T232" s="55" t="s">
        <v>45</v>
      </c>
      <c r="U232" s="55" t="s">
        <v>4215</v>
      </c>
      <c r="V232" s="55" t="s">
        <v>3095</v>
      </c>
      <c r="W232" s="55" t="s">
        <v>3277</v>
      </c>
      <c r="X232" s="55" t="s">
        <v>4216</v>
      </c>
      <c r="Y232" s="55" t="s">
        <v>4217</v>
      </c>
      <c r="Z232" s="55" t="s">
        <v>3118</v>
      </c>
      <c r="AA232" s="55" t="s">
        <v>3150</v>
      </c>
      <c r="AB232" s="55" t="s">
        <v>3095</v>
      </c>
      <c r="AC232" s="55" t="s">
        <v>3103</v>
      </c>
      <c r="AD232" s="55" t="s">
        <v>4218</v>
      </c>
      <c r="AE232" s="55" t="s">
        <v>3095</v>
      </c>
      <c r="AF232" s="55" t="s">
        <v>3095</v>
      </c>
      <c r="AG232" s="55" t="s">
        <v>3095</v>
      </c>
      <c r="AH232" s="55" t="s">
        <v>3095</v>
      </c>
      <c r="AI232" s="55" t="s">
        <v>3095</v>
      </c>
      <c r="AJ232" s="55" t="s">
        <v>3095</v>
      </c>
      <c r="AK232" s="55" t="s">
        <v>3095</v>
      </c>
      <c r="AL232" s="55" t="s">
        <v>3095</v>
      </c>
      <c r="AM232" s="55" t="s">
        <v>3095</v>
      </c>
    </row>
    <row r="233" ht="45.0" customHeight="1">
      <c r="A233" s="55" t="s">
        <v>1028</v>
      </c>
      <c r="B233" s="55" t="s">
        <v>4219</v>
      </c>
      <c r="C233" s="55" t="str">
        <f>IMAGE("https://raw.githubusercontent.com/ltdimages/images/refs/heads/main/Coordinate0268_00.png")</f>
        <v/>
      </c>
      <c r="D233" s="55" t="str">
        <f>IMAGE("https://raw.githubusercontent.com/ltdimages/images/refs/heads/main/Coordinate0268_01.png")</f>
        <v/>
      </c>
      <c r="E233" s="55" t="str">
        <f>IMAGE("https://raw.githubusercontent.com/ltdimages/images/refs/heads/main/Coordinate0268_02.png")</f>
        <v/>
      </c>
      <c r="F233" s="55" t="s">
        <v>3095</v>
      </c>
      <c r="G233" s="55" t="s">
        <v>3095</v>
      </c>
      <c r="H233" s="55" t="s">
        <v>3095</v>
      </c>
      <c r="I233" s="56" t="s">
        <v>3095</v>
      </c>
      <c r="J233" s="55" t="s">
        <v>3095</v>
      </c>
      <c r="K233" s="20" t="s">
        <v>4220</v>
      </c>
      <c r="L233" s="20" t="s">
        <v>3097</v>
      </c>
      <c r="M233" s="55" t="s">
        <v>3131</v>
      </c>
      <c r="N233" s="55" t="s">
        <v>3099</v>
      </c>
      <c r="O233" s="55" t="s">
        <v>45</v>
      </c>
      <c r="P233" s="55" t="s">
        <v>45</v>
      </c>
      <c r="Q233" s="55" t="s">
        <v>45</v>
      </c>
      <c r="R233" s="55" t="s">
        <v>49</v>
      </c>
      <c r="S233" s="55" t="s">
        <v>45</v>
      </c>
      <c r="T233" s="55" t="s">
        <v>45</v>
      </c>
      <c r="U233" s="55" t="s">
        <v>3095</v>
      </c>
      <c r="V233" s="55" t="s">
        <v>4221</v>
      </c>
      <c r="W233" s="55" t="s">
        <v>3095</v>
      </c>
      <c r="X233" s="55" t="s">
        <v>4222</v>
      </c>
      <c r="Y233" s="55" t="s">
        <v>3924</v>
      </c>
      <c r="Z233" s="55" t="s">
        <v>3164</v>
      </c>
      <c r="AA233" s="55" t="s">
        <v>3550</v>
      </c>
      <c r="AB233" s="55" t="s">
        <v>3095</v>
      </c>
      <c r="AC233" s="55" t="s">
        <v>3110</v>
      </c>
      <c r="AD233" s="55" t="s">
        <v>4223</v>
      </c>
      <c r="AE233" s="55" t="s">
        <v>3095</v>
      </c>
      <c r="AF233" s="55" t="s">
        <v>3095</v>
      </c>
      <c r="AG233" s="55" t="s">
        <v>3095</v>
      </c>
      <c r="AH233" s="55" t="s">
        <v>3095</v>
      </c>
      <c r="AI233" s="55" t="s">
        <v>3095</v>
      </c>
      <c r="AJ233" s="55" t="s">
        <v>3095</v>
      </c>
      <c r="AK233" s="55" t="s">
        <v>3095</v>
      </c>
      <c r="AL233" s="55" t="s">
        <v>3095</v>
      </c>
      <c r="AM233" s="55" t="s">
        <v>3095</v>
      </c>
    </row>
    <row r="234" ht="45.0" customHeight="1">
      <c r="A234" s="55" t="s">
        <v>1032</v>
      </c>
      <c r="B234" s="55" t="s">
        <v>4224</v>
      </c>
      <c r="C234" s="55" t="str">
        <f>IMAGE("https://raw.githubusercontent.com/ltdimages/images/refs/heads/main/Coordinate0128_00.png")</f>
        <v/>
      </c>
      <c r="D234" s="55" t="str">
        <f>IMAGE("https://raw.githubusercontent.com/ltdimages/images/refs/heads/main/Coordinate0128_01.png")</f>
        <v/>
      </c>
      <c r="E234" s="55" t="str">
        <f>IMAGE("https://raw.githubusercontent.com/ltdimages/images/refs/heads/main/Coordinate0128_02.png")</f>
        <v/>
      </c>
      <c r="F234" s="55" t="str">
        <f>IMAGE("https://raw.githubusercontent.com/ltdimages/images/refs/heads/main/Coordinate0128_03.png")</f>
        <v/>
      </c>
      <c r="G234" s="55" t="str">
        <f>IMAGE("https://raw.githubusercontent.com/ltdimages/images/refs/heads/main/Coordinate0128_04.png")</f>
        <v/>
      </c>
      <c r="H234" s="55" t="s">
        <v>3095</v>
      </c>
      <c r="I234" s="56" t="s">
        <v>3095</v>
      </c>
      <c r="J234" s="55" t="s">
        <v>3095</v>
      </c>
      <c r="K234" s="20" t="s">
        <v>3617</v>
      </c>
      <c r="L234" s="20" t="s">
        <v>3097</v>
      </c>
      <c r="M234" s="55" t="s">
        <v>3098</v>
      </c>
      <c r="N234" s="55" t="s">
        <v>3099</v>
      </c>
      <c r="O234" s="55" t="s">
        <v>45</v>
      </c>
      <c r="P234" s="55" t="s">
        <v>45</v>
      </c>
      <c r="Q234" s="55" t="s">
        <v>45</v>
      </c>
      <c r="R234" s="55" t="s">
        <v>45</v>
      </c>
      <c r="S234" s="55" t="s">
        <v>45</v>
      </c>
      <c r="T234" s="55" t="s">
        <v>45</v>
      </c>
      <c r="U234" s="55" t="s">
        <v>3281</v>
      </c>
      <c r="V234" s="55" t="s">
        <v>3095</v>
      </c>
      <c r="W234" s="55" t="s">
        <v>3575</v>
      </c>
      <c r="X234" s="55" t="s">
        <v>3095</v>
      </c>
      <c r="Y234" s="55" t="s">
        <v>3095</v>
      </c>
      <c r="Z234" s="55" t="s">
        <v>3193</v>
      </c>
      <c r="AA234" s="55" t="s">
        <v>3095</v>
      </c>
      <c r="AB234" s="55" t="s">
        <v>3095</v>
      </c>
      <c r="AC234" s="55" t="s">
        <v>3103</v>
      </c>
      <c r="AD234" s="55" t="s">
        <v>4225</v>
      </c>
      <c r="AE234" s="55" t="s">
        <v>3095</v>
      </c>
      <c r="AF234" s="55" t="s">
        <v>3095</v>
      </c>
      <c r="AG234" s="55" t="s">
        <v>3095</v>
      </c>
      <c r="AH234" s="55" t="s">
        <v>3095</v>
      </c>
      <c r="AI234" s="55" t="s">
        <v>3095</v>
      </c>
      <c r="AJ234" s="55" t="s">
        <v>3095</v>
      </c>
      <c r="AK234" s="55" t="s">
        <v>3095</v>
      </c>
      <c r="AL234" s="55" t="s">
        <v>3095</v>
      </c>
      <c r="AM234" s="55" t="s">
        <v>3095</v>
      </c>
    </row>
    <row r="235" ht="45.0" customHeight="1">
      <c r="A235" s="55" t="s">
        <v>1036</v>
      </c>
      <c r="B235" s="55" t="s">
        <v>4226</v>
      </c>
      <c r="C235" s="55" t="str">
        <f>IMAGE("https://raw.githubusercontent.com/ltdimages/images/refs/heads/main/Coordinate0343_00.png")</f>
        <v/>
      </c>
      <c r="D235" s="55" t="str">
        <f>IMAGE("https://raw.githubusercontent.com/ltdimages/images/refs/heads/main/Coordinate0343_01.png")</f>
        <v/>
      </c>
      <c r="E235" s="55" t="str">
        <f>IMAGE("https://raw.githubusercontent.com/ltdimages/images/refs/heads/main/Coordinate0343_02.png")</f>
        <v/>
      </c>
      <c r="F235" s="55" t="str">
        <f>IMAGE("https://raw.githubusercontent.com/ltdimages/images/refs/heads/main/Coordinate0343_03.png")</f>
        <v/>
      </c>
      <c r="G235" s="55" t="str">
        <f>IMAGE("https://raw.githubusercontent.com/ltdimages/images/refs/heads/main/Coordinate0343_04.png")</f>
        <v/>
      </c>
      <c r="H235" s="55" t="str">
        <f>IMAGE("https://raw.githubusercontent.com/ltdimages/images/refs/heads/main/Coordinate0343_05.png")</f>
        <v/>
      </c>
      <c r="I235" s="56" t="str">
        <f>IMAGE("https://raw.githubusercontent.com/ltdimages/images/refs/heads/main/Coordinate0343_06.png")</f>
        <v/>
      </c>
      <c r="J235" s="55" t="str">
        <f>IMAGE("https://raw.githubusercontent.com/ltdimages/images/refs/heads/main/Coordinate0343_07.png")</f>
        <v/>
      </c>
      <c r="K235" s="20" t="s">
        <v>4227</v>
      </c>
      <c r="L235" s="20" t="s">
        <v>3097</v>
      </c>
      <c r="M235" s="55" t="s">
        <v>3098</v>
      </c>
      <c r="N235" s="55" t="s">
        <v>3099</v>
      </c>
      <c r="O235" s="55" t="s">
        <v>45</v>
      </c>
      <c r="P235" s="55" t="s">
        <v>45</v>
      </c>
      <c r="Q235" s="55" t="s">
        <v>45</v>
      </c>
      <c r="R235" s="55" t="s">
        <v>45</v>
      </c>
      <c r="S235" s="55" t="s">
        <v>45</v>
      </c>
      <c r="T235" s="55" t="s">
        <v>45</v>
      </c>
      <c r="U235" s="55" t="s">
        <v>3124</v>
      </c>
      <c r="V235" s="55" t="s">
        <v>3095</v>
      </c>
      <c r="W235" s="55" t="s">
        <v>3364</v>
      </c>
      <c r="X235" s="55" t="s">
        <v>3095</v>
      </c>
      <c r="Y235" s="55" t="s">
        <v>3095</v>
      </c>
      <c r="Z235" s="55" t="s">
        <v>3986</v>
      </c>
      <c r="AA235" s="55" t="s">
        <v>3095</v>
      </c>
      <c r="AB235" s="55" t="s">
        <v>3095</v>
      </c>
      <c r="AC235" s="55" t="s">
        <v>3103</v>
      </c>
      <c r="AD235" s="55" t="s">
        <v>4228</v>
      </c>
      <c r="AE235" s="55" t="s">
        <v>3095</v>
      </c>
      <c r="AF235" s="55" t="s">
        <v>3095</v>
      </c>
      <c r="AG235" s="55" t="s">
        <v>3095</v>
      </c>
      <c r="AH235" s="55" t="s">
        <v>3095</v>
      </c>
      <c r="AI235" s="55" t="s">
        <v>3095</v>
      </c>
      <c r="AJ235" s="55" t="s">
        <v>3095</v>
      </c>
      <c r="AK235" s="55" t="s">
        <v>3095</v>
      </c>
      <c r="AL235" s="55" t="s">
        <v>3095</v>
      </c>
      <c r="AM235" s="55" t="s">
        <v>3095</v>
      </c>
    </row>
    <row r="236" ht="45.0" customHeight="1">
      <c r="A236" s="55" t="s">
        <v>1040</v>
      </c>
      <c r="B236" s="55" t="s">
        <v>4229</v>
      </c>
      <c r="C236" s="55" t="str">
        <f>IMAGE("https://raw.githubusercontent.com/ltdimages/images/refs/heads/main/Coordinate0303_00.png")</f>
        <v/>
      </c>
      <c r="D236" s="55" t="str">
        <f>IMAGE("https://raw.githubusercontent.com/ltdimages/images/refs/heads/main/Coordinate0303_01.png")</f>
        <v/>
      </c>
      <c r="E236" s="55" t="str">
        <f>IMAGE("https://raw.githubusercontent.com/ltdimages/images/refs/heads/main/Coordinate0303_02.png")</f>
        <v/>
      </c>
      <c r="F236" s="55" t="str">
        <f>IMAGE("https://raw.githubusercontent.com/ltdimages/images/refs/heads/main/Coordinate0303_03.png")</f>
        <v/>
      </c>
      <c r="G236" s="55" t="str">
        <f>IMAGE("https://raw.githubusercontent.com/ltdimages/images/refs/heads/main/Coordinate0303_04.png")</f>
        <v/>
      </c>
      <c r="H236" s="55" t="str">
        <f>IMAGE("https://raw.githubusercontent.com/ltdimages/images/refs/heads/main/Coordinate0303_05.png")</f>
        <v/>
      </c>
      <c r="I236" s="56" t="s">
        <v>3095</v>
      </c>
      <c r="J236" s="55" t="s">
        <v>3095</v>
      </c>
      <c r="K236" s="20" t="s">
        <v>4230</v>
      </c>
      <c r="L236" s="20" t="s">
        <v>4231</v>
      </c>
      <c r="M236" s="55" t="s">
        <v>3131</v>
      </c>
      <c r="N236" s="55" t="s">
        <v>3114</v>
      </c>
      <c r="O236" s="55" t="s">
        <v>45</v>
      </c>
      <c r="P236" s="55" t="s">
        <v>45</v>
      </c>
      <c r="Q236" s="55" t="s">
        <v>45</v>
      </c>
      <c r="R236" s="55" t="s">
        <v>45</v>
      </c>
      <c r="S236" s="55" t="s">
        <v>45</v>
      </c>
      <c r="T236" s="55" t="s">
        <v>45</v>
      </c>
      <c r="U236" s="55" t="s">
        <v>4232</v>
      </c>
      <c r="V236" s="55" t="s">
        <v>3095</v>
      </c>
      <c r="W236" s="55" t="s">
        <v>4233</v>
      </c>
      <c r="X236" s="55" t="s">
        <v>3095</v>
      </c>
      <c r="Y236" s="55" t="s">
        <v>4234</v>
      </c>
      <c r="Z236" s="55" t="s">
        <v>3164</v>
      </c>
      <c r="AA236" s="55" t="s">
        <v>3434</v>
      </c>
      <c r="AB236" s="55" t="s">
        <v>3095</v>
      </c>
      <c r="AC236" s="55" t="s">
        <v>3103</v>
      </c>
      <c r="AD236" s="55" t="s">
        <v>4235</v>
      </c>
      <c r="AE236" s="55" t="s">
        <v>3095</v>
      </c>
      <c r="AF236" s="55" t="s">
        <v>3095</v>
      </c>
      <c r="AG236" s="55" t="s">
        <v>3095</v>
      </c>
      <c r="AH236" s="55" t="s">
        <v>3095</v>
      </c>
      <c r="AI236" s="55" t="s">
        <v>3095</v>
      </c>
      <c r="AJ236" s="55" t="s">
        <v>3095</v>
      </c>
      <c r="AK236" s="55" t="s">
        <v>3095</v>
      </c>
      <c r="AL236" s="55" t="s">
        <v>3095</v>
      </c>
      <c r="AM236" s="55" t="s">
        <v>3095</v>
      </c>
    </row>
    <row r="237" ht="45.0" customHeight="1">
      <c r="A237" s="55" t="s">
        <v>1044</v>
      </c>
      <c r="B237" s="55" t="s">
        <v>4236</v>
      </c>
      <c r="C237" s="55" t="str">
        <f>IMAGE("https://raw.githubusercontent.com/ltdimages/images/refs/heads/main/Coordinate0231_00.png")</f>
        <v/>
      </c>
      <c r="D237" s="55" t="str">
        <f>IMAGE("https://raw.githubusercontent.com/ltdimages/images/refs/heads/main/Coordinate0231_01.png")</f>
        <v/>
      </c>
      <c r="E237" s="55" t="str">
        <f>IMAGE("https://raw.githubusercontent.com/ltdimages/images/refs/heads/main/Coordinate0231_02.png")</f>
        <v/>
      </c>
      <c r="F237" s="55" t="str">
        <f>IMAGE("https://raw.githubusercontent.com/ltdimages/images/refs/heads/main/Coordinate0231_03.png")</f>
        <v/>
      </c>
      <c r="G237" s="55" t="str">
        <f>IMAGE("https://raw.githubusercontent.com/ltdimages/images/refs/heads/main/Coordinate0231_04.png")</f>
        <v/>
      </c>
      <c r="H237" s="55" t="str">
        <f>IMAGE("https://raw.githubusercontent.com/ltdimages/images/refs/heads/main/Coordinate0231_05.png")</f>
        <v/>
      </c>
      <c r="I237" s="56" t="str">
        <f>IMAGE("https://raw.githubusercontent.com/ltdimages/images/refs/heads/main/Coordinate0231_06.png")</f>
        <v/>
      </c>
      <c r="J237" s="55" t="str">
        <f>IMAGE("https://raw.githubusercontent.com/ltdimages/images/refs/heads/main/Coordinate0231_07.png")</f>
        <v/>
      </c>
      <c r="K237" s="20" t="s">
        <v>4237</v>
      </c>
      <c r="L237" s="20" t="s">
        <v>4231</v>
      </c>
      <c r="M237" s="55" t="s">
        <v>3098</v>
      </c>
      <c r="N237" s="55" t="s">
        <v>3123</v>
      </c>
      <c r="O237" s="55" t="s">
        <v>45</v>
      </c>
      <c r="P237" s="55" t="s">
        <v>45</v>
      </c>
      <c r="Q237" s="55" t="s">
        <v>45</v>
      </c>
      <c r="R237" s="55" t="s">
        <v>45</v>
      </c>
      <c r="S237" s="55" t="s">
        <v>49</v>
      </c>
      <c r="T237" s="55" t="s">
        <v>45</v>
      </c>
      <c r="U237" s="55" t="s">
        <v>3095</v>
      </c>
      <c r="V237" s="55" t="s">
        <v>4238</v>
      </c>
      <c r="W237" s="55" t="s">
        <v>3095</v>
      </c>
      <c r="X237" s="55" t="s">
        <v>3149</v>
      </c>
      <c r="Y237" s="55" t="s">
        <v>3095</v>
      </c>
      <c r="Z237" s="55" t="s">
        <v>3095</v>
      </c>
      <c r="AA237" s="55" t="s">
        <v>4239</v>
      </c>
      <c r="AB237" s="55" t="s">
        <v>3095</v>
      </c>
      <c r="AC237" s="55" t="s">
        <v>3110</v>
      </c>
      <c r="AD237" s="55" t="s">
        <v>4240</v>
      </c>
      <c r="AE237" s="55" t="s">
        <v>3095</v>
      </c>
      <c r="AF237" s="55" t="s">
        <v>3095</v>
      </c>
      <c r="AG237" s="55" t="s">
        <v>3095</v>
      </c>
      <c r="AH237" s="55" t="s">
        <v>3095</v>
      </c>
      <c r="AI237" s="55" t="s">
        <v>3095</v>
      </c>
      <c r="AJ237" s="55" t="s">
        <v>3095</v>
      </c>
      <c r="AK237" s="55" t="s">
        <v>3095</v>
      </c>
      <c r="AL237" s="55" t="s">
        <v>3095</v>
      </c>
      <c r="AM237" s="55" t="s">
        <v>3095</v>
      </c>
    </row>
    <row r="238" ht="45.0" customHeight="1">
      <c r="A238" s="55" t="s">
        <v>1048</v>
      </c>
      <c r="B238" s="55" t="s">
        <v>4241</v>
      </c>
      <c r="C238" s="55" t="str">
        <f>IMAGE("https://raw.githubusercontent.com/ltdimages/images/refs/heads/main/Coordinate0254_00.png")</f>
        <v/>
      </c>
      <c r="D238" s="55" t="str">
        <f>IMAGE("https://raw.githubusercontent.com/ltdimages/images/refs/heads/main/Coordinate0254_01.png")</f>
        <v/>
      </c>
      <c r="E238" s="55" t="str">
        <f>IMAGE("https://raw.githubusercontent.com/ltdimages/images/refs/heads/main/Coordinate0254_02.png")</f>
        <v/>
      </c>
      <c r="F238" s="55" t="str">
        <f>IMAGE("https://raw.githubusercontent.com/ltdimages/images/refs/heads/main/Coordinate0254_03.png")</f>
        <v/>
      </c>
      <c r="G238" s="55" t="str">
        <f>IMAGE("https://raw.githubusercontent.com/ltdimages/images/refs/heads/main/Coordinate0254_04.png")</f>
        <v/>
      </c>
      <c r="H238" s="55" t="str">
        <f>IMAGE("https://raw.githubusercontent.com/ltdimages/images/refs/heads/main/Coordinate0254_05.png")</f>
        <v/>
      </c>
      <c r="I238" s="56" t="str">
        <f>IMAGE("https://raw.githubusercontent.com/ltdimages/images/refs/heads/main/Coordinate0254_06.png")</f>
        <v/>
      </c>
      <c r="J238" s="55" t="str">
        <f>IMAGE("https://raw.githubusercontent.com/ltdimages/images/refs/heads/main/Coordinate0254_07.png")</f>
        <v/>
      </c>
      <c r="K238" s="20" t="s">
        <v>3267</v>
      </c>
      <c r="L238" s="20" t="s">
        <v>4231</v>
      </c>
      <c r="M238" s="55" t="s">
        <v>3131</v>
      </c>
      <c r="N238" s="55" t="s">
        <v>3114</v>
      </c>
      <c r="O238" s="55" t="s">
        <v>45</v>
      </c>
      <c r="P238" s="55" t="s">
        <v>45</v>
      </c>
      <c r="Q238" s="55" t="s">
        <v>45</v>
      </c>
      <c r="R238" s="55" t="s">
        <v>45</v>
      </c>
      <c r="S238" s="55" t="s">
        <v>45</v>
      </c>
      <c r="T238" s="55" t="s">
        <v>45</v>
      </c>
      <c r="U238" s="55" t="s">
        <v>4242</v>
      </c>
      <c r="V238" s="55" t="s">
        <v>3095</v>
      </c>
      <c r="W238" s="55" t="s">
        <v>4243</v>
      </c>
      <c r="X238" s="55" t="s">
        <v>3095</v>
      </c>
      <c r="Y238" s="55" t="s">
        <v>3095</v>
      </c>
      <c r="Z238" s="55" t="s">
        <v>4244</v>
      </c>
      <c r="AA238" s="55" t="s">
        <v>4103</v>
      </c>
      <c r="AB238" s="55" t="s">
        <v>3095</v>
      </c>
      <c r="AC238" s="55" t="s">
        <v>3103</v>
      </c>
      <c r="AD238" s="55" t="s">
        <v>4245</v>
      </c>
      <c r="AE238" s="55" t="s">
        <v>3095</v>
      </c>
      <c r="AF238" s="55" t="s">
        <v>3095</v>
      </c>
      <c r="AG238" s="55" t="s">
        <v>3095</v>
      </c>
      <c r="AH238" s="55" t="s">
        <v>3095</v>
      </c>
      <c r="AI238" s="55" t="s">
        <v>3095</v>
      </c>
      <c r="AJ238" s="55" t="s">
        <v>3095</v>
      </c>
      <c r="AK238" s="55" t="s">
        <v>3095</v>
      </c>
      <c r="AL238" s="55" t="s">
        <v>3095</v>
      </c>
      <c r="AM238" s="55" t="s">
        <v>3095</v>
      </c>
    </row>
    <row r="239" ht="45.0" customHeight="1">
      <c r="A239" s="55" t="s">
        <v>1052</v>
      </c>
      <c r="B239" s="55" t="s">
        <v>4246</v>
      </c>
      <c r="C239" s="55" t="str">
        <f>IMAGE("https://raw.githubusercontent.com/ltdimages/images/refs/heads/main/Coordinate0177_00.png")</f>
        <v/>
      </c>
      <c r="D239" s="55" t="str">
        <f>IMAGE("https://raw.githubusercontent.com/ltdimages/images/refs/heads/main/Coordinate0177_01.png")</f>
        <v/>
      </c>
      <c r="E239" s="55" t="str">
        <f>IMAGE("https://raw.githubusercontent.com/ltdimages/images/refs/heads/main/Coordinate0177_02.png")</f>
        <v/>
      </c>
      <c r="F239" s="55" t="str">
        <f>IMAGE("https://raw.githubusercontent.com/ltdimages/images/refs/heads/main/Coordinate0177_03.png")</f>
        <v/>
      </c>
      <c r="G239" s="55" t="str">
        <f>IMAGE("https://raw.githubusercontent.com/ltdimages/images/refs/heads/main/Coordinate0177_04.png")</f>
        <v/>
      </c>
      <c r="H239" s="55" t="str">
        <f>IMAGE("https://raw.githubusercontent.com/ltdimages/images/refs/heads/main/Coordinate0177_05.png")</f>
        <v/>
      </c>
      <c r="I239" s="56" t="str">
        <f>IMAGE("https://raw.githubusercontent.com/ltdimages/images/refs/heads/main/Coordinate0177_06.png")</f>
        <v/>
      </c>
      <c r="J239" s="55" t="str">
        <f>IMAGE("https://raw.githubusercontent.com/ltdimages/images/refs/heads/main/Coordinate0177_07.png")</f>
        <v/>
      </c>
      <c r="K239" s="20" t="s">
        <v>4247</v>
      </c>
      <c r="L239" s="20" t="s">
        <v>4231</v>
      </c>
      <c r="M239" s="55" t="s">
        <v>3131</v>
      </c>
      <c r="N239" s="55" t="s">
        <v>3099</v>
      </c>
      <c r="O239" s="55" t="s">
        <v>45</v>
      </c>
      <c r="P239" s="55" t="s">
        <v>45</v>
      </c>
      <c r="Q239" s="55" t="s">
        <v>45</v>
      </c>
      <c r="R239" s="55" t="s">
        <v>49</v>
      </c>
      <c r="S239" s="55" t="s">
        <v>45</v>
      </c>
      <c r="T239" s="55" t="s">
        <v>45</v>
      </c>
      <c r="U239" s="55" t="s">
        <v>3095</v>
      </c>
      <c r="V239" s="55" t="s">
        <v>4248</v>
      </c>
      <c r="W239" s="55" t="s">
        <v>3095</v>
      </c>
      <c r="X239" s="55" t="s">
        <v>3095</v>
      </c>
      <c r="Y239" s="55" t="s">
        <v>4249</v>
      </c>
      <c r="Z239" s="55" t="s">
        <v>4250</v>
      </c>
      <c r="AA239" s="55" t="s">
        <v>4251</v>
      </c>
      <c r="AB239" s="55" t="s">
        <v>3095</v>
      </c>
      <c r="AC239" s="55" t="s">
        <v>3110</v>
      </c>
      <c r="AD239" s="55" t="s">
        <v>4252</v>
      </c>
      <c r="AE239" s="55" t="s">
        <v>3095</v>
      </c>
      <c r="AF239" s="55" t="s">
        <v>3095</v>
      </c>
      <c r="AG239" s="55" t="s">
        <v>3095</v>
      </c>
      <c r="AH239" s="55" t="s">
        <v>3095</v>
      </c>
      <c r="AI239" s="55" t="s">
        <v>3095</v>
      </c>
      <c r="AJ239" s="55" t="s">
        <v>3095</v>
      </c>
      <c r="AK239" s="55" t="s">
        <v>3095</v>
      </c>
      <c r="AL239" s="55" t="s">
        <v>3095</v>
      </c>
      <c r="AM239" s="55" t="s">
        <v>3095</v>
      </c>
    </row>
    <row r="240" ht="45.0" customHeight="1">
      <c r="A240" s="55" t="s">
        <v>1056</v>
      </c>
      <c r="B240" s="55" t="s">
        <v>4253</v>
      </c>
      <c r="C240" s="55" t="str">
        <f>IMAGE("https://raw.githubusercontent.com/ltdimages/images/refs/heads/main/Coordinate0209_00.png")</f>
        <v/>
      </c>
      <c r="D240" s="55" t="str">
        <f>IMAGE("https://raw.githubusercontent.com/ltdimages/images/refs/heads/main/Coordinate0209_01.png")</f>
        <v/>
      </c>
      <c r="E240" s="55" t="str">
        <f>IMAGE("https://raw.githubusercontent.com/ltdimages/images/refs/heads/main/Coordinate0209_02.png")</f>
        <v/>
      </c>
      <c r="F240" s="55" t="str">
        <f>IMAGE("https://raw.githubusercontent.com/ltdimages/images/refs/heads/main/Coordinate0209_03.png")</f>
        <v/>
      </c>
      <c r="G240" s="55" t="str">
        <f>IMAGE("https://raw.githubusercontent.com/ltdimages/images/refs/heads/main/Coordinate0209_04.png")</f>
        <v/>
      </c>
      <c r="H240" s="55" t="str">
        <f>IMAGE("https://raw.githubusercontent.com/ltdimages/images/refs/heads/main/Coordinate0209_05.png")</f>
        <v/>
      </c>
      <c r="I240" s="56" t="str">
        <f>IMAGE("https://raw.githubusercontent.com/ltdimages/images/refs/heads/main/Coordinate0209_06.png")</f>
        <v/>
      </c>
      <c r="J240" s="55" t="str">
        <f>IMAGE("https://raw.githubusercontent.com/ltdimages/images/refs/heads/main/Coordinate0209_07.png")</f>
        <v/>
      </c>
      <c r="K240" s="20" t="s">
        <v>4254</v>
      </c>
      <c r="L240" s="20" t="s">
        <v>4231</v>
      </c>
      <c r="M240" s="55" t="s">
        <v>3131</v>
      </c>
      <c r="N240" s="55" t="s">
        <v>3099</v>
      </c>
      <c r="O240" s="55" t="s">
        <v>45</v>
      </c>
      <c r="P240" s="55" t="s">
        <v>45</v>
      </c>
      <c r="Q240" s="55" t="s">
        <v>45</v>
      </c>
      <c r="R240" s="55" t="s">
        <v>45</v>
      </c>
      <c r="S240" s="55" t="s">
        <v>45</v>
      </c>
      <c r="T240" s="55" t="s">
        <v>45</v>
      </c>
      <c r="U240" s="55" t="s">
        <v>3095</v>
      </c>
      <c r="V240" s="55" t="s">
        <v>4255</v>
      </c>
      <c r="W240" s="55" t="s">
        <v>3095</v>
      </c>
      <c r="X240" s="55" t="s">
        <v>4256</v>
      </c>
      <c r="Y240" s="55" t="s">
        <v>3095</v>
      </c>
      <c r="Z240" s="55" t="s">
        <v>3164</v>
      </c>
      <c r="AA240" s="55" t="s">
        <v>4257</v>
      </c>
      <c r="AB240" s="55" t="s">
        <v>3095</v>
      </c>
      <c r="AC240" s="55" t="s">
        <v>3110</v>
      </c>
      <c r="AD240" s="55" t="s">
        <v>4258</v>
      </c>
      <c r="AE240" s="55" t="s">
        <v>3095</v>
      </c>
      <c r="AF240" s="55" t="s">
        <v>3095</v>
      </c>
      <c r="AG240" s="55" t="s">
        <v>3095</v>
      </c>
      <c r="AH240" s="55" t="s">
        <v>3095</v>
      </c>
      <c r="AI240" s="55" t="s">
        <v>3095</v>
      </c>
      <c r="AJ240" s="55" t="s">
        <v>3095</v>
      </c>
      <c r="AK240" s="55" t="s">
        <v>3095</v>
      </c>
      <c r="AL240" s="55" t="s">
        <v>3095</v>
      </c>
      <c r="AM240" s="55" t="s">
        <v>3095</v>
      </c>
    </row>
    <row r="241" ht="45.0" customHeight="1">
      <c r="A241" s="55" t="s">
        <v>1060</v>
      </c>
      <c r="B241" s="55" t="s">
        <v>4259</v>
      </c>
      <c r="C241" s="55" t="str">
        <f>IMAGE("https://raw.githubusercontent.com/ltdimages/images/refs/heads/main/Coordinate0313_00.png")</f>
        <v/>
      </c>
      <c r="D241" s="55" t="str">
        <f>IMAGE("https://raw.githubusercontent.com/ltdimages/images/refs/heads/main/Coordinate0313_01.png")</f>
        <v/>
      </c>
      <c r="E241" s="55" t="str">
        <f>IMAGE("https://raw.githubusercontent.com/ltdimages/images/refs/heads/main/Coordinate0313_02.png")</f>
        <v/>
      </c>
      <c r="F241" s="55" t="str">
        <f>IMAGE("https://raw.githubusercontent.com/ltdimages/images/refs/heads/main/Coordinate0313_03.png")</f>
        <v/>
      </c>
      <c r="G241" s="55" t="str">
        <f>IMAGE("https://raw.githubusercontent.com/ltdimages/images/refs/heads/main/Coordinate0313_04.png")</f>
        <v/>
      </c>
      <c r="H241" s="55" t="str">
        <f>IMAGE("https://raw.githubusercontent.com/ltdimages/images/refs/heads/main/Coordinate0313_05.png")</f>
        <v/>
      </c>
      <c r="I241" s="56" t="str">
        <f>IMAGE("https://raw.githubusercontent.com/ltdimages/images/refs/heads/main/Coordinate0313_06.png")</f>
        <v/>
      </c>
      <c r="J241" s="55" t="str">
        <f>IMAGE("https://raw.githubusercontent.com/ltdimages/images/refs/heads/main/Coordinate0313_07.png")</f>
        <v/>
      </c>
      <c r="K241" s="20" t="s">
        <v>3442</v>
      </c>
      <c r="L241" s="20" t="s">
        <v>4231</v>
      </c>
      <c r="M241" s="55" t="s">
        <v>3098</v>
      </c>
      <c r="N241" s="55" t="s">
        <v>3123</v>
      </c>
      <c r="O241" s="55" t="s">
        <v>45</v>
      </c>
      <c r="P241" s="55" t="s">
        <v>45</v>
      </c>
      <c r="Q241" s="55" t="s">
        <v>45</v>
      </c>
      <c r="R241" s="55" t="s">
        <v>45</v>
      </c>
      <c r="S241" s="55" t="s">
        <v>45</v>
      </c>
      <c r="T241" s="55" t="s">
        <v>45</v>
      </c>
      <c r="U241" s="55" t="s">
        <v>4260</v>
      </c>
      <c r="V241" s="55" t="s">
        <v>3095</v>
      </c>
      <c r="W241" s="55" t="s">
        <v>3990</v>
      </c>
      <c r="X241" s="55" t="s">
        <v>3559</v>
      </c>
      <c r="Y241" s="55" t="s">
        <v>4234</v>
      </c>
      <c r="Z241" s="55" t="s">
        <v>3095</v>
      </c>
      <c r="AA241" s="55" t="s">
        <v>4261</v>
      </c>
      <c r="AB241" s="55" t="s">
        <v>3095</v>
      </c>
      <c r="AC241" s="55" t="s">
        <v>3103</v>
      </c>
      <c r="AD241" s="55" t="s">
        <v>4262</v>
      </c>
      <c r="AE241" s="55" t="s">
        <v>3095</v>
      </c>
      <c r="AF241" s="55" t="s">
        <v>3095</v>
      </c>
      <c r="AG241" s="55" t="s">
        <v>3095</v>
      </c>
      <c r="AH241" s="55" t="s">
        <v>3095</v>
      </c>
      <c r="AI241" s="55" t="s">
        <v>3095</v>
      </c>
      <c r="AJ241" s="55" t="s">
        <v>3095</v>
      </c>
      <c r="AK241" s="55" t="s">
        <v>3095</v>
      </c>
      <c r="AL241" s="55" t="s">
        <v>3095</v>
      </c>
      <c r="AM241" s="55" t="s">
        <v>3095</v>
      </c>
    </row>
    <row r="242" ht="45.0" customHeight="1">
      <c r="A242" s="55" t="s">
        <v>1065</v>
      </c>
      <c r="B242" s="55" t="s">
        <v>4263</v>
      </c>
      <c r="C242" s="55" t="str">
        <f>IMAGE("https://raw.githubusercontent.com/ltdimages/images/refs/heads/main/Coordinate0002_00.png")</f>
        <v/>
      </c>
      <c r="D242" s="55" t="str">
        <f>IMAGE("https://raw.githubusercontent.com/ltdimages/images/refs/heads/main/Coordinate0002_01.png")</f>
        <v/>
      </c>
      <c r="E242" s="55" t="str">
        <f>IMAGE("https://raw.githubusercontent.com/ltdimages/images/refs/heads/main/Coordinate0002_02.png")</f>
        <v/>
      </c>
      <c r="F242" s="55" t="str">
        <f>IMAGE("https://raw.githubusercontent.com/ltdimages/images/refs/heads/main/Coordinate0002_03.png")</f>
        <v/>
      </c>
      <c r="G242" s="55" t="str">
        <f>IMAGE("https://raw.githubusercontent.com/ltdimages/images/refs/heads/main/Coordinate0002_04.png")</f>
        <v/>
      </c>
      <c r="H242" s="55" t="str">
        <f>IMAGE("https://raw.githubusercontent.com/ltdimages/images/refs/heads/main/Coordinate0002_05.png")</f>
        <v/>
      </c>
      <c r="I242" s="56" t="str">
        <f>IMAGE("https://raw.githubusercontent.com/ltdimages/images/refs/heads/main/Coordinate0002_06.png")</f>
        <v/>
      </c>
      <c r="J242" s="55" t="str">
        <f>IMAGE("https://raw.githubusercontent.com/ltdimages/images/refs/heads/main/Coordinate0002_07.png")</f>
        <v/>
      </c>
      <c r="K242" s="20" t="s">
        <v>4264</v>
      </c>
      <c r="L242" s="20" t="s">
        <v>4231</v>
      </c>
      <c r="M242" s="55" t="s">
        <v>3131</v>
      </c>
      <c r="N242" s="55" t="s">
        <v>3099</v>
      </c>
      <c r="O242" s="55" t="s">
        <v>45</v>
      </c>
      <c r="P242" s="55" t="s">
        <v>45</v>
      </c>
      <c r="Q242" s="55" t="s">
        <v>45</v>
      </c>
      <c r="R242" s="55" t="s">
        <v>45</v>
      </c>
      <c r="S242" s="55" t="s">
        <v>45</v>
      </c>
      <c r="T242" s="55" t="s">
        <v>45</v>
      </c>
      <c r="U242" s="55" t="s">
        <v>3095</v>
      </c>
      <c r="V242" s="55" t="s">
        <v>4265</v>
      </c>
      <c r="W242" s="55" t="s">
        <v>3095</v>
      </c>
      <c r="X242" s="55" t="s">
        <v>3095</v>
      </c>
      <c r="Y242" s="55" t="s">
        <v>3095</v>
      </c>
      <c r="Z242" s="55" t="s">
        <v>3986</v>
      </c>
      <c r="AA242" s="55" t="s">
        <v>3222</v>
      </c>
      <c r="AB242" s="55" t="s">
        <v>3095</v>
      </c>
      <c r="AC242" s="55" t="s">
        <v>3110</v>
      </c>
      <c r="AD242" s="55" t="s">
        <v>4266</v>
      </c>
      <c r="AE242" s="55" t="s">
        <v>3095</v>
      </c>
      <c r="AF242" s="55" t="s">
        <v>3095</v>
      </c>
      <c r="AG242" s="55" t="s">
        <v>3095</v>
      </c>
      <c r="AH242" s="55" t="s">
        <v>3095</v>
      </c>
      <c r="AI242" s="55" t="s">
        <v>3095</v>
      </c>
      <c r="AJ242" s="55" t="s">
        <v>3095</v>
      </c>
      <c r="AK242" s="55" t="s">
        <v>3095</v>
      </c>
      <c r="AL242" s="55" t="s">
        <v>3095</v>
      </c>
      <c r="AM242" s="55" t="s">
        <v>3095</v>
      </c>
    </row>
    <row r="243" ht="45.0" customHeight="1">
      <c r="A243" s="55" t="s">
        <v>1069</v>
      </c>
      <c r="B243" s="55" t="s">
        <v>4267</v>
      </c>
      <c r="C243" s="55" t="str">
        <f>IMAGE("https://raw.githubusercontent.com/ltdimages/images/refs/heads/main/Coordinate0102_00.png")</f>
        <v/>
      </c>
      <c r="D243" s="55" t="str">
        <f>IMAGE("https://raw.githubusercontent.com/ltdimages/images/refs/heads/main/Coordinate0102_01.png")</f>
        <v/>
      </c>
      <c r="E243" s="55" t="str">
        <f>IMAGE("https://raw.githubusercontent.com/ltdimages/images/refs/heads/main/Coordinate0102_02.png")</f>
        <v/>
      </c>
      <c r="F243" s="55" t="str">
        <f>IMAGE("https://raw.githubusercontent.com/ltdimages/images/refs/heads/main/Coordinate0102_03.png")</f>
        <v/>
      </c>
      <c r="G243" s="55" t="str">
        <f>IMAGE("https://raw.githubusercontent.com/ltdimages/images/refs/heads/main/Coordinate0102_04.png")</f>
        <v/>
      </c>
      <c r="H243" s="55" t="str">
        <f>IMAGE("https://raw.githubusercontent.com/ltdimages/images/refs/heads/main/Coordinate0102_05.png")</f>
        <v/>
      </c>
      <c r="I243" s="56" t="s">
        <v>3095</v>
      </c>
      <c r="J243" s="55" t="s">
        <v>3095</v>
      </c>
      <c r="K243" s="20" t="s">
        <v>4268</v>
      </c>
      <c r="L243" s="20" t="s">
        <v>4231</v>
      </c>
      <c r="M243" s="55" t="s">
        <v>3131</v>
      </c>
      <c r="N243" s="55" t="s">
        <v>3123</v>
      </c>
      <c r="O243" s="55" t="s">
        <v>45</v>
      </c>
      <c r="P243" s="55" t="s">
        <v>45</v>
      </c>
      <c r="Q243" s="55" t="s">
        <v>45</v>
      </c>
      <c r="R243" s="55" t="s">
        <v>45</v>
      </c>
      <c r="S243" s="55" t="s">
        <v>45</v>
      </c>
      <c r="T243" s="55" t="s">
        <v>45</v>
      </c>
      <c r="U243" s="55" t="s">
        <v>3095</v>
      </c>
      <c r="V243" s="55" t="s">
        <v>4269</v>
      </c>
      <c r="W243" s="55" t="s">
        <v>3095</v>
      </c>
      <c r="X243" s="55" t="s">
        <v>4270</v>
      </c>
      <c r="Y243" s="55" t="s">
        <v>3095</v>
      </c>
      <c r="Z243" s="55" t="s">
        <v>3095</v>
      </c>
      <c r="AA243" s="55" t="s">
        <v>3135</v>
      </c>
      <c r="AB243" s="55" t="s">
        <v>3095</v>
      </c>
      <c r="AC243" s="55" t="s">
        <v>3110</v>
      </c>
      <c r="AD243" s="55" t="s">
        <v>4271</v>
      </c>
      <c r="AE243" s="55" t="s">
        <v>3095</v>
      </c>
      <c r="AF243" s="55" t="s">
        <v>3095</v>
      </c>
      <c r="AG243" s="55" t="s">
        <v>3095</v>
      </c>
      <c r="AH243" s="55" t="s">
        <v>3095</v>
      </c>
      <c r="AI243" s="55" t="s">
        <v>3095</v>
      </c>
      <c r="AJ243" s="55" t="s">
        <v>3095</v>
      </c>
      <c r="AK243" s="55" t="s">
        <v>3095</v>
      </c>
      <c r="AL243" s="55" t="s">
        <v>3095</v>
      </c>
      <c r="AM243" s="55" t="s">
        <v>3095</v>
      </c>
    </row>
    <row r="244" ht="45.0" customHeight="1">
      <c r="A244" s="55" t="s">
        <v>1073</v>
      </c>
      <c r="B244" s="55" t="s">
        <v>4272</v>
      </c>
      <c r="C244" s="55" t="str">
        <f>IMAGE("https://raw.githubusercontent.com/ltdimages/images/refs/heads/main/Coordinate0234_00.png")</f>
        <v/>
      </c>
      <c r="D244" s="55" t="str">
        <f>IMAGE("https://raw.githubusercontent.com/ltdimages/images/refs/heads/main/Coordinate0234_01.png")</f>
        <v/>
      </c>
      <c r="E244" s="55" t="str">
        <f>IMAGE("https://raw.githubusercontent.com/ltdimages/images/refs/heads/main/Coordinate0234_02.png")</f>
        <v/>
      </c>
      <c r="F244" s="55" t="str">
        <f>IMAGE("https://raw.githubusercontent.com/ltdimages/images/refs/heads/main/Coordinate0234_03.png")</f>
        <v/>
      </c>
      <c r="G244" s="55" t="str">
        <f>IMAGE("https://raw.githubusercontent.com/ltdimages/images/refs/heads/main/Coordinate0234_04.png")</f>
        <v/>
      </c>
      <c r="H244" s="55" t="str">
        <f>IMAGE("https://raw.githubusercontent.com/ltdimages/images/refs/heads/main/Coordinate0234_05.png")</f>
        <v/>
      </c>
      <c r="I244" s="56" t="s">
        <v>3095</v>
      </c>
      <c r="J244" s="55" t="s">
        <v>3095</v>
      </c>
      <c r="K244" s="20" t="s">
        <v>4273</v>
      </c>
      <c r="L244" s="20" t="s">
        <v>4231</v>
      </c>
      <c r="M244" s="55" t="s">
        <v>3131</v>
      </c>
      <c r="N244" s="55" t="s">
        <v>3099</v>
      </c>
      <c r="O244" s="55" t="s">
        <v>45</v>
      </c>
      <c r="P244" s="55" t="s">
        <v>45</v>
      </c>
      <c r="Q244" s="55" t="s">
        <v>45</v>
      </c>
      <c r="R244" s="55" t="s">
        <v>45</v>
      </c>
      <c r="S244" s="55" t="s">
        <v>45</v>
      </c>
      <c r="T244" s="55" t="s">
        <v>45</v>
      </c>
      <c r="U244" s="55" t="s">
        <v>3253</v>
      </c>
      <c r="V244" s="55" t="s">
        <v>3095</v>
      </c>
      <c r="W244" s="55" t="s">
        <v>4274</v>
      </c>
      <c r="X244" s="55" t="s">
        <v>4275</v>
      </c>
      <c r="Y244" s="55" t="s">
        <v>3095</v>
      </c>
      <c r="Z244" s="55" t="s">
        <v>3164</v>
      </c>
      <c r="AA244" s="55" t="s">
        <v>4276</v>
      </c>
      <c r="AB244" s="55" t="s">
        <v>3095</v>
      </c>
      <c r="AC244" s="55" t="s">
        <v>3103</v>
      </c>
      <c r="AD244" s="55" t="s">
        <v>4277</v>
      </c>
      <c r="AE244" s="55" t="s">
        <v>3095</v>
      </c>
      <c r="AF244" s="55" t="s">
        <v>3095</v>
      </c>
      <c r="AG244" s="55" t="s">
        <v>3095</v>
      </c>
      <c r="AH244" s="55" t="s">
        <v>3095</v>
      </c>
      <c r="AI244" s="55" t="s">
        <v>3095</v>
      </c>
      <c r="AJ244" s="55" t="s">
        <v>3095</v>
      </c>
      <c r="AK244" s="55" t="s">
        <v>3095</v>
      </c>
      <c r="AL244" s="55" t="s">
        <v>3095</v>
      </c>
      <c r="AM244" s="55" t="s">
        <v>3095</v>
      </c>
    </row>
    <row r="245" ht="45.0" customHeight="1">
      <c r="A245" s="55" t="s">
        <v>1077</v>
      </c>
      <c r="B245" s="55" t="s">
        <v>4278</v>
      </c>
      <c r="C245" s="55" t="str">
        <f>IMAGE("https://raw.githubusercontent.com/ltdimages/images/refs/heads/main/Coordinate0084_00.png")</f>
        <v/>
      </c>
      <c r="D245" s="55" t="str">
        <f>IMAGE("https://raw.githubusercontent.com/ltdimages/images/refs/heads/main/Coordinate0084_01.png")</f>
        <v/>
      </c>
      <c r="E245" s="55" t="str">
        <f>IMAGE("https://raw.githubusercontent.com/ltdimages/images/refs/heads/main/Coordinate0084_02.png")</f>
        <v/>
      </c>
      <c r="F245" s="55" t="str">
        <f>IMAGE("https://raw.githubusercontent.com/ltdimages/images/refs/heads/main/Coordinate0084_03.png")</f>
        <v/>
      </c>
      <c r="G245" s="55" t="str">
        <f>IMAGE("https://raw.githubusercontent.com/ltdimages/images/refs/heads/main/Coordinate0084_04.png")</f>
        <v/>
      </c>
      <c r="H245" s="55" t="str">
        <f>IMAGE("https://raw.githubusercontent.com/ltdimages/images/refs/heads/main/Coordinate0084_05.png")</f>
        <v/>
      </c>
      <c r="I245" s="56" t="s">
        <v>3095</v>
      </c>
      <c r="J245" s="55" t="s">
        <v>3095</v>
      </c>
      <c r="K245" s="20" t="s">
        <v>3262</v>
      </c>
      <c r="L245" s="20" t="s">
        <v>4231</v>
      </c>
      <c r="M245" s="55" t="s">
        <v>3131</v>
      </c>
      <c r="N245" s="55" t="s">
        <v>3099</v>
      </c>
      <c r="O245" s="55" t="s">
        <v>45</v>
      </c>
      <c r="P245" s="55" t="s">
        <v>45</v>
      </c>
      <c r="Q245" s="55" t="s">
        <v>45</v>
      </c>
      <c r="R245" s="55" t="s">
        <v>45</v>
      </c>
      <c r="S245" s="55" t="s">
        <v>45</v>
      </c>
      <c r="T245" s="55" t="s">
        <v>45</v>
      </c>
      <c r="U245" s="55" t="s">
        <v>4279</v>
      </c>
      <c r="V245" s="55" t="s">
        <v>3095</v>
      </c>
      <c r="W245" s="55" t="s">
        <v>4280</v>
      </c>
      <c r="X245" s="55" t="s">
        <v>3095</v>
      </c>
      <c r="Y245" s="55" t="s">
        <v>3095</v>
      </c>
      <c r="Z245" s="55" t="s">
        <v>3156</v>
      </c>
      <c r="AA245" s="55" t="s">
        <v>3157</v>
      </c>
      <c r="AB245" s="55" t="s">
        <v>3095</v>
      </c>
      <c r="AC245" s="55" t="s">
        <v>3103</v>
      </c>
      <c r="AD245" s="55" t="s">
        <v>4281</v>
      </c>
      <c r="AE245" s="55" t="s">
        <v>3095</v>
      </c>
      <c r="AF245" s="55" t="s">
        <v>3095</v>
      </c>
      <c r="AG245" s="55" t="s">
        <v>3095</v>
      </c>
      <c r="AH245" s="55" t="s">
        <v>3095</v>
      </c>
      <c r="AI245" s="55" t="s">
        <v>3095</v>
      </c>
      <c r="AJ245" s="55" t="s">
        <v>3095</v>
      </c>
      <c r="AK245" s="55" t="s">
        <v>3095</v>
      </c>
      <c r="AL245" s="55" t="s">
        <v>3095</v>
      </c>
      <c r="AM245" s="55" t="s">
        <v>3095</v>
      </c>
    </row>
    <row r="246" ht="45.0" customHeight="1">
      <c r="A246" s="55" t="s">
        <v>1081</v>
      </c>
      <c r="B246" s="55" t="s">
        <v>4282</v>
      </c>
      <c r="C246" s="55" t="str">
        <f>IMAGE("https://raw.githubusercontent.com/ltdimages/images/refs/heads/main/Coordinate0039_00.png")</f>
        <v/>
      </c>
      <c r="D246" s="55" t="str">
        <f>IMAGE("https://raw.githubusercontent.com/ltdimages/images/refs/heads/main/Coordinate0039_01.png")</f>
        <v/>
      </c>
      <c r="E246" s="55" t="str">
        <f>IMAGE("https://raw.githubusercontent.com/ltdimages/images/refs/heads/main/Coordinate0039_02.png")</f>
        <v/>
      </c>
      <c r="F246" s="55" t="str">
        <f>IMAGE("https://raw.githubusercontent.com/ltdimages/images/refs/heads/main/Coordinate0039_03.png")</f>
        <v/>
      </c>
      <c r="G246" s="55" t="s">
        <v>3095</v>
      </c>
      <c r="H246" s="55" t="s">
        <v>3095</v>
      </c>
      <c r="I246" s="56" t="s">
        <v>3095</v>
      </c>
      <c r="J246" s="55" t="s">
        <v>3095</v>
      </c>
      <c r="K246" s="20" t="s">
        <v>4283</v>
      </c>
      <c r="L246" s="20" t="s">
        <v>4231</v>
      </c>
      <c r="M246" s="55" t="s">
        <v>3131</v>
      </c>
      <c r="N246" s="55" t="s">
        <v>3099</v>
      </c>
      <c r="O246" s="55" t="s">
        <v>45</v>
      </c>
      <c r="P246" s="55" t="s">
        <v>45</v>
      </c>
      <c r="Q246" s="55" t="s">
        <v>45</v>
      </c>
      <c r="R246" s="55" t="s">
        <v>45</v>
      </c>
      <c r="S246" s="55" t="s">
        <v>45</v>
      </c>
      <c r="T246" s="55" t="s">
        <v>45</v>
      </c>
      <c r="U246" s="55" t="s">
        <v>4284</v>
      </c>
      <c r="V246" s="55" t="s">
        <v>3095</v>
      </c>
      <c r="W246" s="55" t="s">
        <v>4285</v>
      </c>
      <c r="X246" s="55" t="s">
        <v>3095</v>
      </c>
      <c r="Y246" s="55" t="s">
        <v>3095</v>
      </c>
      <c r="Z246" s="55" t="s">
        <v>4250</v>
      </c>
      <c r="AA246" s="55" t="s">
        <v>4286</v>
      </c>
      <c r="AB246" s="55" t="s">
        <v>3095</v>
      </c>
      <c r="AC246" s="55" t="s">
        <v>4287</v>
      </c>
      <c r="AD246" s="55" t="s">
        <v>4288</v>
      </c>
      <c r="AE246" s="55" t="s">
        <v>3095</v>
      </c>
      <c r="AF246" s="55" t="s">
        <v>3095</v>
      </c>
      <c r="AG246" s="55" t="s">
        <v>3095</v>
      </c>
      <c r="AH246" s="55" t="s">
        <v>3095</v>
      </c>
      <c r="AI246" s="55" t="s">
        <v>3095</v>
      </c>
      <c r="AJ246" s="55" t="s">
        <v>3095</v>
      </c>
      <c r="AK246" s="55" t="s">
        <v>3095</v>
      </c>
      <c r="AL246" s="55" t="s">
        <v>3095</v>
      </c>
      <c r="AM246" s="55" t="s">
        <v>3095</v>
      </c>
    </row>
    <row r="247" ht="45.0" customHeight="1">
      <c r="A247" s="55" t="s">
        <v>1085</v>
      </c>
      <c r="B247" s="55" t="s">
        <v>4289</v>
      </c>
      <c r="C247" s="55" t="str">
        <f>IMAGE("https://raw.githubusercontent.com/ltdimages/images/refs/heads/main/Coordinate0020_00.png")</f>
        <v/>
      </c>
      <c r="D247" s="55" t="str">
        <f>IMAGE("https://raw.githubusercontent.com/ltdimages/images/refs/heads/main/Coordinate0020_01.png")</f>
        <v/>
      </c>
      <c r="E247" s="55" t="str">
        <f>IMAGE("https://raw.githubusercontent.com/ltdimages/images/refs/heads/main/Coordinate0020_02.png")</f>
        <v/>
      </c>
      <c r="F247" s="55" t="str">
        <f>IMAGE("https://raw.githubusercontent.com/ltdimages/images/refs/heads/main/Coordinate0020_03.png")</f>
        <v/>
      </c>
      <c r="G247" s="55" t="str">
        <f>IMAGE("https://raw.githubusercontent.com/ltdimages/images/refs/heads/main/Coordinate0020_04.png")</f>
        <v/>
      </c>
      <c r="H247" s="55" t="str">
        <f>IMAGE("https://raw.githubusercontent.com/ltdimages/images/refs/heads/main/Coordinate0020_05.png")</f>
        <v/>
      </c>
      <c r="I247" s="56" t="str">
        <f>IMAGE("https://raw.githubusercontent.com/ltdimages/images/refs/heads/main/Coordinate0020_06.png")</f>
        <v/>
      </c>
      <c r="J247" s="55" t="str">
        <f>IMAGE("https://raw.githubusercontent.com/ltdimages/images/refs/heads/main/Coordinate0020_07.png")</f>
        <v/>
      </c>
      <c r="K247" s="20" t="s">
        <v>4290</v>
      </c>
      <c r="L247" s="20" t="s">
        <v>4231</v>
      </c>
      <c r="M247" s="55" t="s">
        <v>3131</v>
      </c>
      <c r="N247" s="55" t="s">
        <v>3099</v>
      </c>
      <c r="O247" s="55" t="s">
        <v>45</v>
      </c>
      <c r="P247" s="55" t="s">
        <v>45</v>
      </c>
      <c r="Q247" s="55" t="s">
        <v>45</v>
      </c>
      <c r="R247" s="55" t="s">
        <v>45</v>
      </c>
      <c r="S247" s="55" t="s">
        <v>45</v>
      </c>
      <c r="T247" s="55" t="s">
        <v>45</v>
      </c>
      <c r="U247" s="55" t="s">
        <v>4291</v>
      </c>
      <c r="V247" s="55" t="s">
        <v>3095</v>
      </c>
      <c r="W247" s="55" t="s">
        <v>4292</v>
      </c>
      <c r="X247" s="55" t="s">
        <v>3095</v>
      </c>
      <c r="Y247" s="55" t="s">
        <v>3095</v>
      </c>
      <c r="Z247" s="55" t="s">
        <v>4250</v>
      </c>
      <c r="AA247" s="55" t="s">
        <v>4251</v>
      </c>
      <c r="AB247" s="55" t="s">
        <v>3095</v>
      </c>
      <c r="AC247" s="55" t="s">
        <v>3103</v>
      </c>
      <c r="AD247" s="55" t="s">
        <v>4293</v>
      </c>
      <c r="AE247" s="55" t="s">
        <v>3095</v>
      </c>
      <c r="AF247" s="55" t="s">
        <v>3095</v>
      </c>
      <c r="AG247" s="55" t="s">
        <v>3095</v>
      </c>
      <c r="AH247" s="55" t="s">
        <v>3095</v>
      </c>
      <c r="AI247" s="55" t="s">
        <v>3095</v>
      </c>
      <c r="AJ247" s="55" t="s">
        <v>3095</v>
      </c>
      <c r="AK247" s="55" t="s">
        <v>3095</v>
      </c>
      <c r="AL247" s="55" t="s">
        <v>3095</v>
      </c>
      <c r="AM247" s="55" t="s">
        <v>3095</v>
      </c>
    </row>
    <row r="248" ht="45.0" customHeight="1">
      <c r="A248" s="55" t="s">
        <v>1089</v>
      </c>
      <c r="B248" s="55" t="s">
        <v>4294</v>
      </c>
      <c r="C248" s="55" t="str">
        <f>IMAGE("https://raw.githubusercontent.com/ltdimages/images/refs/heads/main/Coordinate0038_00.png")</f>
        <v/>
      </c>
      <c r="D248" s="55" t="str">
        <f>IMAGE("https://raw.githubusercontent.com/ltdimages/images/refs/heads/main/Coordinate0038_01.png")</f>
        <v/>
      </c>
      <c r="E248" s="55" t="str">
        <f>IMAGE("https://raw.githubusercontent.com/ltdimages/images/refs/heads/main/Coordinate0038_02.png")</f>
        <v/>
      </c>
      <c r="F248" s="55" t="str">
        <f>IMAGE("https://raw.githubusercontent.com/ltdimages/images/refs/heads/main/Coordinate0038_03.png")</f>
        <v/>
      </c>
      <c r="G248" s="55" t="str">
        <f>IMAGE("https://raw.githubusercontent.com/ltdimages/images/refs/heads/main/Coordinate0038_04.png")</f>
        <v/>
      </c>
      <c r="H248" s="55" t="str">
        <f>IMAGE("https://raw.githubusercontent.com/ltdimages/images/refs/heads/main/Coordinate0038_05.png")</f>
        <v/>
      </c>
      <c r="I248" s="56" t="str">
        <f>IMAGE("https://raw.githubusercontent.com/ltdimages/images/refs/heads/main/Coordinate0038_06.png")</f>
        <v/>
      </c>
      <c r="J248" s="55" t="str">
        <f>IMAGE("https://raw.githubusercontent.com/ltdimages/images/refs/heads/main/Coordinate0038_07.png")</f>
        <v/>
      </c>
      <c r="K248" s="20" t="s">
        <v>3106</v>
      </c>
      <c r="L248" s="20" t="s">
        <v>4231</v>
      </c>
      <c r="M248" s="55" t="s">
        <v>3098</v>
      </c>
      <c r="N248" s="55" t="s">
        <v>3099</v>
      </c>
      <c r="O248" s="55" t="s">
        <v>45</v>
      </c>
      <c r="P248" s="55" t="s">
        <v>45</v>
      </c>
      <c r="Q248" s="55" t="s">
        <v>45</v>
      </c>
      <c r="R248" s="55" t="s">
        <v>45</v>
      </c>
      <c r="S248" s="55" t="s">
        <v>45</v>
      </c>
      <c r="T248" s="55" t="s">
        <v>45</v>
      </c>
      <c r="U248" s="55" t="s">
        <v>4295</v>
      </c>
      <c r="V248" s="55" t="s">
        <v>3095</v>
      </c>
      <c r="W248" s="55" t="s">
        <v>4296</v>
      </c>
      <c r="X248" s="55" t="s">
        <v>3095</v>
      </c>
      <c r="Y248" s="55" t="s">
        <v>3095</v>
      </c>
      <c r="Z248" s="55" t="s">
        <v>4250</v>
      </c>
      <c r="AA248" s="55" t="s">
        <v>4297</v>
      </c>
      <c r="AB248" s="55" t="s">
        <v>3095</v>
      </c>
      <c r="AC248" s="55" t="s">
        <v>3103</v>
      </c>
      <c r="AD248" s="55" t="s">
        <v>4298</v>
      </c>
      <c r="AE248" s="55" t="s">
        <v>3095</v>
      </c>
      <c r="AF248" s="55" t="s">
        <v>3095</v>
      </c>
      <c r="AG248" s="55" t="s">
        <v>3095</v>
      </c>
      <c r="AH248" s="55" t="s">
        <v>3095</v>
      </c>
      <c r="AI248" s="55" t="s">
        <v>3095</v>
      </c>
      <c r="AJ248" s="55" t="s">
        <v>3095</v>
      </c>
      <c r="AK248" s="55" t="s">
        <v>3095</v>
      </c>
      <c r="AL248" s="55" t="s">
        <v>3095</v>
      </c>
      <c r="AM248" s="55" t="s">
        <v>3095</v>
      </c>
    </row>
    <row r="249" ht="45.0" customHeight="1">
      <c r="A249" s="55" t="s">
        <v>1093</v>
      </c>
      <c r="B249" s="55" t="s">
        <v>4299</v>
      </c>
      <c r="C249" s="55" t="str">
        <f>IMAGE("https://raw.githubusercontent.com/ltdimages/images/refs/heads/main/Coordinate0226_00.png")</f>
        <v/>
      </c>
      <c r="D249" s="55" t="str">
        <f>IMAGE("https://raw.githubusercontent.com/ltdimages/images/refs/heads/main/Coordinate0226_01.png")</f>
        <v/>
      </c>
      <c r="E249" s="55" t="str">
        <f>IMAGE("https://raw.githubusercontent.com/ltdimages/images/refs/heads/main/Coordinate0226_02.png")</f>
        <v/>
      </c>
      <c r="F249" s="55" t="str">
        <f>IMAGE("https://raw.githubusercontent.com/ltdimages/images/refs/heads/main/Coordinate0226_03.png")</f>
        <v/>
      </c>
      <c r="G249" s="55" t="str">
        <f>IMAGE("https://raw.githubusercontent.com/ltdimages/images/refs/heads/main/Coordinate0226_04.png")</f>
        <v/>
      </c>
      <c r="H249" s="55" t="str">
        <f>IMAGE("https://raw.githubusercontent.com/ltdimages/images/refs/heads/main/Coordinate0226_05.png")</f>
        <v/>
      </c>
      <c r="I249" s="56" t="s">
        <v>3095</v>
      </c>
      <c r="J249" s="55" t="s">
        <v>3095</v>
      </c>
      <c r="K249" s="20" t="s">
        <v>4300</v>
      </c>
      <c r="L249" s="20" t="s">
        <v>4231</v>
      </c>
      <c r="M249" s="55" t="s">
        <v>3131</v>
      </c>
      <c r="N249" s="55" t="s">
        <v>3123</v>
      </c>
      <c r="O249" s="55" t="s">
        <v>45</v>
      </c>
      <c r="P249" s="55" t="s">
        <v>45</v>
      </c>
      <c r="Q249" s="55" t="s">
        <v>45</v>
      </c>
      <c r="R249" s="55" t="s">
        <v>45</v>
      </c>
      <c r="S249" s="55" t="s">
        <v>45</v>
      </c>
      <c r="T249" s="55" t="s">
        <v>45</v>
      </c>
      <c r="U249" s="55" t="s">
        <v>3095</v>
      </c>
      <c r="V249" s="55" t="s">
        <v>4301</v>
      </c>
      <c r="W249" s="55" t="s">
        <v>3095</v>
      </c>
      <c r="X249" s="55" t="s">
        <v>4270</v>
      </c>
      <c r="Y249" s="55" t="s">
        <v>3095</v>
      </c>
      <c r="Z249" s="55" t="s">
        <v>3164</v>
      </c>
      <c r="AA249" s="55" t="s">
        <v>4302</v>
      </c>
      <c r="AB249" s="55" t="s">
        <v>3095</v>
      </c>
      <c r="AC249" s="55" t="s">
        <v>3110</v>
      </c>
      <c r="AD249" s="55" t="s">
        <v>4303</v>
      </c>
      <c r="AE249" s="55" t="s">
        <v>3095</v>
      </c>
      <c r="AF249" s="55" t="s">
        <v>3095</v>
      </c>
      <c r="AG249" s="55" t="s">
        <v>3095</v>
      </c>
      <c r="AH249" s="55" t="s">
        <v>3095</v>
      </c>
      <c r="AI249" s="55" t="s">
        <v>3095</v>
      </c>
      <c r="AJ249" s="55" t="s">
        <v>3095</v>
      </c>
      <c r="AK249" s="55" t="s">
        <v>3095</v>
      </c>
      <c r="AL249" s="55" t="s">
        <v>3095</v>
      </c>
      <c r="AM249" s="55" t="s">
        <v>3095</v>
      </c>
    </row>
    <row r="250" ht="45.0" customHeight="1">
      <c r="A250" s="55" t="s">
        <v>1097</v>
      </c>
      <c r="B250" s="55" t="s">
        <v>4304</v>
      </c>
      <c r="C250" s="55" t="str">
        <f>IMAGE("https://raw.githubusercontent.com/ltdimages/images/refs/heads/main/Coordinate0225_00.png")</f>
        <v/>
      </c>
      <c r="D250" s="55" t="str">
        <f>IMAGE("https://raw.githubusercontent.com/ltdimages/images/refs/heads/main/Coordinate0225_01.png")</f>
        <v/>
      </c>
      <c r="E250" s="55" t="str">
        <f>IMAGE("https://raw.githubusercontent.com/ltdimages/images/refs/heads/main/Coordinate0225_02.png")</f>
        <v/>
      </c>
      <c r="F250" s="55" t="str">
        <f>IMAGE("https://raw.githubusercontent.com/ltdimages/images/refs/heads/main/Coordinate0225_03.png")</f>
        <v/>
      </c>
      <c r="G250" s="55" t="str">
        <f>IMAGE("https://raw.githubusercontent.com/ltdimages/images/refs/heads/main/Coordinate0225_04.png")</f>
        <v/>
      </c>
      <c r="H250" s="55" t="str">
        <f>IMAGE("https://raw.githubusercontent.com/ltdimages/images/refs/heads/main/Coordinate0225_05.png")</f>
        <v/>
      </c>
      <c r="I250" s="56" t="str">
        <f>IMAGE("https://raw.githubusercontent.com/ltdimages/images/refs/heads/main/Coordinate0225_06.png")</f>
        <v/>
      </c>
      <c r="J250" s="55" t="str">
        <f>IMAGE("https://raw.githubusercontent.com/ltdimages/images/refs/heads/main/Coordinate0225_07.png")</f>
        <v/>
      </c>
      <c r="K250" s="20" t="s">
        <v>4305</v>
      </c>
      <c r="L250" s="20" t="s">
        <v>4231</v>
      </c>
      <c r="M250" s="55" t="s">
        <v>3131</v>
      </c>
      <c r="N250" s="55" t="s">
        <v>3099</v>
      </c>
      <c r="O250" s="55" t="s">
        <v>45</v>
      </c>
      <c r="P250" s="55" t="s">
        <v>45</v>
      </c>
      <c r="Q250" s="55" t="s">
        <v>45</v>
      </c>
      <c r="R250" s="55" t="s">
        <v>45</v>
      </c>
      <c r="S250" s="55" t="s">
        <v>45</v>
      </c>
      <c r="T250" s="55" t="s">
        <v>45</v>
      </c>
      <c r="U250" s="55" t="s">
        <v>3095</v>
      </c>
      <c r="V250" s="55" t="s">
        <v>4306</v>
      </c>
      <c r="W250" s="55" t="s">
        <v>3095</v>
      </c>
      <c r="X250" s="55" t="s">
        <v>3095</v>
      </c>
      <c r="Y250" s="55" t="s">
        <v>3095</v>
      </c>
      <c r="Z250" s="55" t="s">
        <v>3200</v>
      </c>
      <c r="AA250" s="55" t="s">
        <v>3217</v>
      </c>
      <c r="AB250" s="55" t="s">
        <v>3095</v>
      </c>
      <c r="AC250" s="55" t="s">
        <v>3110</v>
      </c>
      <c r="AD250" s="55" t="s">
        <v>4307</v>
      </c>
      <c r="AE250" s="55" t="s">
        <v>3095</v>
      </c>
      <c r="AF250" s="55" t="s">
        <v>3095</v>
      </c>
      <c r="AG250" s="55" t="s">
        <v>3095</v>
      </c>
      <c r="AH250" s="55" t="s">
        <v>3095</v>
      </c>
      <c r="AI250" s="55" t="s">
        <v>3095</v>
      </c>
      <c r="AJ250" s="55" t="s">
        <v>3095</v>
      </c>
      <c r="AK250" s="55" t="s">
        <v>3095</v>
      </c>
      <c r="AL250" s="55" t="s">
        <v>3095</v>
      </c>
      <c r="AM250" s="55" t="s">
        <v>3095</v>
      </c>
    </row>
    <row r="251" ht="45.0" customHeight="1">
      <c r="A251" s="55" t="s">
        <v>1101</v>
      </c>
      <c r="B251" s="55" t="s">
        <v>4308</v>
      </c>
      <c r="C251" s="55" t="str">
        <f>IMAGE("https://raw.githubusercontent.com/ltdimages/images/refs/heads/main/Coordinate0292_00.png")</f>
        <v/>
      </c>
      <c r="D251" s="55" t="str">
        <f>IMAGE("https://raw.githubusercontent.com/ltdimages/images/refs/heads/main/Coordinate0292_01.png")</f>
        <v/>
      </c>
      <c r="E251" s="55" t="str">
        <f>IMAGE("https://raw.githubusercontent.com/ltdimages/images/refs/heads/main/Coordinate0292_02.png")</f>
        <v/>
      </c>
      <c r="F251" s="55" t="str">
        <f>IMAGE("https://raw.githubusercontent.com/ltdimages/images/refs/heads/main/Coordinate0292_03.png")</f>
        <v/>
      </c>
      <c r="G251" s="55" t="str">
        <f>IMAGE("https://raw.githubusercontent.com/ltdimages/images/refs/heads/main/Coordinate0292_04.png")</f>
        <v/>
      </c>
      <c r="H251" s="55" t="str">
        <f>IMAGE("https://raw.githubusercontent.com/ltdimages/images/refs/heads/main/Coordinate0292_05.png")</f>
        <v/>
      </c>
      <c r="I251" s="56" t="str">
        <f>IMAGE("https://raw.githubusercontent.com/ltdimages/images/refs/heads/main/Coordinate0292_06.png")</f>
        <v/>
      </c>
      <c r="J251" s="55" t="str">
        <f>IMAGE("https://raw.githubusercontent.com/ltdimages/images/refs/heads/main/Coordinate0292_07.png")</f>
        <v/>
      </c>
      <c r="K251" s="20" t="s">
        <v>4197</v>
      </c>
      <c r="L251" s="20" t="s">
        <v>4231</v>
      </c>
      <c r="M251" s="55" t="s">
        <v>3131</v>
      </c>
      <c r="N251" s="55" t="s">
        <v>3099</v>
      </c>
      <c r="O251" s="55" t="s">
        <v>45</v>
      </c>
      <c r="P251" s="55" t="s">
        <v>45</v>
      </c>
      <c r="Q251" s="55" t="s">
        <v>45</v>
      </c>
      <c r="R251" s="55" t="s">
        <v>45</v>
      </c>
      <c r="S251" s="55" t="s">
        <v>49</v>
      </c>
      <c r="T251" s="55" t="s">
        <v>45</v>
      </c>
      <c r="U251" s="55" t="s">
        <v>3095</v>
      </c>
      <c r="V251" s="55" t="s">
        <v>4309</v>
      </c>
      <c r="W251" s="55" t="s">
        <v>3095</v>
      </c>
      <c r="X251" s="55" t="s">
        <v>3095</v>
      </c>
      <c r="Y251" s="55" t="s">
        <v>3095</v>
      </c>
      <c r="Z251" s="55" t="s">
        <v>4250</v>
      </c>
      <c r="AA251" s="55" t="s">
        <v>4310</v>
      </c>
      <c r="AB251" s="55" t="s">
        <v>3095</v>
      </c>
      <c r="AC251" s="55" t="s">
        <v>3110</v>
      </c>
      <c r="AD251" s="55" t="s">
        <v>4311</v>
      </c>
      <c r="AE251" s="55" t="s">
        <v>3095</v>
      </c>
      <c r="AF251" s="55" t="s">
        <v>3095</v>
      </c>
      <c r="AG251" s="55" t="s">
        <v>3095</v>
      </c>
      <c r="AH251" s="55" t="s">
        <v>3095</v>
      </c>
      <c r="AI251" s="55" t="s">
        <v>3095</v>
      </c>
      <c r="AJ251" s="55" t="s">
        <v>3095</v>
      </c>
      <c r="AK251" s="55" t="s">
        <v>3095</v>
      </c>
      <c r="AL251" s="55" t="s">
        <v>3095</v>
      </c>
      <c r="AM251" s="55" t="s">
        <v>3095</v>
      </c>
    </row>
    <row r="252" ht="45.0" customHeight="1">
      <c r="A252" s="55" t="s">
        <v>1105</v>
      </c>
      <c r="B252" s="55" t="s">
        <v>4312</v>
      </c>
      <c r="C252" s="55" t="str">
        <f>IMAGE("https://raw.githubusercontent.com/ltdimages/images/refs/heads/main/Coordinate0062_00.png")</f>
        <v/>
      </c>
      <c r="D252" s="55" t="str">
        <f>IMAGE("https://raw.githubusercontent.com/ltdimages/images/refs/heads/main/Coordinate0062_01.png")</f>
        <v/>
      </c>
      <c r="E252" s="55" t="str">
        <f>IMAGE("https://raw.githubusercontent.com/ltdimages/images/refs/heads/main/Coordinate0062_02.png")</f>
        <v/>
      </c>
      <c r="F252" s="55" t="str">
        <f>IMAGE("https://raw.githubusercontent.com/ltdimages/images/refs/heads/main/Coordinate0062_03.png")</f>
        <v/>
      </c>
      <c r="G252" s="55" t="str">
        <f>IMAGE("https://raw.githubusercontent.com/ltdimages/images/refs/heads/main/Coordinate0062_04.png")</f>
        <v/>
      </c>
      <c r="H252" s="55" t="str">
        <f>IMAGE("https://raw.githubusercontent.com/ltdimages/images/refs/heads/main/Coordinate0062_05.png")</f>
        <v/>
      </c>
      <c r="I252" s="56" t="str">
        <f>IMAGE("https://raw.githubusercontent.com/ltdimages/images/refs/heads/main/Coordinate0062_06.png")</f>
        <v/>
      </c>
      <c r="J252" s="55" t="str">
        <f>IMAGE("https://raw.githubusercontent.com/ltdimages/images/refs/heads/main/Coordinate0062_07.png")</f>
        <v/>
      </c>
      <c r="K252" s="20" t="s">
        <v>3369</v>
      </c>
      <c r="L252" s="20" t="s">
        <v>4231</v>
      </c>
      <c r="M252" s="55" t="s">
        <v>3131</v>
      </c>
      <c r="N252" s="55" t="s">
        <v>3099</v>
      </c>
      <c r="O252" s="55" t="s">
        <v>45</v>
      </c>
      <c r="P252" s="55" t="s">
        <v>45</v>
      </c>
      <c r="Q252" s="55" t="s">
        <v>45</v>
      </c>
      <c r="R252" s="55" t="s">
        <v>45</v>
      </c>
      <c r="S252" s="55" t="s">
        <v>45</v>
      </c>
      <c r="T252" s="55" t="s">
        <v>45</v>
      </c>
      <c r="U252" s="55" t="s">
        <v>3095</v>
      </c>
      <c r="V252" s="55" t="s">
        <v>4313</v>
      </c>
      <c r="W252" s="55" t="s">
        <v>3095</v>
      </c>
      <c r="X252" s="55" t="s">
        <v>4314</v>
      </c>
      <c r="Y252" s="55" t="s">
        <v>3095</v>
      </c>
      <c r="Z252" s="55" t="s">
        <v>3583</v>
      </c>
      <c r="AA252" s="55" t="s">
        <v>4315</v>
      </c>
      <c r="AB252" s="55" t="s">
        <v>3095</v>
      </c>
      <c r="AC252" s="55" t="s">
        <v>3110</v>
      </c>
      <c r="AD252" s="55" t="s">
        <v>4316</v>
      </c>
      <c r="AE252" s="55" t="s">
        <v>3095</v>
      </c>
      <c r="AF252" s="55" t="s">
        <v>3095</v>
      </c>
      <c r="AG252" s="55" t="s">
        <v>3095</v>
      </c>
      <c r="AH252" s="55" t="s">
        <v>3095</v>
      </c>
      <c r="AI252" s="55" t="s">
        <v>3095</v>
      </c>
      <c r="AJ252" s="55" t="s">
        <v>3095</v>
      </c>
      <c r="AK252" s="55" t="s">
        <v>3095</v>
      </c>
      <c r="AL252" s="55" t="s">
        <v>3095</v>
      </c>
      <c r="AM252" s="55" t="s">
        <v>3095</v>
      </c>
    </row>
    <row r="253" ht="45.0" customHeight="1">
      <c r="A253" s="55" t="s">
        <v>1109</v>
      </c>
      <c r="B253" s="55" t="s">
        <v>4317</v>
      </c>
      <c r="C253" s="55" t="str">
        <f>IMAGE("https://raw.githubusercontent.com/ltdimages/images/refs/heads/main/Coordinate0328_00.png")</f>
        <v/>
      </c>
      <c r="D253" s="55" t="str">
        <f>IMAGE("https://raw.githubusercontent.com/ltdimages/images/refs/heads/main/Coordinate0328_01.png")</f>
        <v/>
      </c>
      <c r="E253" s="55" t="str">
        <f>IMAGE("https://raw.githubusercontent.com/ltdimages/images/refs/heads/main/Coordinate0328_02.png")</f>
        <v/>
      </c>
      <c r="F253" s="55" t="str">
        <f>IMAGE("https://raw.githubusercontent.com/ltdimages/images/refs/heads/main/Coordinate0328_03.png")</f>
        <v/>
      </c>
      <c r="G253" s="55" t="str">
        <f>IMAGE("https://raw.githubusercontent.com/ltdimages/images/refs/heads/main/Coordinate0328_04.png")</f>
        <v/>
      </c>
      <c r="H253" s="55" t="str">
        <f>IMAGE("https://raw.githubusercontent.com/ltdimages/images/refs/heads/main/Coordinate0328_05.png")</f>
        <v/>
      </c>
      <c r="I253" s="56" t="s">
        <v>3095</v>
      </c>
      <c r="J253" s="55" t="s">
        <v>3095</v>
      </c>
      <c r="K253" s="20" t="s">
        <v>4318</v>
      </c>
      <c r="L253" s="20" t="s">
        <v>4231</v>
      </c>
      <c r="M253" s="55" t="s">
        <v>3131</v>
      </c>
      <c r="N253" s="55" t="s">
        <v>3099</v>
      </c>
      <c r="O253" s="55" t="s">
        <v>45</v>
      </c>
      <c r="P253" s="55" t="s">
        <v>45</v>
      </c>
      <c r="Q253" s="55" t="s">
        <v>45</v>
      </c>
      <c r="R253" s="55" t="s">
        <v>49</v>
      </c>
      <c r="S253" s="55" t="s">
        <v>45</v>
      </c>
      <c r="T253" s="55" t="s">
        <v>45</v>
      </c>
      <c r="U253" s="55" t="s">
        <v>3095</v>
      </c>
      <c r="V253" s="55" t="s">
        <v>4319</v>
      </c>
      <c r="W253" s="55" t="s">
        <v>3095</v>
      </c>
      <c r="X253" s="55" t="s">
        <v>4320</v>
      </c>
      <c r="Y253" s="55" t="s">
        <v>3095</v>
      </c>
      <c r="Z253" s="55" t="s">
        <v>3164</v>
      </c>
      <c r="AA253" s="55" t="s">
        <v>4315</v>
      </c>
      <c r="AB253" s="55" t="s">
        <v>3095</v>
      </c>
      <c r="AC253" s="55" t="s">
        <v>3110</v>
      </c>
      <c r="AD253" s="55" t="s">
        <v>4321</v>
      </c>
      <c r="AE253" s="55" t="s">
        <v>3095</v>
      </c>
      <c r="AF253" s="55" t="s">
        <v>3095</v>
      </c>
      <c r="AG253" s="55" t="s">
        <v>3095</v>
      </c>
      <c r="AH253" s="55" t="s">
        <v>3095</v>
      </c>
      <c r="AI253" s="55" t="s">
        <v>3095</v>
      </c>
      <c r="AJ253" s="55" t="s">
        <v>3095</v>
      </c>
      <c r="AK253" s="55" t="s">
        <v>3095</v>
      </c>
      <c r="AL253" s="55" t="s">
        <v>3095</v>
      </c>
      <c r="AM253" s="55" t="s">
        <v>3095</v>
      </c>
    </row>
    <row r="254" ht="45.0" customHeight="1">
      <c r="A254" s="55" t="s">
        <v>1113</v>
      </c>
      <c r="B254" s="55" t="s">
        <v>4322</v>
      </c>
      <c r="C254" s="55" t="str">
        <f>IMAGE("https://raw.githubusercontent.com/ltdimages/images/refs/heads/main/Coordinate0050_00.png")</f>
        <v/>
      </c>
      <c r="D254" s="55" t="str">
        <f>IMAGE("https://raw.githubusercontent.com/ltdimages/images/refs/heads/main/Coordinate0050_01.png")</f>
        <v/>
      </c>
      <c r="E254" s="55" t="str">
        <f>IMAGE("https://raw.githubusercontent.com/ltdimages/images/refs/heads/main/Coordinate0050_02.png")</f>
        <v/>
      </c>
      <c r="F254" s="55" t="str">
        <f>IMAGE("https://raw.githubusercontent.com/ltdimages/images/refs/heads/main/Coordinate0050_03.png")</f>
        <v/>
      </c>
      <c r="G254" s="55" t="str">
        <f>IMAGE("https://raw.githubusercontent.com/ltdimages/images/refs/heads/main/Coordinate0050_04.png")</f>
        <v/>
      </c>
      <c r="H254" s="55" t="str">
        <f>IMAGE("https://raw.githubusercontent.com/ltdimages/images/refs/heads/main/Coordinate0050_05.png")</f>
        <v/>
      </c>
      <c r="I254" s="56" t="s">
        <v>3095</v>
      </c>
      <c r="J254" s="55" t="s">
        <v>3095</v>
      </c>
      <c r="K254" s="20" t="s">
        <v>4323</v>
      </c>
      <c r="L254" s="20" t="s">
        <v>4231</v>
      </c>
      <c r="M254" s="55" t="s">
        <v>3131</v>
      </c>
      <c r="N254" s="55" t="s">
        <v>3114</v>
      </c>
      <c r="O254" s="55" t="s">
        <v>45</v>
      </c>
      <c r="P254" s="55" t="s">
        <v>45</v>
      </c>
      <c r="Q254" s="55" t="s">
        <v>45</v>
      </c>
      <c r="R254" s="55" t="s">
        <v>45</v>
      </c>
      <c r="S254" s="55" t="s">
        <v>45</v>
      </c>
      <c r="T254" s="55" t="s">
        <v>45</v>
      </c>
      <c r="U254" s="55" t="s">
        <v>3095</v>
      </c>
      <c r="V254" s="55" t="s">
        <v>4324</v>
      </c>
      <c r="W254" s="55" t="s">
        <v>3095</v>
      </c>
      <c r="X254" s="55" t="s">
        <v>3095</v>
      </c>
      <c r="Y254" s="55" t="s">
        <v>3095</v>
      </c>
      <c r="Z254" s="55" t="s">
        <v>4325</v>
      </c>
      <c r="AA254" s="55" t="s">
        <v>3434</v>
      </c>
      <c r="AB254" s="55" t="s">
        <v>3095</v>
      </c>
      <c r="AC254" s="55" t="s">
        <v>3110</v>
      </c>
      <c r="AD254" s="55" t="s">
        <v>4326</v>
      </c>
      <c r="AE254" s="55" t="s">
        <v>3095</v>
      </c>
      <c r="AF254" s="55" t="s">
        <v>3095</v>
      </c>
      <c r="AG254" s="55" t="s">
        <v>3095</v>
      </c>
      <c r="AH254" s="55" t="s">
        <v>3095</v>
      </c>
      <c r="AI254" s="55" t="s">
        <v>3095</v>
      </c>
      <c r="AJ254" s="55" t="s">
        <v>3095</v>
      </c>
      <c r="AK254" s="55" t="s">
        <v>3095</v>
      </c>
      <c r="AL254" s="55" t="s">
        <v>3095</v>
      </c>
      <c r="AM254" s="55" t="s">
        <v>3095</v>
      </c>
    </row>
    <row r="255" ht="45.0" customHeight="1">
      <c r="A255" s="55" t="s">
        <v>1117</v>
      </c>
      <c r="B255" s="55" t="s">
        <v>4327</v>
      </c>
      <c r="C255" s="55" t="str">
        <f>IMAGE("https://raw.githubusercontent.com/ltdimages/images/refs/heads/main/Coordinate0296_00.png")</f>
        <v/>
      </c>
      <c r="D255" s="55" t="str">
        <f>IMAGE("https://raw.githubusercontent.com/ltdimages/images/refs/heads/main/Coordinate0296_01.png")</f>
        <v/>
      </c>
      <c r="E255" s="55" t="str">
        <f>IMAGE("https://raw.githubusercontent.com/ltdimages/images/refs/heads/main/Coordinate0296_02.png")</f>
        <v/>
      </c>
      <c r="F255" s="55" t="str">
        <f>IMAGE("https://raw.githubusercontent.com/ltdimages/images/refs/heads/main/Coordinate0296_03.png")</f>
        <v/>
      </c>
      <c r="G255" s="55" t="str">
        <f>IMAGE("https://raw.githubusercontent.com/ltdimages/images/refs/heads/main/Coordinate0296_04.png")</f>
        <v/>
      </c>
      <c r="H255" s="55" t="s">
        <v>3095</v>
      </c>
      <c r="I255" s="56" t="s">
        <v>3095</v>
      </c>
      <c r="J255" s="55" t="s">
        <v>3095</v>
      </c>
      <c r="K255" s="20" t="s">
        <v>3173</v>
      </c>
      <c r="L255" s="20" t="s">
        <v>4231</v>
      </c>
      <c r="M255" s="55" t="s">
        <v>3131</v>
      </c>
      <c r="N255" s="55" t="s">
        <v>3099</v>
      </c>
      <c r="O255" s="55" t="s">
        <v>45</v>
      </c>
      <c r="P255" s="55" t="s">
        <v>45</v>
      </c>
      <c r="Q255" s="55" t="s">
        <v>45</v>
      </c>
      <c r="R255" s="55" t="s">
        <v>45</v>
      </c>
      <c r="S255" s="55" t="s">
        <v>45</v>
      </c>
      <c r="T255" s="55" t="s">
        <v>45</v>
      </c>
      <c r="U255" s="55" t="s">
        <v>3401</v>
      </c>
      <c r="V255" s="55" t="s">
        <v>3095</v>
      </c>
      <c r="W255" s="55" t="s">
        <v>4328</v>
      </c>
      <c r="X255" s="55" t="s">
        <v>4329</v>
      </c>
      <c r="Y255" s="55" t="s">
        <v>3095</v>
      </c>
      <c r="Z255" s="55" t="s">
        <v>3708</v>
      </c>
      <c r="AA255" s="55" t="s">
        <v>3157</v>
      </c>
      <c r="AB255" s="55" t="s">
        <v>3095</v>
      </c>
      <c r="AC255" s="55" t="s">
        <v>3103</v>
      </c>
      <c r="AD255" s="55" t="s">
        <v>4330</v>
      </c>
      <c r="AE255" s="55" t="s">
        <v>3095</v>
      </c>
      <c r="AF255" s="55" t="s">
        <v>3095</v>
      </c>
      <c r="AG255" s="55" t="s">
        <v>3095</v>
      </c>
      <c r="AH255" s="55" t="s">
        <v>3095</v>
      </c>
      <c r="AI255" s="55" t="s">
        <v>3095</v>
      </c>
      <c r="AJ255" s="55" t="s">
        <v>3095</v>
      </c>
      <c r="AK255" s="55" t="s">
        <v>3095</v>
      </c>
      <c r="AL255" s="55" t="s">
        <v>3095</v>
      </c>
      <c r="AM255" s="55" t="s">
        <v>3095</v>
      </c>
    </row>
    <row r="256" ht="45.0" customHeight="1">
      <c r="A256" s="55" t="s">
        <v>1121</v>
      </c>
      <c r="B256" s="55" t="s">
        <v>4331</v>
      </c>
      <c r="C256" s="55" t="str">
        <f>IMAGE("https://raw.githubusercontent.com/ltdimages/images/refs/heads/main/Coordinate0187_00.png")</f>
        <v/>
      </c>
      <c r="D256" s="55" t="str">
        <f>IMAGE("https://raw.githubusercontent.com/ltdimages/images/refs/heads/main/Coordinate0187_01.png")</f>
        <v/>
      </c>
      <c r="E256" s="55" t="str">
        <f>IMAGE("https://raw.githubusercontent.com/ltdimages/images/refs/heads/main/Coordinate0187_02.png")</f>
        <v/>
      </c>
      <c r="F256" s="55" t="str">
        <f>IMAGE("https://raw.githubusercontent.com/ltdimages/images/refs/heads/main/Coordinate0187_03.png")</f>
        <v/>
      </c>
      <c r="G256" s="55" t="str">
        <f>IMAGE("https://raw.githubusercontent.com/ltdimages/images/refs/heads/main/Coordinate0187_04.png")</f>
        <v/>
      </c>
      <c r="H256" s="55" t="str">
        <f>IMAGE("https://raw.githubusercontent.com/ltdimages/images/refs/heads/main/Coordinate0187_05.png")</f>
        <v/>
      </c>
      <c r="I256" s="56" t="str">
        <f>IMAGE("https://raw.githubusercontent.com/ltdimages/images/refs/heads/main/Coordinate0187_06.png")</f>
        <v/>
      </c>
      <c r="J256" s="55" t="str">
        <f>IMAGE("https://raw.githubusercontent.com/ltdimages/images/refs/heads/main/Coordinate0187_07.png")</f>
        <v/>
      </c>
      <c r="K256" s="20" t="s">
        <v>4332</v>
      </c>
      <c r="L256" s="20" t="s">
        <v>4231</v>
      </c>
      <c r="M256" s="55" t="s">
        <v>3131</v>
      </c>
      <c r="N256" s="55" t="s">
        <v>3114</v>
      </c>
      <c r="O256" s="55" t="s">
        <v>45</v>
      </c>
      <c r="P256" s="55" t="s">
        <v>45</v>
      </c>
      <c r="Q256" s="55" t="s">
        <v>45</v>
      </c>
      <c r="R256" s="55" t="s">
        <v>45</v>
      </c>
      <c r="S256" s="55" t="s">
        <v>45</v>
      </c>
      <c r="T256" s="55" t="s">
        <v>45</v>
      </c>
      <c r="U256" s="55" t="s">
        <v>4198</v>
      </c>
      <c r="V256" s="55" t="s">
        <v>3095</v>
      </c>
      <c r="W256" s="55" t="s">
        <v>4333</v>
      </c>
      <c r="X256" s="55" t="s">
        <v>4334</v>
      </c>
      <c r="Y256" s="55" t="s">
        <v>3095</v>
      </c>
      <c r="Z256" s="55" t="s">
        <v>4335</v>
      </c>
      <c r="AA256" s="55" t="s">
        <v>4103</v>
      </c>
      <c r="AB256" s="55" t="s">
        <v>3095</v>
      </c>
      <c r="AC256" s="55" t="s">
        <v>3103</v>
      </c>
      <c r="AD256" s="55" t="s">
        <v>4336</v>
      </c>
      <c r="AE256" s="55" t="s">
        <v>3095</v>
      </c>
      <c r="AF256" s="55" t="s">
        <v>3095</v>
      </c>
      <c r="AG256" s="55" t="s">
        <v>3095</v>
      </c>
      <c r="AH256" s="55" t="s">
        <v>3095</v>
      </c>
      <c r="AI256" s="55" t="s">
        <v>3095</v>
      </c>
      <c r="AJ256" s="55" t="s">
        <v>3095</v>
      </c>
      <c r="AK256" s="55" t="s">
        <v>3095</v>
      </c>
      <c r="AL256" s="55" t="s">
        <v>3095</v>
      </c>
      <c r="AM256" s="55" t="s">
        <v>3095</v>
      </c>
    </row>
    <row r="257" ht="45.0" customHeight="1">
      <c r="A257" s="55" t="s">
        <v>1125</v>
      </c>
      <c r="B257" s="55" t="s">
        <v>4337</v>
      </c>
      <c r="C257" s="55" t="str">
        <f>IMAGE("https://raw.githubusercontent.com/ltdimages/images/refs/heads/main/Coordinate0317_00.png")</f>
        <v/>
      </c>
      <c r="D257" s="55" t="str">
        <f>IMAGE("https://raw.githubusercontent.com/ltdimages/images/refs/heads/main/Coordinate0317_01.png")</f>
        <v/>
      </c>
      <c r="E257" s="55" t="str">
        <f>IMAGE("https://raw.githubusercontent.com/ltdimages/images/refs/heads/main/Coordinate0317_02.png")</f>
        <v/>
      </c>
      <c r="F257" s="55" t="str">
        <f>IMAGE("https://raw.githubusercontent.com/ltdimages/images/refs/heads/main/Coordinate0317_03.png")</f>
        <v/>
      </c>
      <c r="G257" s="55" t="str">
        <f>IMAGE("https://raw.githubusercontent.com/ltdimages/images/refs/heads/main/Coordinate0317_04.png")</f>
        <v/>
      </c>
      <c r="H257" s="55" t="str">
        <f>IMAGE("https://raw.githubusercontent.com/ltdimages/images/refs/heads/main/Coordinate0317_05.png")</f>
        <v/>
      </c>
      <c r="I257" s="56" t="str">
        <f>IMAGE("https://raw.githubusercontent.com/ltdimages/images/refs/heads/main/Coordinate0317_06.png")</f>
        <v/>
      </c>
      <c r="J257" s="55" t="str">
        <f>IMAGE("https://raw.githubusercontent.com/ltdimages/images/refs/heads/main/Coordinate0317_07.png")</f>
        <v/>
      </c>
      <c r="K257" s="20" t="s">
        <v>4338</v>
      </c>
      <c r="L257" s="20" t="s">
        <v>4231</v>
      </c>
      <c r="M257" s="55" t="s">
        <v>3098</v>
      </c>
      <c r="N257" s="55" t="s">
        <v>3099</v>
      </c>
      <c r="O257" s="55" t="s">
        <v>45</v>
      </c>
      <c r="P257" s="55" t="s">
        <v>45</v>
      </c>
      <c r="Q257" s="55" t="s">
        <v>45</v>
      </c>
      <c r="R257" s="55" t="s">
        <v>45</v>
      </c>
      <c r="S257" s="55" t="s">
        <v>45</v>
      </c>
      <c r="T257" s="55" t="s">
        <v>45</v>
      </c>
      <c r="U257" s="55" t="s">
        <v>4339</v>
      </c>
      <c r="V257" s="55" t="s">
        <v>3095</v>
      </c>
      <c r="W257" s="55" t="s">
        <v>3310</v>
      </c>
      <c r="X257" s="55" t="s">
        <v>4340</v>
      </c>
      <c r="Y257" s="55" t="s">
        <v>4234</v>
      </c>
      <c r="Z257" s="55" t="s">
        <v>3296</v>
      </c>
      <c r="AA257" s="55" t="s">
        <v>3232</v>
      </c>
      <c r="AB257" s="55" t="s">
        <v>3095</v>
      </c>
      <c r="AC257" s="55" t="s">
        <v>3103</v>
      </c>
      <c r="AD257" s="55" t="s">
        <v>4341</v>
      </c>
      <c r="AE257" s="55" t="s">
        <v>3095</v>
      </c>
      <c r="AF257" s="55" t="s">
        <v>3095</v>
      </c>
      <c r="AG257" s="55" t="s">
        <v>3095</v>
      </c>
      <c r="AH257" s="55" t="s">
        <v>3095</v>
      </c>
      <c r="AI257" s="55" t="s">
        <v>3095</v>
      </c>
      <c r="AJ257" s="55" t="s">
        <v>3095</v>
      </c>
      <c r="AK257" s="55" t="s">
        <v>3095</v>
      </c>
      <c r="AL257" s="55" t="s">
        <v>3095</v>
      </c>
      <c r="AM257" s="55" t="s">
        <v>3095</v>
      </c>
    </row>
    <row r="258" ht="45.0" customHeight="1">
      <c r="A258" s="55" t="s">
        <v>1130</v>
      </c>
      <c r="B258" s="55" t="s">
        <v>4342</v>
      </c>
      <c r="C258" s="55" t="str">
        <f>IMAGE("https://raw.githubusercontent.com/ltdimages/images/refs/heads/main/Coordinate0145_00.png")</f>
        <v/>
      </c>
      <c r="D258" s="55" t="str">
        <f>IMAGE("https://raw.githubusercontent.com/ltdimages/images/refs/heads/main/Coordinate0145_01.png")</f>
        <v/>
      </c>
      <c r="E258" s="55" t="str">
        <f>IMAGE("https://raw.githubusercontent.com/ltdimages/images/refs/heads/main/Coordinate0145_02.png")</f>
        <v/>
      </c>
      <c r="F258" s="55" t="str">
        <f>IMAGE("https://raw.githubusercontent.com/ltdimages/images/refs/heads/main/Coordinate0145_03.png")</f>
        <v/>
      </c>
      <c r="G258" s="55" t="str">
        <f>IMAGE("https://raw.githubusercontent.com/ltdimages/images/refs/heads/main/Coordinate0145_04.png")</f>
        <v/>
      </c>
      <c r="H258" s="55" t="str">
        <f>IMAGE("https://raw.githubusercontent.com/ltdimages/images/refs/heads/main/Coordinate0145_05.png")</f>
        <v/>
      </c>
      <c r="I258" s="56" t="str">
        <f>IMAGE("https://raw.githubusercontent.com/ltdimages/images/refs/heads/main/Coordinate0145_06.png")</f>
        <v/>
      </c>
      <c r="J258" s="55" t="str">
        <f>IMAGE("https://raw.githubusercontent.com/ltdimages/images/refs/heads/main/Coordinate0145_07.png")</f>
        <v/>
      </c>
      <c r="K258" s="20" t="s">
        <v>4343</v>
      </c>
      <c r="L258" s="20" t="s">
        <v>4231</v>
      </c>
      <c r="M258" s="55" t="s">
        <v>3131</v>
      </c>
      <c r="N258" s="55" t="s">
        <v>3099</v>
      </c>
      <c r="O258" s="55" t="s">
        <v>45</v>
      </c>
      <c r="P258" s="55" t="s">
        <v>45</v>
      </c>
      <c r="Q258" s="55" t="s">
        <v>45</v>
      </c>
      <c r="R258" s="55" t="s">
        <v>45</v>
      </c>
      <c r="S258" s="55" t="s">
        <v>45</v>
      </c>
      <c r="T258" s="55" t="s">
        <v>45</v>
      </c>
      <c r="U258" s="55" t="s">
        <v>3095</v>
      </c>
      <c r="V258" s="55" t="s">
        <v>4344</v>
      </c>
      <c r="W258" s="55" t="s">
        <v>3095</v>
      </c>
      <c r="X258" s="55" t="s">
        <v>3095</v>
      </c>
      <c r="Y258" s="55" t="s">
        <v>3095</v>
      </c>
      <c r="Z258" s="55" t="s">
        <v>3156</v>
      </c>
      <c r="AA258" s="55" t="s">
        <v>3157</v>
      </c>
      <c r="AB258" s="55" t="s">
        <v>3095</v>
      </c>
      <c r="AC258" s="55" t="s">
        <v>3110</v>
      </c>
      <c r="AD258" s="55" t="s">
        <v>4345</v>
      </c>
      <c r="AE258" s="55" t="s">
        <v>3095</v>
      </c>
      <c r="AF258" s="55" t="s">
        <v>3095</v>
      </c>
      <c r="AG258" s="55" t="s">
        <v>3095</v>
      </c>
      <c r="AH258" s="55" t="s">
        <v>3095</v>
      </c>
      <c r="AI258" s="55" t="s">
        <v>3095</v>
      </c>
      <c r="AJ258" s="55" t="s">
        <v>3095</v>
      </c>
      <c r="AK258" s="55" t="s">
        <v>3095</v>
      </c>
      <c r="AL258" s="55" t="s">
        <v>3095</v>
      </c>
      <c r="AM258" s="55" t="s">
        <v>3095</v>
      </c>
    </row>
    <row r="259" ht="45.0" customHeight="1">
      <c r="A259" s="55" t="s">
        <v>1134</v>
      </c>
      <c r="B259" s="55" t="s">
        <v>4346</v>
      </c>
      <c r="C259" s="55" t="str">
        <f>IMAGE("https://raw.githubusercontent.com/ltdimages/images/refs/heads/main/Coordinate0041_00.png")</f>
        <v/>
      </c>
      <c r="D259" s="55" t="str">
        <f>IMAGE("https://raw.githubusercontent.com/ltdimages/images/refs/heads/main/Coordinate0041_01.png")</f>
        <v/>
      </c>
      <c r="E259" s="55" t="str">
        <f>IMAGE("https://raw.githubusercontent.com/ltdimages/images/refs/heads/main/Coordinate0041_02.png")</f>
        <v/>
      </c>
      <c r="F259" s="55" t="str">
        <f>IMAGE("https://raw.githubusercontent.com/ltdimages/images/refs/heads/main/Coordinate0041_03.png")</f>
        <v/>
      </c>
      <c r="G259" s="55" t="str">
        <f>IMAGE("https://raw.githubusercontent.com/ltdimages/images/refs/heads/main/Coordinate0041_04.png")</f>
        <v/>
      </c>
      <c r="H259" s="55" t="str">
        <f>IMAGE("https://raw.githubusercontent.com/ltdimages/images/refs/heads/main/Coordinate0041_05.png")</f>
        <v/>
      </c>
      <c r="I259" s="56" t="str">
        <f>IMAGE("https://raw.githubusercontent.com/ltdimages/images/refs/heads/main/Coordinate0041_06.png")</f>
        <v/>
      </c>
      <c r="J259" s="55" t="str">
        <f>IMAGE("https://raw.githubusercontent.com/ltdimages/images/refs/heads/main/Coordinate0041_07.png")</f>
        <v/>
      </c>
      <c r="K259" s="20" t="s">
        <v>4347</v>
      </c>
      <c r="L259" s="20" t="s">
        <v>4231</v>
      </c>
      <c r="M259" s="55" t="s">
        <v>3131</v>
      </c>
      <c r="N259" s="55" t="s">
        <v>3099</v>
      </c>
      <c r="O259" s="55" t="s">
        <v>45</v>
      </c>
      <c r="P259" s="55" t="s">
        <v>45</v>
      </c>
      <c r="Q259" s="55" t="s">
        <v>45</v>
      </c>
      <c r="R259" s="55" t="s">
        <v>45</v>
      </c>
      <c r="S259" s="55" t="s">
        <v>45</v>
      </c>
      <c r="T259" s="55" t="s">
        <v>45</v>
      </c>
      <c r="U259" s="55" t="s">
        <v>3095</v>
      </c>
      <c r="V259" s="55" t="s">
        <v>4348</v>
      </c>
      <c r="W259" s="55" t="s">
        <v>3095</v>
      </c>
      <c r="X259" s="55" t="s">
        <v>3095</v>
      </c>
      <c r="Y259" s="55" t="s">
        <v>3095</v>
      </c>
      <c r="Z259" s="55" t="s">
        <v>3583</v>
      </c>
      <c r="AA259" s="55" t="s">
        <v>4315</v>
      </c>
      <c r="AB259" s="55" t="s">
        <v>3095</v>
      </c>
      <c r="AC259" s="55" t="s">
        <v>3110</v>
      </c>
      <c r="AD259" s="55" t="s">
        <v>4349</v>
      </c>
      <c r="AE259" s="55" t="s">
        <v>3095</v>
      </c>
      <c r="AF259" s="55" t="s">
        <v>3095</v>
      </c>
      <c r="AG259" s="55" t="s">
        <v>3095</v>
      </c>
      <c r="AH259" s="55" t="s">
        <v>3095</v>
      </c>
      <c r="AI259" s="55" t="s">
        <v>3095</v>
      </c>
      <c r="AJ259" s="55" t="s">
        <v>3095</v>
      </c>
      <c r="AK259" s="55" t="s">
        <v>3095</v>
      </c>
      <c r="AL259" s="55" t="s">
        <v>3095</v>
      </c>
      <c r="AM259" s="55" t="s">
        <v>3095</v>
      </c>
    </row>
    <row r="260" ht="45.0" customHeight="1">
      <c r="A260" s="55" t="s">
        <v>1138</v>
      </c>
      <c r="B260" s="55" t="s">
        <v>4350</v>
      </c>
      <c r="C260" s="55" t="str">
        <f>IMAGE("https://raw.githubusercontent.com/ltdimages/images/refs/heads/main/Coordinate0142_00.png")</f>
        <v/>
      </c>
      <c r="D260" s="55" t="str">
        <f>IMAGE("https://raw.githubusercontent.com/ltdimages/images/refs/heads/main/Coordinate0142_01.png")</f>
        <v/>
      </c>
      <c r="E260" s="55" t="str">
        <f>IMAGE("https://raw.githubusercontent.com/ltdimages/images/refs/heads/main/Coordinate0142_02.png")</f>
        <v/>
      </c>
      <c r="F260" s="55" t="str">
        <f>IMAGE("https://raw.githubusercontent.com/ltdimages/images/refs/heads/main/Coordinate0142_03.png")</f>
        <v/>
      </c>
      <c r="G260" s="55" t="str">
        <f>IMAGE("https://raw.githubusercontent.com/ltdimages/images/refs/heads/main/Coordinate0142_04.png")</f>
        <v/>
      </c>
      <c r="H260" s="55" t="str">
        <f>IMAGE("https://raw.githubusercontent.com/ltdimages/images/refs/heads/main/Coordinate0142_05.png")</f>
        <v/>
      </c>
      <c r="I260" s="56" t="str">
        <f>IMAGE("https://raw.githubusercontent.com/ltdimages/images/refs/heads/main/Coordinate0142_06.png")</f>
        <v/>
      </c>
      <c r="J260" s="55" t="str">
        <f>IMAGE("https://raw.githubusercontent.com/ltdimages/images/refs/heads/main/Coordinate0142_07.png")</f>
        <v/>
      </c>
      <c r="K260" s="20" t="s">
        <v>4351</v>
      </c>
      <c r="L260" s="20" t="s">
        <v>4231</v>
      </c>
      <c r="M260" s="55" t="s">
        <v>3131</v>
      </c>
      <c r="N260" s="55" t="s">
        <v>3099</v>
      </c>
      <c r="O260" s="55" t="s">
        <v>45</v>
      </c>
      <c r="P260" s="55" t="s">
        <v>45</v>
      </c>
      <c r="Q260" s="55" t="s">
        <v>45</v>
      </c>
      <c r="R260" s="55" t="s">
        <v>45</v>
      </c>
      <c r="S260" s="55" t="s">
        <v>45</v>
      </c>
      <c r="T260" s="55" t="s">
        <v>45</v>
      </c>
      <c r="U260" s="55" t="s">
        <v>4352</v>
      </c>
      <c r="V260" s="55" t="s">
        <v>3095</v>
      </c>
      <c r="W260" s="55" t="s">
        <v>4353</v>
      </c>
      <c r="X260" s="55" t="s">
        <v>4354</v>
      </c>
      <c r="Y260" s="55" t="s">
        <v>3095</v>
      </c>
      <c r="Z260" s="55" t="s">
        <v>4355</v>
      </c>
      <c r="AA260" s="55" t="s">
        <v>4315</v>
      </c>
      <c r="AB260" s="55" t="s">
        <v>3095</v>
      </c>
      <c r="AC260" s="55" t="s">
        <v>3103</v>
      </c>
      <c r="AD260" s="55" t="s">
        <v>4356</v>
      </c>
      <c r="AE260" s="55" t="s">
        <v>3095</v>
      </c>
      <c r="AF260" s="55" t="s">
        <v>3095</v>
      </c>
      <c r="AG260" s="55" t="s">
        <v>3095</v>
      </c>
      <c r="AH260" s="55" t="s">
        <v>3095</v>
      </c>
      <c r="AI260" s="55" t="s">
        <v>3095</v>
      </c>
      <c r="AJ260" s="55" t="s">
        <v>3095</v>
      </c>
      <c r="AK260" s="55" t="s">
        <v>3095</v>
      </c>
      <c r="AL260" s="55" t="s">
        <v>3095</v>
      </c>
      <c r="AM260" s="55" t="s">
        <v>3095</v>
      </c>
    </row>
    <row r="261" ht="45.0" customHeight="1">
      <c r="A261" s="55" t="s">
        <v>1142</v>
      </c>
      <c r="B261" s="55" t="s">
        <v>4357</v>
      </c>
      <c r="C261" s="55" t="str">
        <f>IMAGE("https://raw.githubusercontent.com/ltdimages/images/refs/heads/main/Coordinate0345_00.png")</f>
        <v/>
      </c>
      <c r="D261" s="55" t="str">
        <f>IMAGE("https://raw.githubusercontent.com/ltdimages/images/refs/heads/main/Coordinate0345_01.png")</f>
        <v/>
      </c>
      <c r="E261" s="55" t="str">
        <f>IMAGE("https://raw.githubusercontent.com/ltdimages/images/refs/heads/main/Coordinate0345_02.png")</f>
        <v/>
      </c>
      <c r="F261" s="55" t="str">
        <f>IMAGE("https://raw.githubusercontent.com/ltdimages/images/refs/heads/main/Coordinate0345_03.png")</f>
        <v/>
      </c>
      <c r="G261" s="55" t="str">
        <f>IMAGE("https://raw.githubusercontent.com/ltdimages/images/refs/heads/main/Coordinate0345_04.png")</f>
        <v/>
      </c>
      <c r="H261" s="55" t="str">
        <f>IMAGE("https://raw.githubusercontent.com/ltdimages/images/refs/heads/main/Coordinate0345_05.png")</f>
        <v/>
      </c>
      <c r="I261" s="56" t="s">
        <v>3095</v>
      </c>
      <c r="J261" s="55" t="s">
        <v>3095</v>
      </c>
      <c r="K261" s="20" t="s">
        <v>4358</v>
      </c>
      <c r="L261" s="20" t="s">
        <v>4231</v>
      </c>
      <c r="M261" s="55" t="s">
        <v>3131</v>
      </c>
      <c r="N261" s="55" t="s">
        <v>3099</v>
      </c>
      <c r="O261" s="55" t="s">
        <v>45</v>
      </c>
      <c r="P261" s="55" t="s">
        <v>45</v>
      </c>
      <c r="Q261" s="55" t="s">
        <v>45</v>
      </c>
      <c r="R261" s="55" t="s">
        <v>49</v>
      </c>
      <c r="S261" s="55" t="s">
        <v>45</v>
      </c>
      <c r="T261" s="55" t="s">
        <v>45</v>
      </c>
      <c r="U261" s="55" t="s">
        <v>3095</v>
      </c>
      <c r="V261" s="55" t="s">
        <v>4359</v>
      </c>
      <c r="W261" s="55" t="s">
        <v>3095</v>
      </c>
      <c r="X261" s="55" t="s">
        <v>4360</v>
      </c>
      <c r="Y261" s="55" t="s">
        <v>4361</v>
      </c>
      <c r="Z261" s="55" t="s">
        <v>4362</v>
      </c>
      <c r="AA261" s="55" t="s">
        <v>4363</v>
      </c>
      <c r="AB261" s="55" t="s">
        <v>3095</v>
      </c>
      <c r="AC261" s="55" t="s">
        <v>3110</v>
      </c>
      <c r="AD261" s="55" t="s">
        <v>4364</v>
      </c>
      <c r="AE261" s="55" t="s">
        <v>3095</v>
      </c>
      <c r="AF261" s="55" t="s">
        <v>3095</v>
      </c>
      <c r="AG261" s="55" t="s">
        <v>3095</v>
      </c>
      <c r="AH261" s="55" t="s">
        <v>3095</v>
      </c>
      <c r="AI261" s="55" t="s">
        <v>3095</v>
      </c>
      <c r="AJ261" s="55" t="s">
        <v>3095</v>
      </c>
      <c r="AK261" s="55" t="s">
        <v>3095</v>
      </c>
      <c r="AL261" s="55" t="s">
        <v>3095</v>
      </c>
      <c r="AM261" s="55" t="s">
        <v>3095</v>
      </c>
    </row>
    <row r="262" ht="45.0" customHeight="1">
      <c r="A262" s="55" t="s">
        <v>1146</v>
      </c>
      <c r="B262" s="55" t="s">
        <v>4365</v>
      </c>
      <c r="C262" s="55" t="str">
        <f>IMAGE("https://raw.githubusercontent.com/ltdimages/images/refs/heads/main/Coordinate0071_00.png")</f>
        <v/>
      </c>
      <c r="D262" s="55" t="str">
        <f>IMAGE("https://raw.githubusercontent.com/ltdimages/images/refs/heads/main/Coordinate0071_01.png")</f>
        <v/>
      </c>
      <c r="E262" s="55" t="str">
        <f>IMAGE("https://raw.githubusercontent.com/ltdimages/images/refs/heads/main/Coordinate0071_02.png")</f>
        <v/>
      </c>
      <c r="F262" s="55" t="str">
        <f>IMAGE("https://raw.githubusercontent.com/ltdimages/images/refs/heads/main/Coordinate0071_03.png")</f>
        <v/>
      </c>
      <c r="G262" s="55" t="str">
        <f>IMAGE("https://raw.githubusercontent.com/ltdimages/images/refs/heads/main/Coordinate0071_04.png")</f>
        <v/>
      </c>
      <c r="H262" s="55" t="s">
        <v>3095</v>
      </c>
      <c r="I262" s="56" t="s">
        <v>3095</v>
      </c>
      <c r="J262" s="55" t="s">
        <v>3095</v>
      </c>
      <c r="K262" s="20" t="s">
        <v>4366</v>
      </c>
      <c r="L262" s="20" t="s">
        <v>4231</v>
      </c>
      <c r="M262" s="55" t="s">
        <v>3131</v>
      </c>
      <c r="N262" s="55" t="s">
        <v>3114</v>
      </c>
      <c r="O262" s="55" t="s">
        <v>45</v>
      </c>
      <c r="P262" s="55" t="s">
        <v>45</v>
      </c>
      <c r="Q262" s="55" t="s">
        <v>45</v>
      </c>
      <c r="R262" s="55" t="s">
        <v>45</v>
      </c>
      <c r="S262" s="55" t="s">
        <v>45</v>
      </c>
      <c r="T262" s="55" t="s">
        <v>45</v>
      </c>
      <c r="U262" s="55" t="s">
        <v>4367</v>
      </c>
      <c r="V262" s="55" t="s">
        <v>3095</v>
      </c>
      <c r="W262" s="55" t="s">
        <v>4368</v>
      </c>
      <c r="X262" s="55" t="s">
        <v>4369</v>
      </c>
      <c r="Y262" s="55" t="s">
        <v>3095</v>
      </c>
      <c r="Z262" s="55" t="s">
        <v>4362</v>
      </c>
      <c r="AA262" s="55" t="s">
        <v>3217</v>
      </c>
      <c r="AB262" s="55" t="s">
        <v>3095</v>
      </c>
      <c r="AC262" s="55" t="s">
        <v>3103</v>
      </c>
      <c r="AD262" s="55" t="s">
        <v>4370</v>
      </c>
      <c r="AE262" s="55" t="s">
        <v>3095</v>
      </c>
      <c r="AF262" s="55" t="s">
        <v>3095</v>
      </c>
      <c r="AG262" s="55" t="s">
        <v>3095</v>
      </c>
      <c r="AH262" s="55" t="s">
        <v>3095</v>
      </c>
      <c r="AI262" s="55" t="s">
        <v>3095</v>
      </c>
      <c r="AJ262" s="55" t="s">
        <v>3095</v>
      </c>
      <c r="AK262" s="55" t="s">
        <v>3095</v>
      </c>
      <c r="AL262" s="55" t="s">
        <v>3095</v>
      </c>
      <c r="AM262" s="55" t="s">
        <v>3095</v>
      </c>
    </row>
    <row r="263" ht="45.0" customHeight="1">
      <c r="A263" s="55" t="s">
        <v>1150</v>
      </c>
      <c r="B263" s="55" t="s">
        <v>4371</v>
      </c>
      <c r="C263" s="55" t="str">
        <f>IMAGE("https://raw.githubusercontent.com/ltdimages/images/refs/heads/main/Coordinate0212_00.png")</f>
        <v/>
      </c>
      <c r="D263" s="55" t="str">
        <f>IMAGE("https://raw.githubusercontent.com/ltdimages/images/refs/heads/main/Coordinate0212_01.png")</f>
        <v/>
      </c>
      <c r="E263" s="55" t="str">
        <f>IMAGE("https://raw.githubusercontent.com/ltdimages/images/refs/heads/main/Coordinate0212_02.png")</f>
        <v/>
      </c>
      <c r="F263" s="55" t="str">
        <f>IMAGE("https://raw.githubusercontent.com/ltdimages/images/refs/heads/main/Coordinate0212_03.png")</f>
        <v/>
      </c>
      <c r="G263" s="55" t="str">
        <f>IMAGE("https://raw.githubusercontent.com/ltdimages/images/refs/heads/main/Coordinate0212_04.png")</f>
        <v/>
      </c>
      <c r="H263" s="55" t="str">
        <f>IMAGE("https://raw.githubusercontent.com/ltdimages/images/refs/heads/main/Coordinate0212_05.png")</f>
        <v/>
      </c>
      <c r="I263" s="56" t="s">
        <v>3095</v>
      </c>
      <c r="J263" s="55" t="s">
        <v>3095</v>
      </c>
      <c r="K263" s="20" t="s">
        <v>4372</v>
      </c>
      <c r="L263" s="20" t="s">
        <v>4231</v>
      </c>
      <c r="M263" s="55" t="s">
        <v>3131</v>
      </c>
      <c r="N263" s="55" t="s">
        <v>3099</v>
      </c>
      <c r="O263" s="55" t="s">
        <v>45</v>
      </c>
      <c r="P263" s="55" t="s">
        <v>45</v>
      </c>
      <c r="Q263" s="55" t="s">
        <v>45</v>
      </c>
      <c r="R263" s="55" t="s">
        <v>45</v>
      </c>
      <c r="S263" s="55" t="s">
        <v>45</v>
      </c>
      <c r="T263" s="55" t="s">
        <v>45</v>
      </c>
      <c r="U263" s="55" t="s">
        <v>4373</v>
      </c>
      <c r="V263" s="55" t="s">
        <v>3095</v>
      </c>
      <c r="W263" s="55" t="s">
        <v>4368</v>
      </c>
      <c r="X263" s="55" t="s">
        <v>4374</v>
      </c>
      <c r="Y263" s="55" t="s">
        <v>3095</v>
      </c>
      <c r="Z263" s="55" t="s">
        <v>4375</v>
      </c>
      <c r="AA263" s="55" t="s">
        <v>4376</v>
      </c>
      <c r="AB263" s="55" t="s">
        <v>3095</v>
      </c>
      <c r="AC263" s="55" t="s">
        <v>3103</v>
      </c>
      <c r="AD263" s="55" t="s">
        <v>4377</v>
      </c>
      <c r="AE263" s="55" t="s">
        <v>3095</v>
      </c>
      <c r="AF263" s="55" t="s">
        <v>3095</v>
      </c>
      <c r="AG263" s="55" t="s">
        <v>3095</v>
      </c>
      <c r="AH263" s="55" t="s">
        <v>3095</v>
      </c>
      <c r="AI263" s="55" t="s">
        <v>3095</v>
      </c>
      <c r="AJ263" s="55" t="s">
        <v>3095</v>
      </c>
      <c r="AK263" s="55" t="s">
        <v>3095</v>
      </c>
      <c r="AL263" s="55" t="s">
        <v>3095</v>
      </c>
      <c r="AM263" s="55" t="s">
        <v>3095</v>
      </c>
    </row>
    <row r="264" ht="45.0" customHeight="1">
      <c r="A264" s="55" t="s">
        <v>1154</v>
      </c>
      <c r="B264" s="55" t="s">
        <v>4378</v>
      </c>
      <c r="C264" s="55" t="str">
        <f>IMAGE("https://raw.githubusercontent.com/ltdimages/images/refs/heads/main/Coordinate0034_00.png")</f>
        <v/>
      </c>
      <c r="D264" s="55" t="str">
        <f>IMAGE("https://raw.githubusercontent.com/ltdimages/images/refs/heads/main/Coordinate0034_01.png")</f>
        <v/>
      </c>
      <c r="E264" s="55" t="str">
        <f>IMAGE("https://raw.githubusercontent.com/ltdimages/images/refs/heads/main/Coordinate0034_02.png")</f>
        <v/>
      </c>
      <c r="F264" s="55" t="str">
        <f>IMAGE("https://raw.githubusercontent.com/ltdimages/images/refs/heads/main/Coordinate0034_03.png")</f>
        <v/>
      </c>
      <c r="G264" s="55" t="str">
        <f>IMAGE("https://raw.githubusercontent.com/ltdimages/images/refs/heads/main/Coordinate0034_04.png")</f>
        <v/>
      </c>
      <c r="H264" s="55" t="str">
        <f>IMAGE("https://raw.githubusercontent.com/ltdimages/images/refs/heads/main/Coordinate0034_05.png")</f>
        <v/>
      </c>
      <c r="I264" s="56" t="str">
        <f>IMAGE("https://raw.githubusercontent.com/ltdimages/images/refs/heads/main/Coordinate0034_06.png")</f>
        <v/>
      </c>
      <c r="J264" s="55" t="str">
        <f>IMAGE("https://raw.githubusercontent.com/ltdimages/images/refs/heads/main/Coordinate0034_07.png")</f>
        <v/>
      </c>
      <c r="K264" s="20" t="s">
        <v>4166</v>
      </c>
      <c r="L264" s="20" t="s">
        <v>4231</v>
      </c>
      <c r="M264" s="55" t="s">
        <v>3131</v>
      </c>
      <c r="N264" s="55" t="s">
        <v>3099</v>
      </c>
      <c r="O264" s="55" t="s">
        <v>45</v>
      </c>
      <c r="P264" s="55" t="s">
        <v>45</v>
      </c>
      <c r="Q264" s="55" t="s">
        <v>45</v>
      </c>
      <c r="R264" s="55" t="s">
        <v>45</v>
      </c>
      <c r="S264" s="55" t="s">
        <v>45</v>
      </c>
      <c r="T264" s="55" t="s">
        <v>45</v>
      </c>
      <c r="U264" s="55" t="s">
        <v>4379</v>
      </c>
      <c r="V264" s="55" t="s">
        <v>3095</v>
      </c>
      <c r="W264" s="55" t="s">
        <v>4380</v>
      </c>
      <c r="X264" s="55" t="s">
        <v>3095</v>
      </c>
      <c r="Y264" s="55" t="s">
        <v>3095</v>
      </c>
      <c r="Z264" s="55" t="s">
        <v>4381</v>
      </c>
      <c r="AA264" s="55" t="s">
        <v>4103</v>
      </c>
      <c r="AB264" s="55" t="s">
        <v>3095</v>
      </c>
      <c r="AC264" s="55" t="s">
        <v>3103</v>
      </c>
      <c r="AD264" s="55" t="s">
        <v>4382</v>
      </c>
      <c r="AE264" s="55" t="s">
        <v>3095</v>
      </c>
      <c r="AF264" s="55" t="s">
        <v>3095</v>
      </c>
      <c r="AG264" s="55" t="s">
        <v>3095</v>
      </c>
      <c r="AH264" s="55" t="s">
        <v>3095</v>
      </c>
      <c r="AI264" s="55" t="s">
        <v>3095</v>
      </c>
      <c r="AJ264" s="55" t="s">
        <v>3095</v>
      </c>
      <c r="AK264" s="55" t="s">
        <v>3095</v>
      </c>
      <c r="AL264" s="55" t="s">
        <v>3095</v>
      </c>
      <c r="AM264" s="55" t="s">
        <v>3095</v>
      </c>
    </row>
    <row r="265" ht="45.0" customHeight="1">
      <c r="A265" s="55" t="s">
        <v>1158</v>
      </c>
      <c r="B265" s="55" t="s">
        <v>4383</v>
      </c>
      <c r="C265" s="55" t="str">
        <f>IMAGE("https://raw.githubusercontent.com/ltdimages/images/refs/heads/main/Coordinate0018_00.png")</f>
        <v/>
      </c>
      <c r="D265" s="55" t="str">
        <f>IMAGE("https://raw.githubusercontent.com/ltdimages/images/refs/heads/main/Coordinate0018_01.png")</f>
        <v/>
      </c>
      <c r="E265" s="55" t="str">
        <f>IMAGE("https://raw.githubusercontent.com/ltdimages/images/refs/heads/main/Coordinate0018_02.png")</f>
        <v/>
      </c>
      <c r="F265" s="55" t="str">
        <f>IMAGE("https://raw.githubusercontent.com/ltdimages/images/refs/heads/main/Coordinate0018_03.png")</f>
        <v/>
      </c>
      <c r="G265" s="55" t="str">
        <f>IMAGE("https://raw.githubusercontent.com/ltdimages/images/refs/heads/main/Coordinate0018_04.png")</f>
        <v/>
      </c>
      <c r="H265" s="55" t="str">
        <f>IMAGE("https://raw.githubusercontent.com/ltdimages/images/refs/heads/main/Coordinate0018_05.png")</f>
        <v/>
      </c>
      <c r="I265" s="56" t="s">
        <v>3095</v>
      </c>
      <c r="J265" s="55" t="s">
        <v>3095</v>
      </c>
      <c r="K265" s="20" t="s">
        <v>4384</v>
      </c>
      <c r="L265" s="20" t="s">
        <v>4231</v>
      </c>
      <c r="M265" s="55" t="s">
        <v>3131</v>
      </c>
      <c r="N265" s="55" t="s">
        <v>3114</v>
      </c>
      <c r="O265" s="55" t="s">
        <v>45</v>
      </c>
      <c r="P265" s="55" t="s">
        <v>45</v>
      </c>
      <c r="Q265" s="55" t="s">
        <v>45</v>
      </c>
      <c r="R265" s="55" t="s">
        <v>45</v>
      </c>
      <c r="S265" s="55" t="s">
        <v>45</v>
      </c>
      <c r="T265" s="55" t="s">
        <v>45</v>
      </c>
      <c r="U265" s="55" t="s">
        <v>4385</v>
      </c>
      <c r="V265" s="55" t="s">
        <v>3095</v>
      </c>
      <c r="W265" s="55" t="s">
        <v>4386</v>
      </c>
      <c r="X265" s="55" t="s">
        <v>3095</v>
      </c>
      <c r="Y265" s="55" t="s">
        <v>3799</v>
      </c>
      <c r="Z265" s="55" t="s">
        <v>3164</v>
      </c>
      <c r="AA265" s="55" t="s">
        <v>4103</v>
      </c>
      <c r="AB265" s="55" t="s">
        <v>3095</v>
      </c>
      <c r="AC265" s="55" t="s">
        <v>3103</v>
      </c>
      <c r="AD265" s="55" t="s">
        <v>4387</v>
      </c>
      <c r="AE265" s="55" t="s">
        <v>3095</v>
      </c>
      <c r="AF265" s="55" t="s">
        <v>3095</v>
      </c>
      <c r="AG265" s="55" t="s">
        <v>3095</v>
      </c>
      <c r="AH265" s="55" t="s">
        <v>3095</v>
      </c>
      <c r="AI265" s="55" t="s">
        <v>3095</v>
      </c>
      <c r="AJ265" s="55" t="s">
        <v>3095</v>
      </c>
      <c r="AK265" s="55" t="s">
        <v>3095</v>
      </c>
      <c r="AL265" s="55" t="s">
        <v>3095</v>
      </c>
      <c r="AM265" s="55" t="s">
        <v>3095</v>
      </c>
    </row>
    <row r="266" ht="45.0" customHeight="1">
      <c r="A266" s="55" t="s">
        <v>1162</v>
      </c>
      <c r="B266" s="55" t="s">
        <v>4388</v>
      </c>
      <c r="C266" s="55" t="str">
        <f>IMAGE("https://raw.githubusercontent.com/ltdimages/images/refs/heads/main/Coordinate0237_00.png")</f>
        <v/>
      </c>
      <c r="D266" s="55" t="str">
        <f>IMAGE("https://raw.githubusercontent.com/ltdimages/images/refs/heads/main/Coordinate0237_01.png")</f>
        <v/>
      </c>
      <c r="E266" s="55" t="str">
        <f>IMAGE("https://raw.githubusercontent.com/ltdimages/images/refs/heads/main/Coordinate0237_02.png")</f>
        <v/>
      </c>
      <c r="F266" s="55" t="str">
        <f>IMAGE("https://raw.githubusercontent.com/ltdimages/images/refs/heads/main/Coordinate0237_03.png")</f>
        <v/>
      </c>
      <c r="G266" s="55" t="str">
        <f>IMAGE("https://raw.githubusercontent.com/ltdimages/images/refs/heads/main/Coordinate0237_04.png")</f>
        <v/>
      </c>
      <c r="H266" s="55" t="str">
        <f>IMAGE("https://raw.githubusercontent.com/ltdimages/images/refs/heads/main/Coordinate0237_05.png")</f>
        <v/>
      </c>
      <c r="I266" s="56" t="str">
        <f>IMAGE("https://raw.githubusercontent.com/ltdimages/images/refs/heads/main/Coordinate0237_06.png")</f>
        <v/>
      </c>
      <c r="J266" s="55" t="str">
        <f>IMAGE("https://raw.githubusercontent.com/ltdimages/images/refs/heads/main/Coordinate0237_07.png")</f>
        <v/>
      </c>
      <c r="K266" s="20" t="s">
        <v>4389</v>
      </c>
      <c r="L266" s="20" t="s">
        <v>4231</v>
      </c>
      <c r="M266" s="55" t="s">
        <v>3131</v>
      </c>
      <c r="N266" s="55" t="s">
        <v>3099</v>
      </c>
      <c r="O266" s="55" t="s">
        <v>45</v>
      </c>
      <c r="P266" s="55" t="s">
        <v>45</v>
      </c>
      <c r="Q266" s="55" t="s">
        <v>45</v>
      </c>
      <c r="R266" s="55" t="s">
        <v>45</v>
      </c>
      <c r="S266" s="55" t="s">
        <v>45</v>
      </c>
      <c r="T266" s="55" t="s">
        <v>45</v>
      </c>
      <c r="U266" s="55" t="s">
        <v>3095</v>
      </c>
      <c r="V266" s="55" t="s">
        <v>4390</v>
      </c>
      <c r="W266" s="55" t="s">
        <v>3095</v>
      </c>
      <c r="X266" s="55" t="s">
        <v>3095</v>
      </c>
      <c r="Y266" s="55" t="s">
        <v>4391</v>
      </c>
      <c r="Z266" s="55" t="s">
        <v>4250</v>
      </c>
      <c r="AA266" s="55" t="s">
        <v>4302</v>
      </c>
      <c r="AB266" s="55" t="s">
        <v>3095</v>
      </c>
      <c r="AC266" s="55" t="s">
        <v>3110</v>
      </c>
      <c r="AD266" s="55" t="s">
        <v>4392</v>
      </c>
      <c r="AE266" s="55" t="s">
        <v>3095</v>
      </c>
      <c r="AF266" s="55" t="s">
        <v>3095</v>
      </c>
      <c r="AG266" s="55" t="s">
        <v>3095</v>
      </c>
      <c r="AH266" s="55" t="s">
        <v>3095</v>
      </c>
      <c r="AI266" s="55" t="s">
        <v>3095</v>
      </c>
      <c r="AJ266" s="55" t="s">
        <v>3095</v>
      </c>
      <c r="AK266" s="55" t="s">
        <v>3095</v>
      </c>
      <c r="AL266" s="55" t="s">
        <v>3095</v>
      </c>
      <c r="AM266" s="55" t="s">
        <v>3095</v>
      </c>
    </row>
    <row r="267" ht="45.0" customHeight="1">
      <c r="A267" s="55" t="s">
        <v>1166</v>
      </c>
      <c r="B267" s="55" t="s">
        <v>4393</v>
      </c>
      <c r="C267" s="55" t="str">
        <f>IMAGE("https://raw.githubusercontent.com/ltdimages/images/refs/heads/main/Coordinate0007_00.png")</f>
        <v/>
      </c>
      <c r="D267" s="55" t="str">
        <f>IMAGE("https://raw.githubusercontent.com/ltdimages/images/refs/heads/main/Coordinate0007_01.png")</f>
        <v/>
      </c>
      <c r="E267" s="55" t="str">
        <f>IMAGE("https://raw.githubusercontent.com/ltdimages/images/refs/heads/main/Coordinate0007_02.png")</f>
        <v/>
      </c>
      <c r="F267" s="55" t="str">
        <f>IMAGE("https://raw.githubusercontent.com/ltdimages/images/refs/heads/main/Coordinate0007_03.png")</f>
        <v/>
      </c>
      <c r="G267" s="55" t="str">
        <f>IMAGE("https://raw.githubusercontent.com/ltdimages/images/refs/heads/main/Coordinate0007_04.png")</f>
        <v/>
      </c>
      <c r="H267" s="55" t="str">
        <f>IMAGE("https://raw.githubusercontent.com/ltdimages/images/refs/heads/main/Coordinate0007_05.png")</f>
        <v/>
      </c>
      <c r="I267" s="56" t="str">
        <f>IMAGE("https://raw.githubusercontent.com/ltdimages/images/refs/heads/main/Coordinate0007_06.png")</f>
        <v/>
      </c>
      <c r="J267" s="55" t="str">
        <f>IMAGE("https://raw.githubusercontent.com/ltdimages/images/refs/heads/main/Coordinate0007_07.png")</f>
        <v/>
      </c>
      <c r="K267" s="20" t="s">
        <v>3562</v>
      </c>
      <c r="L267" s="20" t="s">
        <v>4231</v>
      </c>
      <c r="M267" s="55" t="s">
        <v>3131</v>
      </c>
      <c r="N267" s="55" t="s">
        <v>3099</v>
      </c>
      <c r="O267" s="55" t="s">
        <v>45</v>
      </c>
      <c r="P267" s="55" t="s">
        <v>45</v>
      </c>
      <c r="Q267" s="55" t="s">
        <v>45</v>
      </c>
      <c r="R267" s="55" t="s">
        <v>45</v>
      </c>
      <c r="S267" s="55" t="s">
        <v>45</v>
      </c>
      <c r="T267" s="55" t="s">
        <v>45</v>
      </c>
      <c r="U267" s="55" t="s">
        <v>4394</v>
      </c>
      <c r="V267" s="55" t="s">
        <v>3095</v>
      </c>
      <c r="W267" s="55" t="s">
        <v>4395</v>
      </c>
      <c r="X267" s="55" t="s">
        <v>3095</v>
      </c>
      <c r="Y267" s="55" t="s">
        <v>3095</v>
      </c>
      <c r="Z267" s="55" t="s">
        <v>3583</v>
      </c>
      <c r="AA267" s="55" t="s">
        <v>3222</v>
      </c>
      <c r="AB267" s="55" t="s">
        <v>3095</v>
      </c>
      <c r="AC267" s="55" t="s">
        <v>3103</v>
      </c>
      <c r="AD267" s="55" t="s">
        <v>4396</v>
      </c>
      <c r="AE267" s="55" t="s">
        <v>3095</v>
      </c>
      <c r="AF267" s="55" t="s">
        <v>3095</v>
      </c>
      <c r="AG267" s="55" t="s">
        <v>3095</v>
      </c>
      <c r="AH267" s="55" t="s">
        <v>3095</v>
      </c>
      <c r="AI267" s="55" t="s">
        <v>3095</v>
      </c>
      <c r="AJ267" s="55" t="s">
        <v>3095</v>
      </c>
      <c r="AK267" s="55" t="s">
        <v>3095</v>
      </c>
      <c r="AL267" s="55" t="s">
        <v>3095</v>
      </c>
      <c r="AM267" s="55" t="s">
        <v>3095</v>
      </c>
    </row>
    <row r="268" ht="45.0" customHeight="1">
      <c r="A268" s="55" t="s">
        <v>1171</v>
      </c>
      <c r="B268" s="55" t="s">
        <v>4397</v>
      </c>
      <c r="C268" s="55" t="str">
        <f>IMAGE("https://raw.githubusercontent.com/ltdimages/images/refs/heads/main/Coordinate0181_00.png")</f>
        <v/>
      </c>
      <c r="D268" s="55" t="str">
        <f>IMAGE("https://raw.githubusercontent.com/ltdimages/images/refs/heads/main/Coordinate0181_01.png")</f>
        <v/>
      </c>
      <c r="E268" s="55" t="str">
        <f>IMAGE("https://raw.githubusercontent.com/ltdimages/images/refs/heads/main/Coordinate0181_02.png")</f>
        <v/>
      </c>
      <c r="F268" s="55" t="str">
        <f>IMAGE("https://raw.githubusercontent.com/ltdimages/images/refs/heads/main/Coordinate0181_03.png")</f>
        <v/>
      </c>
      <c r="G268" s="55" t="str">
        <f>IMAGE("https://raw.githubusercontent.com/ltdimages/images/refs/heads/main/Coordinate0181_04.png")</f>
        <v/>
      </c>
      <c r="H268" s="55" t="str">
        <f>IMAGE("https://raw.githubusercontent.com/ltdimages/images/refs/heads/main/Coordinate0181_05.png")</f>
        <v/>
      </c>
      <c r="I268" s="56" t="str">
        <f>IMAGE("https://raw.githubusercontent.com/ltdimages/images/refs/heads/main/Coordinate0181_06.png")</f>
        <v/>
      </c>
      <c r="J268" s="55" t="str">
        <f>IMAGE("https://raw.githubusercontent.com/ltdimages/images/refs/heads/main/Coordinate0181_07.png")</f>
        <v/>
      </c>
      <c r="K268" s="20" t="s">
        <v>4398</v>
      </c>
      <c r="L268" s="20" t="s">
        <v>4231</v>
      </c>
      <c r="M268" s="55" t="s">
        <v>3131</v>
      </c>
      <c r="N268" s="55" t="s">
        <v>3099</v>
      </c>
      <c r="O268" s="55" t="s">
        <v>45</v>
      </c>
      <c r="P268" s="55" t="s">
        <v>45</v>
      </c>
      <c r="Q268" s="55" t="s">
        <v>45</v>
      </c>
      <c r="R268" s="55" t="s">
        <v>49</v>
      </c>
      <c r="S268" s="55" t="s">
        <v>45</v>
      </c>
      <c r="T268" s="55" t="s">
        <v>45</v>
      </c>
      <c r="U268" s="55" t="s">
        <v>3095</v>
      </c>
      <c r="V268" s="55" t="s">
        <v>4399</v>
      </c>
      <c r="W268" s="55" t="s">
        <v>3095</v>
      </c>
      <c r="X268" s="55" t="s">
        <v>3095</v>
      </c>
      <c r="Y268" s="55" t="s">
        <v>4400</v>
      </c>
      <c r="Z268" s="55" t="s">
        <v>3095</v>
      </c>
      <c r="AA268" s="55" t="s">
        <v>3135</v>
      </c>
      <c r="AB268" s="55" t="s">
        <v>3095</v>
      </c>
      <c r="AC268" s="55" t="s">
        <v>3110</v>
      </c>
      <c r="AD268" s="55" t="s">
        <v>4401</v>
      </c>
      <c r="AE268" s="55" t="s">
        <v>3095</v>
      </c>
      <c r="AF268" s="55" t="s">
        <v>3095</v>
      </c>
      <c r="AG268" s="55" t="s">
        <v>3095</v>
      </c>
      <c r="AH268" s="55" t="s">
        <v>3095</v>
      </c>
      <c r="AI268" s="55" t="s">
        <v>3095</v>
      </c>
      <c r="AJ268" s="55" t="s">
        <v>3095</v>
      </c>
      <c r="AK268" s="55" t="s">
        <v>3095</v>
      </c>
      <c r="AL268" s="55" t="s">
        <v>3095</v>
      </c>
      <c r="AM268" s="55" t="s">
        <v>3095</v>
      </c>
    </row>
    <row r="269" ht="45.0" customHeight="1">
      <c r="A269" s="55" t="s">
        <v>1175</v>
      </c>
      <c r="B269" s="55" t="s">
        <v>4402</v>
      </c>
      <c r="C269" s="55" t="str">
        <f>IMAGE("https://raw.githubusercontent.com/ltdimages/images/refs/heads/main/Coordinate0147_00.png")</f>
        <v/>
      </c>
      <c r="D269" s="55" t="str">
        <f>IMAGE("https://raw.githubusercontent.com/ltdimages/images/refs/heads/main/Coordinate0147_01.png")</f>
        <v/>
      </c>
      <c r="E269" s="55" t="str">
        <f>IMAGE("https://raw.githubusercontent.com/ltdimages/images/refs/heads/main/Coordinate0147_02.png")</f>
        <v/>
      </c>
      <c r="F269" s="55" t="str">
        <f>IMAGE("https://raw.githubusercontent.com/ltdimages/images/refs/heads/main/Coordinate0147_03.png")</f>
        <v/>
      </c>
      <c r="G269" s="55" t="str">
        <f>IMAGE("https://raw.githubusercontent.com/ltdimages/images/refs/heads/main/Coordinate0147_04.png")</f>
        <v/>
      </c>
      <c r="H269" s="55" t="str">
        <f>IMAGE("https://raw.githubusercontent.com/ltdimages/images/refs/heads/main/Coordinate0147_05.png")</f>
        <v/>
      </c>
      <c r="I269" s="56" t="str">
        <f>IMAGE("https://raw.githubusercontent.com/ltdimages/images/refs/heads/main/Coordinate0147_06.png")</f>
        <v/>
      </c>
      <c r="J269" s="55" t="str">
        <f>IMAGE("https://raw.githubusercontent.com/ltdimages/images/refs/heads/main/Coordinate0147_07.png")</f>
        <v/>
      </c>
      <c r="K269" s="20" t="s">
        <v>3849</v>
      </c>
      <c r="L269" s="20" t="s">
        <v>4231</v>
      </c>
      <c r="M269" s="55" t="s">
        <v>3131</v>
      </c>
      <c r="N269" s="55" t="s">
        <v>3114</v>
      </c>
      <c r="O269" s="55" t="s">
        <v>45</v>
      </c>
      <c r="P269" s="55" t="s">
        <v>45</v>
      </c>
      <c r="Q269" s="55" t="s">
        <v>45</v>
      </c>
      <c r="R269" s="55" t="s">
        <v>45</v>
      </c>
      <c r="S269" s="55" t="s">
        <v>45</v>
      </c>
      <c r="T269" s="55" t="s">
        <v>45</v>
      </c>
      <c r="U269" s="55" t="s">
        <v>3095</v>
      </c>
      <c r="V269" s="55" t="s">
        <v>4403</v>
      </c>
      <c r="W269" s="55" t="s">
        <v>3095</v>
      </c>
      <c r="X269" s="55" t="s">
        <v>4404</v>
      </c>
      <c r="Y269" s="55" t="s">
        <v>3095</v>
      </c>
      <c r="Z269" s="55" t="s">
        <v>3164</v>
      </c>
      <c r="AA269" s="55" t="s">
        <v>4405</v>
      </c>
      <c r="AB269" s="55" t="s">
        <v>3095</v>
      </c>
      <c r="AC269" s="55" t="s">
        <v>3110</v>
      </c>
      <c r="AD269" s="55" t="s">
        <v>4406</v>
      </c>
      <c r="AE269" s="55" t="s">
        <v>3095</v>
      </c>
      <c r="AF269" s="55" t="s">
        <v>3095</v>
      </c>
      <c r="AG269" s="55" t="s">
        <v>3095</v>
      </c>
      <c r="AH269" s="55" t="s">
        <v>3095</v>
      </c>
      <c r="AI269" s="55" t="s">
        <v>3095</v>
      </c>
      <c r="AJ269" s="55" t="s">
        <v>3095</v>
      </c>
      <c r="AK269" s="55" t="s">
        <v>3095</v>
      </c>
      <c r="AL269" s="55" t="s">
        <v>3095</v>
      </c>
      <c r="AM269" s="55" t="s">
        <v>3095</v>
      </c>
    </row>
    <row r="270" ht="45.0" customHeight="1">
      <c r="A270" s="55" t="s">
        <v>1179</v>
      </c>
      <c r="B270" s="55" t="s">
        <v>4407</v>
      </c>
      <c r="C270" s="55" t="str">
        <f>IMAGE("https://raw.githubusercontent.com/ltdimages/images/refs/heads/main/Coordinate0221_00.png")</f>
        <v/>
      </c>
      <c r="D270" s="55" t="str">
        <f>IMAGE("https://raw.githubusercontent.com/ltdimages/images/refs/heads/main/Coordinate0221_01.png")</f>
        <v/>
      </c>
      <c r="E270" s="55" t="str">
        <f>IMAGE("https://raw.githubusercontent.com/ltdimages/images/refs/heads/main/Coordinate0221_02.png")</f>
        <v/>
      </c>
      <c r="F270" s="55" t="str">
        <f>IMAGE("https://raw.githubusercontent.com/ltdimages/images/refs/heads/main/Coordinate0221_03.png")</f>
        <v/>
      </c>
      <c r="G270" s="55" t="str">
        <f>IMAGE("https://raw.githubusercontent.com/ltdimages/images/refs/heads/main/Coordinate0221_04.png")</f>
        <v/>
      </c>
      <c r="H270" s="55" t="str">
        <f>IMAGE("https://raw.githubusercontent.com/ltdimages/images/refs/heads/main/Coordinate0221_05.png")</f>
        <v/>
      </c>
      <c r="I270" s="56" t="str">
        <f>IMAGE("https://raw.githubusercontent.com/ltdimages/images/refs/heads/main/Coordinate0221_06.png")</f>
        <v/>
      </c>
      <c r="J270" s="55" t="str">
        <f>IMAGE("https://raw.githubusercontent.com/ltdimages/images/refs/heads/main/Coordinate0221_07.png")</f>
        <v/>
      </c>
      <c r="K270" s="20" t="s">
        <v>4408</v>
      </c>
      <c r="L270" s="20" t="s">
        <v>4231</v>
      </c>
      <c r="M270" s="55" t="s">
        <v>3131</v>
      </c>
      <c r="N270" s="55" t="s">
        <v>3114</v>
      </c>
      <c r="O270" s="55" t="s">
        <v>45</v>
      </c>
      <c r="P270" s="55" t="s">
        <v>45</v>
      </c>
      <c r="Q270" s="55" t="s">
        <v>45</v>
      </c>
      <c r="R270" s="55" t="s">
        <v>45</v>
      </c>
      <c r="S270" s="55" t="s">
        <v>45</v>
      </c>
      <c r="T270" s="55" t="s">
        <v>45</v>
      </c>
      <c r="U270" s="55" t="s">
        <v>3095</v>
      </c>
      <c r="V270" s="55" t="s">
        <v>4409</v>
      </c>
      <c r="W270" s="55" t="s">
        <v>3095</v>
      </c>
      <c r="X270" s="55" t="s">
        <v>3095</v>
      </c>
      <c r="Y270" s="55" t="s">
        <v>3095</v>
      </c>
      <c r="Z270" s="55" t="s">
        <v>4250</v>
      </c>
      <c r="AA270" s="55" t="s">
        <v>3491</v>
      </c>
      <c r="AB270" s="55" t="s">
        <v>3095</v>
      </c>
      <c r="AC270" s="55" t="s">
        <v>3110</v>
      </c>
      <c r="AD270" s="55" t="s">
        <v>4410</v>
      </c>
      <c r="AE270" s="55" t="s">
        <v>3095</v>
      </c>
      <c r="AF270" s="55" t="s">
        <v>3095</v>
      </c>
      <c r="AG270" s="55" t="s">
        <v>3095</v>
      </c>
      <c r="AH270" s="55" t="s">
        <v>3095</v>
      </c>
      <c r="AI270" s="55" t="s">
        <v>3095</v>
      </c>
      <c r="AJ270" s="55" t="s">
        <v>3095</v>
      </c>
      <c r="AK270" s="55" t="s">
        <v>3095</v>
      </c>
      <c r="AL270" s="55" t="s">
        <v>3095</v>
      </c>
      <c r="AM270" s="55" t="s">
        <v>3095</v>
      </c>
    </row>
    <row r="271" ht="45.0" customHeight="1">
      <c r="A271" s="55" t="s">
        <v>1183</v>
      </c>
      <c r="B271" s="55" t="s">
        <v>4411</v>
      </c>
      <c r="C271" s="55" t="str">
        <f>IMAGE("https://raw.githubusercontent.com/ltdimages/images/refs/heads/main/Coordinate0333_00.png")</f>
        <v/>
      </c>
      <c r="D271" s="55" t="str">
        <f>IMAGE("https://raw.githubusercontent.com/ltdimages/images/refs/heads/main/Coordinate0333_01.png")</f>
        <v/>
      </c>
      <c r="E271" s="55" t="str">
        <f>IMAGE("https://raw.githubusercontent.com/ltdimages/images/refs/heads/main/Coordinate0333_02.png")</f>
        <v/>
      </c>
      <c r="F271" s="55" t="str">
        <f>IMAGE("https://raw.githubusercontent.com/ltdimages/images/refs/heads/main/Coordinate0333_03.png")</f>
        <v/>
      </c>
      <c r="G271" s="55" t="str">
        <f>IMAGE("https://raw.githubusercontent.com/ltdimages/images/refs/heads/main/Coordinate0333_04.png")</f>
        <v/>
      </c>
      <c r="H271" s="55" t="str">
        <f>IMAGE("https://raw.githubusercontent.com/ltdimages/images/refs/heads/main/Coordinate0333_05.png")</f>
        <v/>
      </c>
      <c r="I271" s="56" t="str">
        <f>IMAGE("https://raw.githubusercontent.com/ltdimages/images/refs/heads/main/Coordinate0333_06.png")</f>
        <v/>
      </c>
      <c r="J271" s="55" t="str">
        <f>IMAGE("https://raw.githubusercontent.com/ltdimages/images/refs/heads/main/Coordinate0333_07.png")</f>
        <v/>
      </c>
      <c r="K271" s="20" t="s">
        <v>4175</v>
      </c>
      <c r="L271" s="20" t="s">
        <v>4231</v>
      </c>
      <c r="M271" s="55" t="s">
        <v>3131</v>
      </c>
      <c r="N271" s="55" t="s">
        <v>3099</v>
      </c>
      <c r="O271" s="55" t="s">
        <v>45</v>
      </c>
      <c r="P271" s="55" t="s">
        <v>45</v>
      </c>
      <c r="Q271" s="55" t="s">
        <v>45</v>
      </c>
      <c r="R271" s="55" t="s">
        <v>49</v>
      </c>
      <c r="S271" s="55" t="s">
        <v>45</v>
      </c>
      <c r="T271" s="55" t="s">
        <v>45</v>
      </c>
      <c r="U271" s="55" t="s">
        <v>3095</v>
      </c>
      <c r="V271" s="55" t="s">
        <v>4412</v>
      </c>
      <c r="W271" s="55" t="s">
        <v>3095</v>
      </c>
      <c r="X271" s="55" t="s">
        <v>4413</v>
      </c>
      <c r="Y271" s="55" t="s">
        <v>3095</v>
      </c>
      <c r="Z271" s="55" t="s">
        <v>4250</v>
      </c>
      <c r="AA271" s="55" t="s">
        <v>4302</v>
      </c>
      <c r="AB271" s="55" t="s">
        <v>3095</v>
      </c>
      <c r="AC271" s="55" t="s">
        <v>3110</v>
      </c>
      <c r="AD271" s="55" t="s">
        <v>4414</v>
      </c>
      <c r="AE271" s="55" t="s">
        <v>3095</v>
      </c>
      <c r="AF271" s="55" t="s">
        <v>3095</v>
      </c>
      <c r="AG271" s="55" t="s">
        <v>3095</v>
      </c>
      <c r="AH271" s="55" t="s">
        <v>3095</v>
      </c>
      <c r="AI271" s="55" t="s">
        <v>3095</v>
      </c>
      <c r="AJ271" s="55" t="s">
        <v>3095</v>
      </c>
      <c r="AK271" s="55" t="s">
        <v>3095</v>
      </c>
      <c r="AL271" s="55" t="s">
        <v>3095</v>
      </c>
      <c r="AM271" s="55" t="s">
        <v>3095</v>
      </c>
    </row>
    <row r="272" ht="45.0" customHeight="1">
      <c r="A272" s="55" t="s">
        <v>1187</v>
      </c>
      <c r="B272" s="55" t="s">
        <v>4415</v>
      </c>
      <c r="C272" s="55" t="str">
        <f>IMAGE("https://raw.githubusercontent.com/ltdimages/images/refs/heads/main/Coordinate0282_00.png")</f>
        <v/>
      </c>
      <c r="D272" s="55" t="str">
        <f>IMAGE("https://raw.githubusercontent.com/ltdimages/images/refs/heads/main/Coordinate0282_01.png")</f>
        <v/>
      </c>
      <c r="E272" s="55" t="str">
        <f>IMAGE("https://raw.githubusercontent.com/ltdimages/images/refs/heads/main/Coordinate0282_02.png")</f>
        <v/>
      </c>
      <c r="F272" s="55" t="str">
        <f>IMAGE("https://raw.githubusercontent.com/ltdimages/images/refs/heads/main/Coordinate0282_03.png")</f>
        <v/>
      </c>
      <c r="G272" s="55" t="str">
        <f>IMAGE("https://raw.githubusercontent.com/ltdimages/images/refs/heads/main/Coordinate0282_04.png")</f>
        <v/>
      </c>
      <c r="H272" s="55" t="s">
        <v>3095</v>
      </c>
      <c r="I272" s="56" t="s">
        <v>3095</v>
      </c>
      <c r="J272" s="55" t="s">
        <v>3095</v>
      </c>
      <c r="K272" s="20" t="s">
        <v>3716</v>
      </c>
      <c r="L272" s="20" t="s">
        <v>4231</v>
      </c>
      <c r="M272" s="55" t="s">
        <v>3131</v>
      </c>
      <c r="N272" s="55" t="s">
        <v>3099</v>
      </c>
      <c r="O272" s="55" t="s">
        <v>45</v>
      </c>
      <c r="P272" s="55" t="s">
        <v>45</v>
      </c>
      <c r="Q272" s="55" t="s">
        <v>45</v>
      </c>
      <c r="R272" s="55" t="s">
        <v>49</v>
      </c>
      <c r="S272" s="55" t="s">
        <v>45</v>
      </c>
      <c r="T272" s="55" t="s">
        <v>45</v>
      </c>
      <c r="U272" s="55" t="s">
        <v>4416</v>
      </c>
      <c r="V272" s="55" t="s">
        <v>3095</v>
      </c>
      <c r="W272" s="55" t="s">
        <v>4292</v>
      </c>
      <c r="X272" s="55" t="s">
        <v>4417</v>
      </c>
      <c r="Y272" s="55" t="s">
        <v>3095</v>
      </c>
      <c r="Z272" s="55" t="s">
        <v>4250</v>
      </c>
      <c r="AA272" s="55" t="s">
        <v>4251</v>
      </c>
      <c r="AB272" s="55" t="s">
        <v>3095</v>
      </c>
      <c r="AC272" s="55" t="s">
        <v>3103</v>
      </c>
      <c r="AD272" s="55" t="s">
        <v>4418</v>
      </c>
      <c r="AE272" s="55" t="s">
        <v>3095</v>
      </c>
      <c r="AF272" s="55" t="s">
        <v>3095</v>
      </c>
      <c r="AG272" s="55" t="s">
        <v>3095</v>
      </c>
      <c r="AH272" s="55" t="s">
        <v>3095</v>
      </c>
      <c r="AI272" s="55" t="s">
        <v>3095</v>
      </c>
      <c r="AJ272" s="55" t="s">
        <v>3095</v>
      </c>
      <c r="AK272" s="55" t="s">
        <v>3095</v>
      </c>
      <c r="AL272" s="55" t="s">
        <v>3095</v>
      </c>
      <c r="AM272" s="55" t="s">
        <v>3095</v>
      </c>
    </row>
    <row r="273" ht="45.0" customHeight="1">
      <c r="A273" s="55" t="s">
        <v>1191</v>
      </c>
      <c r="B273" s="55" t="s">
        <v>4419</v>
      </c>
      <c r="C273" s="55" t="str">
        <f>IMAGE("https://raw.githubusercontent.com/ltdimages/images/refs/heads/main/Coordinate0301_00.png")</f>
        <v/>
      </c>
      <c r="D273" s="55" t="str">
        <f>IMAGE("https://raw.githubusercontent.com/ltdimages/images/refs/heads/main/Coordinate0301_01.png")</f>
        <v/>
      </c>
      <c r="E273" s="55" t="str">
        <f>IMAGE("https://raw.githubusercontent.com/ltdimages/images/refs/heads/main/Coordinate0301_02.png")</f>
        <v/>
      </c>
      <c r="F273" s="55" t="str">
        <f>IMAGE("https://raw.githubusercontent.com/ltdimages/images/refs/heads/main/Coordinate0301_03.png")</f>
        <v/>
      </c>
      <c r="G273" s="55" t="str">
        <f>IMAGE("https://raw.githubusercontent.com/ltdimages/images/refs/heads/main/Coordinate0301_04.png")</f>
        <v/>
      </c>
      <c r="H273" s="55" t="str">
        <f>IMAGE("https://raw.githubusercontent.com/ltdimages/images/refs/heads/main/Coordinate0301_05.png")</f>
        <v/>
      </c>
      <c r="I273" s="56" t="str">
        <f>IMAGE("https://raw.githubusercontent.com/ltdimages/images/refs/heads/main/Coordinate0301_06.png")</f>
        <v/>
      </c>
      <c r="J273" s="55" t="str">
        <f>IMAGE("https://raw.githubusercontent.com/ltdimages/images/refs/heads/main/Coordinate0301_07.png")</f>
        <v/>
      </c>
      <c r="K273" s="20" t="s">
        <v>4420</v>
      </c>
      <c r="L273" s="20" t="s">
        <v>4231</v>
      </c>
      <c r="M273" s="55" t="s">
        <v>3131</v>
      </c>
      <c r="N273" s="55" t="s">
        <v>3114</v>
      </c>
      <c r="O273" s="55" t="s">
        <v>45</v>
      </c>
      <c r="P273" s="55" t="s">
        <v>45</v>
      </c>
      <c r="Q273" s="55" t="s">
        <v>45</v>
      </c>
      <c r="R273" s="55" t="s">
        <v>45</v>
      </c>
      <c r="S273" s="55" t="s">
        <v>45</v>
      </c>
      <c r="T273" s="55" t="s">
        <v>45</v>
      </c>
      <c r="U273" s="55" t="s">
        <v>4421</v>
      </c>
      <c r="V273" s="55" t="s">
        <v>3095</v>
      </c>
      <c r="W273" s="55" t="s">
        <v>4233</v>
      </c>
      <c r="X273" s="55" t="s">
        <v>3095</v>
      </c>
      <c r="Y273" s="55" t="s">
        <v>3095</v>
      </c>
      <c r="Z273" s="55" t="s">
        <v>4244</v>
      </c>
      <c r="AA273" s="55" t="s">
        <v>4315</v>
      </c>
      <c r="AB273" s="55" t="s">
        <v>3095</v>
      </c>
      <c r="AC273" s="55" t="s">
        <v>3103</v>
      </c>
      <c r="AD273" s="55" t="s">
        <v>4422</v>
      </c>
      <c r="AE273" s="55" t="s">
        <v>3095</v>
      </c>
      <c r="AF273" s="55" t="s">
        <v>3095</v>
      </c>
      <c r="AG273" s="55" t="s">
        <v>3095</v>
      </c>
      <c r="AH273" s="55" t="s">
        <v>3095</v>
      </c>
      <c r="AI273" s="55" t="s">
        <v>3095</v>
      </c>
      <c r="AJ273" s="55" t="s">
        <v>3095</v>
      </c>
      <c r="AK273" s="55" t="s">
        <v>3095</v>
      </c>
      <c r="AL273" s="55" t="s">
        <v>3095</v>
      </c>
      <c r="AM273" s="55" t="s">
        <v>3095</v>
      </c>
    </row>
    <row r="274" ht="45.0" customHeight="1">
      <c r="A274" s="55" t="s">
        <v>1195</v>
      </c>
      <c r="B274" s="55" t="s">
        <v>4423</v>
      </c>
      <c r="C274" s="55" t="str">
        <f>IMAGE("https://raw.githubusercontent.com/ltdimages/images/refs/heads/main/Coordinate0168_00.png")</f>
        <v/>
      </c>
      <c r="D274" s="55" t="str">
        <f>IMAGE("https://raw.githubusercontent.com/ltdimages/images/refs/heads/main/Coordinate0168_01.png")</f>
        <v/>
      </c>
      <c r="E274" s="55" t="str">
        <f>IMAGE("https://raw.githubusercontent.com/ltdimages/images/refs/heads/main/Coordinate0168_02.png")</f>
        <v/>
      </c>
      <c r="F274" s="55" t="str">
        <f>IMAGE("https://raw.githubusercontent.com/ltdimages/images/refs/heads/main/Coordinate0168_03.png")</f>
        <v/>
      </c>
      <c r="G274" s="55" t="str">
        <f>IMAGE("https://raw.githubusercontent.com/ltdimages/images/refs/heads/main/Coordinate0168_04.png")</f>
        <v/>
      </c>
      <c r="H274" s="55" t="str">
        <f>IMAGE("https://raw.githubusercontent.com/ltdimages/images/refs/heads/main/Coordinate0168_05.png")</f>
        <v/>
      </c>
      <c r="I274" s="56" t="s">
        <v>3095</v>
      </c>
      <c r="J274" s="55" t="s">
        <v>3095</v>
      </c>
      <c r="K274" s="20" t="s">
        <v>3247</v>
      </c>
      <c r="L274" s="20" t="s">
        <v>4231</v>
      </c>
      <c r="M274" s="55" t="s">
        <v>3131</v>
      </c>
      <c r="N274" s="55" t="s">
        <v>3123</v>
      </c>
      <c r="O274" s="55" t="s">
        <v>45</v>
      </c>
      <c r="P274" s="55" t="s">
        <v>45</v>
      </c>
      <c r="Q274" s="55" t="s">
        <v>45</v>
      </c>
      <c r="R274" s="55" t="s">
        <v>45</v>
      </c>
      <c r="S274" s="55" t="s">
        <v>45</v>
      </c>
      <c r="T274" s="55" t="s">
        <v>45</v>
      </c>
      <c r="U274" s="55" t="s">
        <v>3095</v>
      </c>
      <c r="V274" s="55" t="s">
        <v>4424</v>
      </c>
      <c r="W274" s="55" t="s">
        <v>3095</v>
      </c>
      <c r="X274" s="55" t="s">
        <v>4425</v>
      </c>
      <c r="Y274" s="55" t="s">
        <v>3095</v>
      </c>
      <c r="Z274" s="55" t="s">
        <v>3095</v>
      </c>
      <c r="AA274" s="55" t="s">
        <v>4239</v>
      </c>
      <c r="AB274" s="55" t="s">
        <v>3095</v>
      </c>
      <c r="AC274" s="55" t="s">
        <v>3110</v>
      </c>
      <c r="AD274" s="55" t="s">
        <v>4426</v>
      </c>
      <c r="AE274" s="55" t="s">
        <v>3095</v>
      </c>
      <c r="AF274" s="55" t="s">
        <v>3095</v>
      </c>
      <c r="AG274" s="55" t="s">
        <v>3095</v>
      </c>
      <c r="AH274" s="55" t="s">
        <v>3095</v>
      </c>
      <c r="AI274" s="55" t="s">
        <v>3095</v>
      </c>
      <c r="AJ274" s="55" t="s">
        <v>3095</v>
      </c>
      <c r="AK274" s="55" t="s">
        <v>3095</v>
      </c>
      <c r="AL274" s="55" t="s">
        <v>3095</v>
      </c>
      <c r="AM274" s="55" t="s">
        <v>3095</v>
      </c>
    </row>
    <row r="275" ht="45.0" customHeight="1">
      <c r="A275" s="55" t="s">
        <v>1199</v>
      </c>
      <c r="B275" s="55" t="s">
        <v>4427</v>
      </c>
      <c r="C275" s="55" t="str">
        <f>IMAGE("https://raw.githubusercontent.com/ltdimages/images/refs/heads/main/Coordinate0072_00.png")</f>
        <v/>
      </c>
      <c r="D275" s="55" t="str">
        <f>IMAGE("https://raw.githubusercontent.com/ltdimages/images/refs/heads/main/Coordinate0072_01.png")</f>
        <v/>
      </c>
      <c r="E275" s="55" t="str">
        <f>IMAGE("https://raw.githubusercontent.com/ltdimages/images/refs/heads/main/Coordinate0072_02.png")</f>
        <v/>
      </c>
      <c r="F275" s="55" t="str">
        <f>IMAGE("https://raw.githubusercontent.com/ltdimages/images/refs/heads/main/Coordinate0072_03.png")</f>
        <v/>
      </c>
      <c r="G275" s="55" t="str">
        <f>IMAGE("https://raw.githubusercontent.com/ltdimages/images/refs/heads/main/Coordinate0072_04.png")</f>
        <v/>
      </c>
      <c r="H275" s="55" t="str">
        <f>IMAGE("https://raw.githubusercontent.com/ltdimages/images/refs/heads/main/Coordinate0072_05.png")</f>
        <v/>
      </c>
      <c r="I275" s="56" t="s">
        <v>3095</v>
      </c>
      <c r="J275" s="55" t="s">
        <v>3095</v>
      </c>
      <c r="K275" s="20" t="s">
        <v>4428</v>
      </c>
      <c r="L275" s="20" t="s">
        <v>4231</v>
      </c>
      <c r="M275" s="55" t="s">
        <v>3098</v>
      </c>
      <c r="N275" s="55" t="s">
        <v>3099</v>
      </c>
      <c r="O275" s="55" t="s">
        <v>45</v>
      </c>
      <c r="P275" s="55" t="s">
        <v>45</v>
      </c>
      <c r="Q275" s="55" t="s">
        <v>45</v>
      </c>
      <c r="R275" s="55" t="s">
        <v>45</v>
      </c>
      <c r="S275" s="55" t="s">
        <v>45</v>
      </c>
      <c r="T275" s="55" t="s">
        <v>45</v>
      </c>
      <c r="U275" s="55" t="s">
        <v>4429</v>
      </c>
      <c r="V275" s="55" t="s">
        <v>3095</v>
      </c>
      <c r="W275" s="55" t="s">
        <v>4430</v>
      </c>
      <c r="X275" s="55" t="s">
        <v>4431</v>
      </c>
      <c r="Y275" s="55" t="s">
        <v>3095</v>
      </c>
      <c r="Z275" s="55" t="s">
        <v>4432</v>
      </c>
      <c r="AA275" s="55" t="s">
        <v>3629</v>
      </c>
      <c r="AB275" s="55" t="s">
        <v>3095</v>
      </c>
      <c r="AC275" s="55" t="s">
        <v>3103</v>
      </c>
      <c r="AD275" s="55" t="s">
        <v>4433</v>
      </c>
      <c r="AE275" s="55" t="s">
        <v>3095</v>
      </c>
      <c r="AF275" s="55" t="s">
        <v>3095</v>
      </c>
      <c r="AG275" s="55" t="s">
        <v>3095</v>
      </c>
      <c r="AH275" s="55" t="s">
        <v>3095</v>
      </c>
      <c r="AI275" s="55" t="s">
        <v>3095</v>
      </c>
      <c r="AJ275" s="55" t="s">
        <v>3095</v>
      </c>
      <c r="AK275" s="55" t="s">
        <v>3095</v>
      </c>
      <c r="AL275" s="55" t="s">
        <v>3095</v>
      </c>
      <c r="AM275" s="55" t="s">
        <v>3095</v>
      </c>
    </row>
    <row r="276" ht="45.0" customHeight="1">
      <c r="A276" s="55" t="s">
        <v>1204</v>
      </c>
      <c r="B276" s="55" t="s">
        <v>4434</v>
      </c>
      <c r="C276" s="55" t="str">
        <f>IMAGE("https://raw.githubusercontent.com/ltdimages/images/refs/heads/main/Coordinate0159_00.png")</f>
        <v/>
      </c>
      <c r="D276" s="55" t="str">
        <f>IMAGE("https://raw.githubusercontent.com/ltdimages/images/refs/heads/main/Coordinate0159_01.png")</f>
        <v/>
      </c>
      <c r="E276" s="55" t="str">
        <f>IMAGE("https://raw.githubusercontent.com/ltdimages/images/refs/heads/main/Coordinate0159_02.png")</f>
        <v/>
      </c>
      <c r="F276" s="55" t="str">
        <f>IMAGE("https://raw.githubusercontent.com/ltdimages/images/refs/heads/main/Coordinate0159_03.png")</f>
        <v/>
      </c>
      <c r="G276" s="55" t="str">
        <f>IMAGE("https://raw.githubusercontent.com/ltdimages/images/refs/heads/main/Coordinate0159_04.png")</f>
        <v/>
      </c>
      <c r="H276" s="55" t="str">
        <f>IMAGE("https://raw.githubusercontent.com/ltdimages/images/refs/heads/main/Coordinate0159_05.png")</f>
        <v/>
      </c>
      <c r="I276" s="56" t="s">
        <v>3095</v>
      </c>
      <c r="J276" s="55" t="s">
        <v>3095</v>
      </c>
      <c r="K276" s="20" t="s">
        <v>3711</v>
      </c>
      <c r="L276" s="20" t="s">
        <v>4231</v>
      </c>
      <c r="M276" s="55" t="s">
        <v>3131</v>
      </c>
      <c r="N276" s="55" t="s">
        <v>3099</v>
      </c>
      <c r="O276" s="55" t="s">
        <v>45</v>
      </c>
      <c r="P276" s="55" t="s">
        <v>45</v>
      </c>
      <c r="Q276" s="55" t="s">
        <v>45</v>
      </c>
      <c r="R276" s="55" t="s">
        <v>45</v>
      </c>
      <c r="S276" s="55" t="s">
        <v>45</v>
      </c>
      <c r="T276" s="55" t="s">
        <v>45</v>
      </c>
      <c r="U276" s="55" t="s">
        <v>3095</v>
      </c>
      <c r="V276" s="55" t="s">
        <v>4435</v>
      </c>
      <c r="W276" s="55" t="s">
        <v>3095</v>
      </c>
      <c r="X276" s="55" t="s">
        <v>3095</v>
      </c>
      <c r="Y276" s="55" t="s">
        <v>3095</v>
      </c>
      <c r="Z276" s="55" t="s">
        <v>3164</v>
      </c>
      <c r="AA276" s="55" t="s">
        <v>4315</v>
      </c>
      <c r="AB276" s="55" t="s">
        <v>3095</v>
      </c>
      <c r="AC276" s="55" t="s">
        <v>3110</v>
      </c>
      <c r="AD276" s="55" t="s">
        <v>4436</v>
      </c>
      <c r="AE276" s="55" t="s">
        <v>3095</v>
      </c>
      <c r="AF276" s="55" t="s">
        <v>3095</v>
      </c>
      <c r="AG276" s="55" t="s">
        <v>3095</v>
      </c>
      <c r="AH276" s="55" t="s">
        <v>3095</v>
      </c>
      <c r="AI276" s="55" t="s">
        <v>3095</v>
      </c>
      <c r="AJ276" s="55" t="s">
        <v>3095</v>
      </c>
      <c r="AK276" s="55" t="s">
        <v>3095</v>
      </c>
      <c r="AL276" s="55" t="s">
        <v>3095</v>
      </c>
      <c r="AM276" s="55" t="s">
        <v>3095</v>
      </c>
    </row>
    <row r="277" ht="45.0" customHeight="1">
      <c r="A277" s="55" t="s">
        <v>1208</v>
      </c>
      <c r="B277" s="55" t="s">
        <v>4437</v>
      </c>
      <c r="C277" s="55" t="str">
        <f>IMAGE("https://raw.githubusercontent.com/ltdimages/images/refs/heads/main/Coordinate0129_00.png")</f>
        <v/>
      </c>
      <c r="D277" s="55" t="str">
        <f>IMAGE("https://raw.githubusercontent.com/ltdimages/images/refs/heads/main/Coordinate0129_01.png")</f>
        <v/>
      </c>
      <c r="E277" s="55" t="str">
        <f>IMAGE("https://raw.githubusercontent.com/ltdimages/images/refs/heads/main/Coordinate0129_02.png")</f>
        <v/>
      </c>
      <c r="F277" s="55" t="str">
        <f>IMAGE("https://raw.githubusercontent.com/ltdimages/images/refs/heads/main/Coordinate0129_03.png")</f>
        <v/>
      </c>
      <c r="G277" s="55" t="str">
        <f>IMAGE("https://raw.githubusercontent.com/ltdimages/images/refs/heads/main/Coordinate0129_04.png")</f>
        <v/>
      </c>
      <c r="H277" s="55" t="str">
        <f>IMAGE("https://raw.githubusercontent.com/ltdimages/images/refs/heads/main/Coordinate0129_05.png")</f>
        <v/>
      </c>
      <c r="I277" s="56" t="s">
        <v>3095</v>
      </c>
      <c r="J277" s="55" t="s">
        <v>3095</v>
      </c>
      <c r="K277" s="20" t="s">
        <v>4283</v>
      </c>
      <c r="L277" s="20" t="s">
        <v>4231</v>
      </c>
      <c r="M277" s="55" t="s">
        <v>3131</v>
      </c>
      <c r="N277" s="55" t="s">
        <v>3114</v>
      </c>
      <c r="O277" s="55" t="s">
        <v>45</v>
      </c>
      <c r="P277" s="55" t="s">
        <v>45</v>
      </c>
      <c r="Q277" s="55" t="s">
        <v>45</v>
      </c>
      <c r="R277" s="55" t="s">
        <v>45</v>
      </c>
      <c r="S277" s="55" t="s">
        <v>45</v>
      </c>
      <c r="T277" s="55" t="s">
        <v>45</v>
      </c>
      <c r="U277" s="55" t="s">
        <v>3798</v>
      </c>
      <c r="V277" s="55" t="s">
        <v>3095</v>
      </c>
      <c r="W277" s="55" t="s">
        <v>4380</v>
      </c>
      <c r="X277" s="55" t="s">
        <v>3095</v>
      </c>
      <c r="Y277" s="55" t="s">
        <v>3095</v>
      </c>
      <c r="Z277" s="55" t="s">
        <v>3583</v>
      </c>
      <c r="AA277" s="55" t="s">
        <v>4315</v>
      </c>
      <c r="AB277" s="55" t="s">
        <v>3095</v>
      </c>
      <c r="AC277" s="55" t="s">
        <v>3103</v>
      </c>
      <c r="AD277" s="55" t="s">
        <v>4438</v>
      </c>
      <c r="AE277" s="55" t="s">
        <v>3095</v>
      </c>
      <c r="AF277" s="55" t="s">
        <v>3095</v>
      </c>
      <c r="AG277" s="55" t="s">
        <v>3095</v>
      </c>
      <c r="AH277" s="55" t="s">
        <v>3095</v>
      </c>
      <c r="AI277" s="55" t="s">
        <v>3095</v>
      </c>
      <c r="AJ277" s="55" t="s">
        <v>3095</v>
      </c>
      <c r="AK277" s="55" t="s">
        <v>3095</v>
      </c>
      <c r="AL277" s="55" t="s">
        <v>3095</v>
      </c>
      <c r="AM277" s="55" t="s">
        <v>3095</v>
      </c>
    </row>
    <row r="278" ht="45.0" customHeight="1">
      <c r="A278" s="55" t="s">
        <v>1213</v>
      </c>
      <c r="B278" s="55" t="s">
        <v>4439</v>
      </c>
      <c r="C278" s="55" t="str">
        <f>IMAGE("https://raw.githubusercontent.com/ltdimages/images/refs/heads/main/Coordinate0126_00.png")</f>
        <v/>
      </c>
      <c r="D278" s="55" t="str">
        <f>IMAGE("https://raw.githubusercontent.com/ltdimages/images/refs/heads/main/Coordinate0126_01.png")</f>
        <v/>
      </c>
      <c r="E278" s="55" t="str">
        <f>IMAGE("https://raw.githubusercontent.com/ltdimages/images/refs/heads/main/Coordinate0126_02.png")</f>
        <v/>
      </c>
      <c r="F278" s="55" t="str">
        <f>IMAGE("https://raw.githubusercontent.com/ltdimages/images/refs/heads/main/Coordinate0126_03.png")</f>
        <v/>
      </c>
      <c r="G278" s="55" t="str">
        <f>IMAGE("https://raw.githubusercontent.com/ltdimages/images/refs/heads/main/Coordinate0126_04.png")</f>
        <v/>
      </c>
      <c r="H278" s="55" t="str">
        <f>IMAGE("https://raw.githubusercontent.com/ltdimages/images/refs/heads/main/Coordinate0126_05.png")</f>
        <v/>
      </c>
      <c r="I278" s="56" t="str">
        <f>IMAGE("https://raw.githubusercontent.com/ltdimages/images/refs/heads/main/Coordinate0126_06.png")</f>
        <v/>
      </c>
      <c r="J278" s="55" t="str">
        <f>IMAGE("https://raw.githubusercontent.com/ltdimages/images/refs/heads/main/Coordinate0126_07.png")</f>
        <v/>
      </c>
      <c r="K278" s="20" t="s">
        <v>4440</v>
      </c>
      <c r="L278" s="20" t="s">
        <v>4231</v>
      </c>
      <c r="M278" s="55" t="s">
        <v>3131</v>
      </c>
      <c r="N278" s="55" t="s">
        <v>3099</v>
      </c>
      <c r="O278" s="55" t="s">
        <v>45</v>
      </c>
      <c r="P278" s="55" t="s">
        <v>45</v>
      </c>
      <c r="Q278" s="55" t="s">
        <v>45</v>
      </c>
      <c r="R278" s="55" t="s">
        <v>45</v>
      </c>
      <c r="S278" s="55" t="s">
        <v>49</v>
      </c>
      <c r="T278" s="55" t="s">
        <v>45</v>
      </c>
      <c r="U278" s="55" t="s">
        <v>3095</v>
      </c>
      <c r="V278" s="55" t="s">
        <v>4441</v>
      </c>
      <c r="W278" s="55" t="s">
        <v>3095</v>
      </c>
      <c r="X278" s="55" t="s">
        <v>3095</v>
      </c>
      <c r="Y278" s="55" t="s">
        <v>3095</v>
      </c>
      <c r="Z278" s="55" t="s">
        <v>4442</v>
      </c>
      <c r="AA278" s="55" t="s">
        <v>4443</v>
      </c>
      <c r="AB278" s="55" t="s">
        <v>3095</v>
      </c>
      <c r="AC278" s="55" t="s">
        <v>3110</v>
      </c>
      <c r="AD278" s="55" t="s">
        <v>4444</v>
      </c>
      <c r="AE278" s="55" t="s">
        <v>3095</v>
      </c>
      <c r="AF278" s="55" t="s">
        <v>3095</v>
      </c>
      <c r="AG278" s="55" t="s">
        <v>3095</v>
      </c>
      <c r="AH278" s="55" t="s">
        <v>3095</v>
      </c>
      <c r="AI278" s="55" t="s">
        <v>3095</v>
      </c>
      <c r="AJ278" s="55" t="s">
        <v>3095</v>
      </c>
      <c r="AK278" s="55" t="s">
        <v>3095</v>
      </c>
      <c r="AL278" s="55" t="s">
        <v>3095</v>
      </c>
      <c r="AM278" s="55" t="s">
        <v>3095</v>
      </c>
    </row>
    <row r="279" ht="45.0" customHeight="1">
      <c r="A279" s="55" t="s">
        <v>1217</v>
      </c>
      <c r="B279" s="55" t="s">
        <v>4445</v>
      </c>
      <c r="C279" s="55" t="str">
        <f>IMAGE("https://raw.githubusercontent.com/ltdimages/images/refs/heads/main/Coordinate0161_00.png")</f>
        <v/>
      </c>
      <c r="D279" s="55" t="str">
        <f>IMAGE("https://raw.githubusercontent.com/ltdimages/images/refs/heads/main/Coordinate0161_01.png")</f>
        <v/>
      </c>
      <c r="E279" s="55" t="str">
        <f>IMAGE("https://raw.githubusercontent.com/ltdimages/images/refs/heads/main/Coordinate0161_02.png")</f>
        <v/>
      </c>
      <c r="F279" s="55" t="str">
        <f>IMAGE("https://raw.githubusercontent.com/ltdimages/images/refs/heads/main/Coordinate0161_03.png")</f>
        <v/>
      </c>
      <c r="G279" s="55" t="s">
        <v>3095</v>
      </c>
      <c r="H279" s="55" t="s">
        <v>3095</v>
      </c>
      <c r="I279" s="56" t="s">
        <v>3095</v>
      </c>
      <c r="J279" s="55" t="s">
        <v>3095</v>
      </c>
      <c r="K279" s="20" t="s">
        <v>4446</v>
      </c>
      <c r="L279" s="20" t="s">
        <v>4231</v>
      </c>
      <c r="M279" s="55" t="s">
        <v>3131</v>
      </c>
      <c r="N279" s="55" t="s">
        <v>3123</v>
      </c>
      <c r="O279" s="55" t="s">
        <v>45</v>
      </c>
      <c r="P279" s="55" t="s">
        <v>45</v>
      </c>
      <c r="Q279" s="55" t="s">
        <v>45</v>
      </c>
      <c r="R279" s="55" t="s">
        <v>45</v>
      </c>
      <c r="S279" s="55" t="s">
        <v>45</v>
      </c>
      <c r="T279" s="55" t="s">
        <v>45</v>
      </c>
      <c r="U279" s="55" t="s">
        <v>4447</v>
      </c>
      <c r="V279" s="55" t="s">
        <v>3095</v>
      </c>
      <c r="W279" s="55" t="s">
        <v>4448</v>
      </c>
      <c r="X279" s="55" t="s">
        <v>3907</v>
      </c>
      <c r="Y279" s="55" t="s">
        <v>4449</v>
      </c>
      <c r="Z279" s="55" t="s">
        <v>3095</v>
      </c>
      <c r="AA279" s="55" t="s">
        <v>3663</v>
      </c>
      <c r="AB279" s="55" t="s">
        <v>3095</v>
      </c>
      <c r="AC279" s="55" t="s">
        <v>4287</v>
      </c>
      <c r="AD279" s="55" t="s">
        <v>4450</v>
      </c>
      <c r="AE279" s="55" t="s">
        <v>3095</v>
      </c>
      <c r="AF279" s="55" t="s">
        <v>3095</v>
      </c>
      <c r="AG279" s="55" t="s">
        <v>3095</v>
      </c>
      <c r="AH279" s="55" t="s">
        <v>3095</v>
      </c>
      <c r="AI279" s="55" t="s">
        <v>3095</v>
      </c>
      <c r="AJ279" s="55" t="s">
        <v>3095</v>
      </c>
      <c r="AK279" s="55" t="s">
        <v>3095</v>
      </c>
      <c r="AL279" s="55" t="s">
        <v>3095</v>
      </c>
      <c r="AM279" s="55" t="s">
        <v>3095</v>
      </c>
    </row>
    <row r="280" ht="45.0" customHeight="1">
      <c r="A280" s="55" t="s">
        <v>1221</v>
      </c>
      <c r="B280" s="55" t="s">
        <v>4451</v>
      </c>
      <c r="C280" s="55" t="str">
        <f>IMAGE("https://raw.githubusercontent.com/ltdimages/images/refs/heads/main/Coordinate0233_00.png")</f>
        <v/>
      </c>
      <c r="D280" s="55" t="str">
        <f>IMAGE("https://raw.githubusercontent.com/ltdimages/images/refs/heads/main/Coordinate0233_01.png")</f>
        <v/>
      </c>
      <c r="E280" s="55" t="str">
        <f>IMAGE("https://raw.githubusercontent.com/ltdimages/images/refs/heads/main/Coordinate0233_02.png")</f>
        <v/>
      </c>
      <c r="F280" s="55" t="str">
        <f>IMAGE("https://raw.githubusercontent.com/ltdimages/images/refs/heads/main/Coordinate0233_03.png")</f>
        <v/>
      </c>
      <c r="G280" s="55" t="str">
        <f>IMAGE("https://raw.githubusercontent.com/ltdimages/images/refs/heads/main/Coordinate0233_04.png")</f>
        <v/>
      </c>
      <c r="H280" s="55" t="str">
        <f>IMAGE("https://raw.githubusercontent.com/ltdimages/images/refs/heads/main/Coordinate0233_05.png")</f>
        <v/>
      </c>
      <c r="I280" s="56" t="str">
        <f>IMAGE("https://raw.githubusercontent.com/ltdimages/images/refs/heads/main/Coordinate0233_06.png")</f>
        <v/>
      </c>
      <c r="J280" s="55" t="str">
        <f>IMAGE("https://raw.githubusercontent.com/ltdimages/images/refs/heads/main/Coordinate0233_07.png")</f>
        <v/>
      </c>
      <c r="K280" s="20" t="s">
        <v>4452</v>
      </c>
      <c r="L280" s="20" t="s">
        <v>4231</v>
      </c>
      <c r="M280" s="55" t="s">
        <v>3131</v>
      </c>
      <c r="N280" s="55" t="s">
        <v>3099</v>
      </c>
      <c r="O280" s="55" t="s">
        <v>45</v>
      </c>
      <c r="P280" s="55" t="s">
        <v>45</v>
      </c>
      <c r="Q280" s="55" t="s">
        <v>45</v>
      </c>
      <c r="R280" s="55" t="s">
        <v>45</v>
      </c>
      <c r="S280" s="55" t="s">
        <v>45</v>
      </c>
      <c r="T280" s="55" t="s">
        <v>45</v>
      </c>
      <c r="U280" s="55" t="s">
        <v>3095</v>
      </c>
      <c r="V280" s="55" t="s">
        <v>4453</v>
      </c>
      <c r="W280" s="55" t="s">
        <v>3095</v>
      </c>
      <c r="X280" s="55" t="s">
        <v>3095</v>
      </c>
      <c r="Y280" s="55" t="s">
        <v>4454</v>
      </c>
      <c r="Z280" s="55" t="s">
        <v>3352</v>
      </c>
      <c r="AA280" s="55" t="s">
        <v>3506</v>
      </c>
      <c r="AB280" s="55" t="s">
        <v>3095</v>
      </c>
      <c r="AC280" s="55" t="s">
        <v>3110</v>
      </c>
      <c r="AD280" s="55" t="s">
        <v>4455</v>
      </c>
      <c r="AE280" s="55" t="s">
        <v>3095</v>
      </c>
      <c r="AF280" s="55" t="s">
        <v>3095</v>
      </c>
      <c r="AG280" s="55" t="s">
        <v>3095</v>
      </c>
      <c r="AH280" s="55" t="s">
        <v>3095</v>
      </c>
      <c r="AI280" s="55" t="s">
        <v>3095</v>
      </c>
      <c r="AJ280" s="55" t="s">
        <v>3095</v>
      </c>
      <c r="AK280" s="55" t="s">
        <v>3095</v>
      </c>
      <c r="AL280" s="55" t="s">
        <v>3095</v>
      </c>
      <c r="AM280" s="55" t="s">
        <v>3095</v>
      </c>
    </row>
    <row r="281" ht="45.0" customHeight="1">
      <c r="A281" s="55" t="s">
        <v>1225</v>
      </c>
      <c r="B281" s="55" t="s">
        <v>4456</v>
      </c>
      <c r="C281" s="55" t="str">
        <f>IMAGE("https://raw.githubusercontent.com/ltdimages/images/refs/heads/main/Coordinate0253_00.png")</f>
        <v/>
      </c>
      <c r="D281" s="55" t="str">
        <f>IMAGE("https://raw.githubusercontent.com/ltdimages/images/refs/heads/main/Coordinate0253_01.png")</f>
        <v/>
      </c>
      <c r="E281" s="55" t="str">
        <f>IMAGE("https://raw.githubusercontent.com/ltdimages/images/refs/heads/main/Coordinate0253_02.png")</f>
        <v/>
      </c>
      <c r="F281" s="55" t="str">
        <f>IMAGE("https://raw.githubusercontent.com/ltdimages/images/refs/heads/main/Coordinate0253_03.png")</f>
        <v/>
      </c>
      <c r="G281" s="55" t="str">
        <f>IMAGE("https://raw.githubusercontent.com/ltdimages/images/refs/heads/main/Coordinate0253_04.png")</f>
        <v/>
      </c>
      <c r="H281" s="55" t="str">
        <f>IMAGE("https://raw.githubusercontent.com/ltdimages/images/refs/heads/main/Coordinate0253_05.png")</f>
        <v/>
      </c>
      <c r="I281" s="56" t="s">
        <v>3095</v>
      </c>
      <c r="J281" s="55" t="s">
        <v>3095</v>
      </c>
      <c r="K281" s="20" t="s">
        <v>4457</v>
      </c>
      <c r="L281" s="20" t="s">
        <v>4231</v>
      </c>
      <c r="M281" s="55" t="s">
        <v>3131</v>
      </c>
      <c r="N281" s="55" t="s">
        <v>3099</v>
      </c>
      <c r="O281" s="55" t="s">
        <v>45</v>
      </c>
      <c r="P281" s="55" t="s">
        <v>45</v>
      </c>
      <c r="Q281" s="55" t="s">
        <v>45</v>
      </c>
      <c r="R281" s="55" t="s">
        <v>45</v>
      </c>
      <c r="S281" s="55" t="s">
        <v>45</v>
      </c>
      <c r="T281" s="55" t="s">
        <v>45</v>
      </c>
      <c r="U281" s="55" t="s">
        <v>3095</v>
      </c>
      <c r="V281" s="55" t="s">
        <v>4458</v>
      </c>
      <c r="W281" s="55" t="s">
        <v>3095</v>
      </c>
      <c r="X281" s="55" t="s">
        <v>3095</v>
      </c>
      <c r="Y281" s="55" t="s">
        <v>3095</v>
      </c>
      <c r="Z281" s="55" t="s">
        <v>4459</v>
      </c>
      <c r="AA281" s="55" t="s">
        <v>4315</v>
      </c>
      <c r="AB281" s="55" t="s">
        <v>3095</v>
      </c>
      <c r="AC281" s="55" t="s">
        <v>3110</v>
      </c>
      <c r="AD281" s="55" t="s">
        <v>4460</v>
      </c>
      <c r="AE281" s="55" t="s">
        <v>3095</v>
      </c>
      <c r="AF281" s="55" t="s">
        <v>3095</v>
      </c>
      <c r="AG281" s="55" t="s">
        <v>3095</v>
      </c>
      <c r="AH281" s="55" t="s">
        <v>3095</v>
      </c>
      <c r="AI281" s="55" t="s">
        <v>3095</v>
      </c>
      <c r="AJ281" s="55" t="s">
        <v>3095</v>
      </c>
      <c r="AK281" s="55" t="s">
        <v>3095</v>
      </c>
      <c r="AL281" s="55" t="s">
        <v>3095</v>
      </c>
      <c r="AM281" s="55" t="s">
        <v>3095</v>
      </c>
    </row>
    <row r="282" ht="45.0" customHeight="1">
      <c r="A282" s="55" t="s">
        <v>1229</v>
      </c>
      <c r="B282" s="55" t="s">
        <v>4461</v>
      </c>
      <c r="C282" s="55" t="str">
        <f>IMAGE("https://raw.githubusercontent.com/ltdimages/images/refs/heads/main/Coordinate0057_00.png")</f>
        <v/>
      </c>
      <c r="D282" s="55" t="str">
        <f>IMAGE("https://raw.githubusercontent.com/ltdimages/images/refs/heads/main/Coordinate0057_01.png")</f>
        <v/>
      </c>
      <c r="E282" s="55" t="str">
        <f>IMAGE("https://raw.githubusercontent.com/ltdimages/images/refs/heads/main/Coordinate0057_02.png")</f>
        <v/>
      </c>
      <c r="F282" s="55" t="str">
        <f>IMAGE("https://raw.githubusercontent.com/ltdimages/images/refs/heads/main/Coordinate0057_03.png")</f>
        <v/>
      </c>
      <c r="G282" s="55" t="str">
        <f>IMAGE("https://raw.githubusercontent.com/ltdimages/images/refs/heads/main/Coordinate0057_04.png")</f>
        <v/>
      </c>
      <c r="H282" s="55" t="str">
        <f>IMAGE("https://raw.githubusercontent.com/ltdimages/images/refs/heads/main/Coordinate0057_05.png")</f>
        <v/>
      </c>
      <c r="I282" s="56" t="s">
        <v>3095</v>
      </c>
      <c r="J282" s="55" t="s">
        <v>3095</v>
      </c>
      <c r="K282" s="20" t="s">
        <v>4462</v>
      </c>
      <c r="L282" s="20" t="s">
        <v>4231</v>
      </c>
      <c r="M282" s="55" t="s">
        <v>3098</v>
      </c>
      <c r="N282" s="55" t="s">
        <v>3099</v>
      </c>
      <c r="O282" s="55" t="s">
        <v>45</v>
      </c>
      <c r="P282" s="55" t="s">
        <v>45</v>
      </c>
      <c r="Q282" s="55" t="s">
        <v>45</v>
      </c>
      <c r="R282" s="55" t="s">
        <v>45</v>
      </c>
      <c r="S282" s="55" t="s">
        <v>45</v>
      </c>
      <c r="T282" s="55" t="s">
        <v>45</v>
      </c>
      <c r="U282" s="55" t="s">
        <v>3095</v>
      </c>
      <c r="V282" s="55" t="s">
        <v>4463</v>
      </c>
      <c r="W282" s="55" t="s">
        <v>3095</v>
      </c>
      <c r="X282" s="55" t="s">
        <v>4314</v>
      </c>
      <c r="Y282" s="55" t="s">
        <v>3095</v>
      </c>
      <c r="Z282" s="55" t="s">
        <v>4250</v>
      </c>
      <c r="AA282" s="55" t="s">
        <v>4251</v>
      </c>
      <c r="AB282" s="55" t="s">
        <v>3095</v>
      </c>
      <c r="AC282" s="55" t="s">
        <v>3110</v>
      </c>
      <c r="AD282" s="55" t="s">
        <v>4464</v>
      </c>
      <c r="AE282" s="55" t="s">
        <v>3095</v>
      </c>
      <c r="AF282" s="55" t="s">
        <v>3095</v>
      </c>
      <c r="AG282" s="55" t="s">
        <v>3095</v>
      </c>
      <c r="AH282" s="55" t="s">
        <v>3095</v>
      </c>
      <c r="AI282" s="55" t="s">
        <v>3095</v>
      </c>
      <c r="AJ282" s="55" t="s">
        <v>3095</v>
      </c>
      <c r="AK282" s="55" t="s">
        <v>3095</v>
      </c>
      <c r="AL282" s="55" t="s">
        <v>3095</v>
      </c>
      <c r="AM282" s="55" t="s">
        <v>3095</v>
      </c>
    </row>
    <row r="283" ht="45.0" customHeight="1">
      <c r="A283" s="55" t="s">
        <v>1233</v>
      </c>
      <c r="B283" s="55" t="s">
        <v>4465</v>
      </c>
      <c r="C283" s="55" t="str">
        <f>IMAGE("https://raw.githubusercontent.com/ltdimages/images/refs/heads/main/Coordinate0252_00.png")</f>
        <v/>
      </c>
      <c r="D283" s="55" t="str">
        <f>IMAGE("https://raw.githubusercontent.com/ltdimages/images/refs/heads/main/Coordinate0252_01.png")</f>
        <v/>
      </c>
      <c r="E283" s="55" t="str">
        <f>IMAGE("https://raw.githubusercontent.com/ltdimages/images/refs/heads/main/Coordinate0252_02.png")</f>
        <v/>
      </c>
      <c r="F283" s="55" t="str">
        <f>IMAGE("https://raw.githubusercontent.com/ltdimages/images/refs/heads/main/Coordinate0252_03.png")</f>
        <v/>
      </c>
      <c r="G283" s="55" t="str">
        <f>IMAGE("https://raw.githubusercontent.com/ltdimages/images/refs/heads/main/Coordinate0252_04.png")</f>
        <v/>
      </c>
      <c r="H283" s="55" t="str">
        <f>IMAGE("https://raw.githubusercontent.com/ltdimages/images/refs/heads/main/Coordinate0252_05.png")</f>
        <v/>
      </c>
      <c r="I283" s="56" t="str">
        <f>IMAGE("https://raw.githubusercontent.com/ltdimages/images/refs/heads/main/Coordinate0252_06.png")</f>
        <v/>
      </c>
      <c r="J283" s="55" t="str">
        <f>IMAGE("https://raw.githubusercontent.com/ltdimages/images/refs/heads/main/Coordinate0252_07.png")</f>
        <v/>
      </c>
      <c r="K283" s="20" t="s">
        <v>4466</v>
      </c>
      <c r="L283" s="20" t="s">
        <v>4231</v>
      </c>
      <c r="M283" s="55" t="s">
        <v>3131</v>
      </c>
      <c r="N283" s="55" t="s">
        <v>3114</v>
      </c>
      <c r="O283" s="55" t="s">
        <v>45</v>
      </c>
      <c r="P283" s="55" t="s">
        <v>45</v>
      </c>
      <c r="Q283" s="55" t="s">
        <v>45</v>
      </c>
      <c r="R283" s="55" t="s">
        <v>45</v>
      </c>
      <c r="S283" s="55" t="s">
        <v>45</v>
      </c>
      <c r="T283" s="55" t="s">
        <v>45</v>
      </c>
      <c r="U283" s="55" t="s">
        <v>3095</v>
      </c>
      <c r="V283" s="55" t="s">
        <v>4467</v>
      </c>
      <c r="W283" s="55" t="s">
        <v>3095</v>
      </c>
      <c r="X283" s="55" t="s">
        <v>4334</v>
      </c>
      <c r="Y283" s="55" t="s">
        <v>3095</v>
      </c>
      <c r="Z283" s="55" t="s">
        <v>4335</v>
      </c>
      <c r="AA283" s="55" t="s">
        <v>3222</v>
      </c>
      <c r="AB283" s="55" t="s">
        <v>3095</v>
      </c>
      <c r="AC283" s="55" t="s">
        <v>3110</v>
      </c>
      <c r="AD283" s="55" t="s">
        <v>4468</v>
      </c>
      <c r="AE283" s="55" t="s">
        <v>3095</v>
      </c>
      <c r="AF283" s="55" t="s">
        <v>3095</v>
      </c>
      <c r="AG283" s="55" t="s">
        <v>3095</v>
      </c>
      <c r="AH283" s="55" t="s">
        <v>3095</v>
      </c>
      <c r="AI283" s="55" t="s">
        <v>3095</v>
      </c>
      <c r="AJ283" s="55" t="s">
        <v>3095</v>
      </c>
      <c r="AK283" s="55" t="s">
        <v>3095</v>
      </c>
      <c r="AL283" s="55" t="s">
        <v>3095</v>
      </c>
      <c r="AM283" s="55" t="s">
        <v>3095</v>
      </c>
    </row>
    <row r="284" ht="45.0" customHeight="1">
      <c r="A284" s="55" t="s">
        <v>1237</v>
      </c>
      <c r="B284" s="55" t="s">
        <v>4469</v>
      </c>
      <c r="C284" s="55" t="str">
        <f>IMAGE("https://raw.githubusercontent.com/ltdimages/images/refs/heads/main/Coordinate0248_00.png")</f>
        <v/>
      </c>
      <c r="D284" s="55" t="str">
        <f>IMAGE("https://raw.githubusercontent.com/ltdimages/images/refs/heads/main/Coordinate0248_01.png")</f>
        <v/>
      </c>
      <c r="E284" s="55" t="str">
        <f>IMAGE("https://raw.githubusercontent.com/ltdimages/images/refs/heads/main/Coordinate0248_02.png")</f>
        <v/>
      </c>
      <c r="F284" s="55" t="str">
        <f>IMAGE("https://raw.githubusercontent.com/ltdimages/images/refs/heads/main/Coordinate0248_03.png")</f>
        <v/>
      </c>
      <c r="G284" s="55" t="str">
        <f>IMAGE("https://raw.githubusercontent.com/ltdimages/images/refs/heads/main/Coordinate0248_04.png")</f>
        <v/>
      </c>
      <c r="H284" s="55" t="str">
        <f>IMAGE("https://raw.githubusercontent.com/ltdimages/images/refs/heads/main/Coordinate0248_05.png")</f>
        <v/>
      </c>
      <c r="I284" s="56" t="str">
        <f>IMAGE("https://raw.githubusercontent.com/ltdimages/images/refs/heads/main/Coordinate0248_06.png")</f>
        <v/>
      </c>
      <c r="J284" s="55" t="str">
        <f>IMAGE("https://raw.githubusercontent.com/ltdimages/images/refs/heads/main/Coordinate0248_07.png")</f>
        <v/>
      </c>
      <c r="K284" s="20" t="s">
        <v>4470</v>
      </c>
      <c r="L284" s="20" t="s">
        <v>4231</v>
      </c>
      <c r="M284" s="55" t="s">
        <v>3131</v>
      </c>
      <c r="N284" s="55" t="s">
        <v>3099</v>
      </c>
      <c r="O284" s="55" t="s">
        <v>45</v>
      </c>
      <c r="P284" s="55" t="s">
        <v>45</v>
      </c>
      <c r="Q284" s="55" t="s">
        <v>45</v>
      </c>
      <c r="R284" s="55" t="s">
        <v>45</v>
      </c>
      <c r="S284" s="55" t="s">
        <v>45</v>
      </c>
      <c r="T284" s="55" t="s">
        <v>45</v>
      </c>
      <c r="U284" s="55" t="s">
        <v>3095</v>
      </c>
      <c r="V284" s="55" t="s">
        <v>4471</v>
      </c>
      <c r="W284" s="55" t="s">
        <v>3095</v>
      </c>
      <c r="X284" s="55" t="s">
        <v>3095</v>
      </c>
      <c r="Y284" s="55" t="s">
        <v>4391</v>
      </c>
      <c r="Z284" s="55" t="s">
        <v>4250</v>
      </c>
      <c r="AA284" s="55" t="s">
        <v>4286</v>
      </c>
      <c r="AB284" s="55" t="s">
        <v>3095</v>
      </c>
      <c r="AC284" s="55" t="s">
        <v>3110</v>
      </c>
      <c r="AD284" s="55" t="s">
        <v>4472</v>
      </c>
      <c r="AE284" s="55" t="s">
        <v>3095</v>
      </c>
      <c r="AF284" s="55" t="s">
        <v>3095</v>
      </c>
      <c r="AG284" s="55" t="s">
        <v>3095</v>
      </c>
      <c r="AH284" s="55" t="s">
        <v>3095</v>
      </c>
      <c r="AI284" s="55" t="s">
        <v>3095</v>
      </c>
      <c r="AJ284" s="55" t="s">
        <v>3095</v>
      </c>
      <c r="AK284" s="55" t="s">
        <v>3095</v>
      </c>
      <c r="AL284" s="55" t="s">
        <v>3095</v>
      </c>
      <c r="AM284" s="55" t="s">
        <v>3095</v>
      </c>
    </row>
    <row r="285" ht="45.0" customHeight="1">
      <c r="A285" s="55" t="s">
        <v>1241</v>
      </c>
      <c r="B285" s="55" t="s">
        <v>4473</v>
      </c>
      <c r="C285" s="55" t="str">
        <f>IMAGE("https://raw.githubusercontent.com/ltdimages/images/refs/heads/main/Coordinate0312_00.png")</f>
        <v/>
      </c>
      <c r="D285" s="55" t="str">
        <f>IMAGE("https://raw.githubusercontent.com/ltdimages/images/refs/heads/main/Coordinate0312_01.png")</f>
        <v/>
      </c>
      <c r="E285" s="55" t="str">
        <f>IMAGE("https://raw.githubusercontent.com/ltdimages/images/refs/heads/main/Coordinate0312_02.png")</f>
        <v/>
      </c>
      <c r="F285" s="55" t="str">
        <f>IMAGE("https://raw.githubusercontent.com/ltdimages/images/refs/heads/main/Coordinate0312_03.png")</f>
        <v/>
      </c>
      <c r="G285" s="55" t="str">
        <f>IMAGE("https://raw.githubusercontent.com/ltdimages/images/refs/heads/main/Coordinate0312_04.png")</f>
        <v/>
      </c>
      <c r="H285" s="55" t="str">
        <f>IMAGE("https://raw.githubusercontent.com/ltdimages/images/refs/heads/main/Coordinate0312_05.png")</f>
        <v/>
      </c>
      <c r="I285" s="56" t="str">
        <f>IMAGE("https://raw.githubusercontent.com/ltdimages/images/refs/heads/main/Coordinate0312_06.png")</f>
        <v/>
      </c>
      <c r="J285" s="55" t="str">
        <f>IMAGE("https://raw.githubusercontent.com/ltdimages/images/refs/heads/main/Coordinate0312_07.png")</f>
        <v/>
      </c>
      <c r="K285" s="20" t="s">
        <v>4474</v>
      </c>
      <c r="L285" s="20" t="s">
        <v>4231</v>
      </c>
      <c r="M285" s="55" t="s">
        <v>3098</v>
      </c>
      <c r="N285" s="55" t="s">
        <v>3099</v>
      </c>
      <c r="O285" s="55" t="s">
        <v>45</v>
      </c>
      <c r="P285" s="55" t="s">
        <v>45</v>
      </c>
      <c r="Q285" s="55" t="s">
        <v>45</v>
      </c>
      <c r="R285" s="55" t="s">
        <v>45</v>
      </c>
      <c r="S285" s="55" t="s">
        <v>45</v>
      </c>
      <c r="T285" s="55" t="s">
        <v>45</v>
      </c>
      <c r="U285" s="55" t="s">
        <v>4475</v>
      </c>
      <c r="V285" s="55" t="s">
        <v>3095</v>
      </c>
      <c r="W285" s="55" t="s">
        <v>3116</v>
      </c>
      <c r="X285" s="55" t="s">
        <v>3095</v>
      </c>
      <c r="Y285" s="55" t="s">
        <v>4234</v>
      </c>
      <c r="Z285" s="55" t="s">
        <v>4250</v>
      </c>
      <c r="AA285" s="55" t="s">
        <v>4302</v>
      </c>
      <c r="AB285" s="55" t="s">
        <v>3095</v>
      </c>
      <c r="AC285" s="55" t="s">
        <v>3103</v>
      </c>
      <c r="AD285" s="55" t="s">
        <v>4476</v>
      </c>
      <c r="AE285" s="55" t="s">
        <v>3095</v>
      </c>
      <c r="AF285" s="55" t="s">
        <v>3095</v>
      </c>
      <c r="AG285" s="55" t="s">
        <v>3095</v>
      </c>
      <c r="AH285" s="55" t="s">
        <v>3095</v>
      </c>
      <c r="AI285" s="55" t="s">
        <v>3095</v>
      </c>
      <c r="AJ285" s="55" t="s">
        <v>3095</v>
      </c>
      <c r="AK285" s="55" t="s">
        <v>3095</v>
      </c>
      <c r="AL285" s="55" t="s">
        <v>3095</v>
      </c>
      <c r="AM285" s="55" t="s">
        <v>3095</v>
      </c>
    </row>
    <row r="286" ht="45.0" customHeight="1">
      <c r="A286" s="55" t="s">
        <v>1245</v>
      </c>
      <c r="B286" s="55" t="s">
        <v>4477</v>
      </c>
      <c r="C286" s="55" t="str">
        <f>IMAGE("https://raw.githubusercontent.com/ltdimages/images/refs/heads/main/Coordinate0146_00.png")</f>
        <v/>
      </c>
      <c r="D286" s="55" t="str">
        <f>IMAGE("https://raw.githubusercontent.com/ltdimages/images/refs/heads/main/Coordinate0146_01.png")</f>
        <v/>
      </c>
      <c r="E286" s="55" t="str">
        <f>IMAGE("https://raw.githubusercontent.com/ltdimages/images/refs/heads/main/Coordinate0146_02.png")</f>
        <v/>
      </c>
      <c r="F286" s="55" t="str">
        <f>IMAGE("https://raw.githubusercontent.com/ltdimages/images/refs/heads/main/Coordinate0146_03.png")</f>
        <v/>
      </c>
      <c r="G286" s="55" t="s">
        <v>3095</v>
      </c>
      <c r="H286" s="55" t="s">
        <v>3095</v>
      </c>
      <c r="I286" s="56" t="s">
        <v>3095</v>
      </c>
      <c r="J286" s="55" t="s">
        <v>3095</v>
      </c>
      <c r="K286" s="20" t="s">
        <v>4478</v>
      </c>
      <c r="L286" s="20" t="s">
        <v>4231</v>
      </c>
      <c r="M286" s="55" t="s">
        <v>3131</v>
      </c>
      <c r="N286" s="55" t="s">
        <v>3099</v>
      </c>
      <c r="O286" s="55" t="s">
        <v>45</v>
      </c>
      <c r="P286" s="55" t="s">
        <v>45</v>
      </c>
      <c r="Q286" s="55" t="s">
        <v>45</v>
      </c>
      <c r="R286" s="55" t="s">
        <v>45</v>
      </c>
      <c r="S286" s="55" t="s">
        <v>45</v>
      </c>
      <c r="T286" s="55" t="s">
        <v>45</v>
      </c>
      <c r="U286" s="55" t="s">
        <v>3095</v>
      </c>
      <c r="V286" s="55" t="s">
        <v>4479</v>
      </c>
      <c r="W286" s="55" t="s">
        <v>3095</v>
      </c>
      <c r="X286" s="55" t="s">
        <v>4185</v>
      </c>
      <c r="Y286" s="55" t="s">
        <v>3095</v>
      </c>
      <c r="Z286" s="55" t="s">
        <v>3986</v>
      </c>
      <c r="AA286" s="55" t="s">
        <v>3341</v>
      </c>
      <c r="AB286" s="55" t="s">
        <v>3095</v>
      </c>
      <c r="AC286" s="55" t="s">
        <v>3110</v>
      </c>
      <c r="AD286" s="55" t="s">
        <v>4480</v>
      </c>
      <c r="AE286" s="55" t="s">
        <v>3095</v>
      </c>
      <c r="AF286" s="55" t="s">
        <v>3095</v>
      </c>
      <c r="AG286" s="55" t="s">
        <v>3095</v>
      </c>
      <c r="AH286" s="55" t="s">
        <v>3095</v>
      </c>
      <c r="AI286" s="55" t="s">
        <v>3095</v>
      </c>
      <c r="AJ286" s="55" t="s">
        <v>3095</v>
      </c>
      <c r="AK286" s="55" t="s">
        <v>3095</v>
      </c>
      <c r="AL286" s="55" t="s">
        <v>3095</v>
      </c>
      <c r="AM286" s="55" t="s">
        <v>3095</v>
      </c>
    </row>
    <row r="287" ht="45.0" customHeight="1">
      <c r="A287" s="55" t="s">
        <v>1249</v>
      </c>
      <c r="B287" s="55" t="s">
        <v>4481</v>
      </c>
      <c r="C287" s="55" t="str">
        <f>IMAGE("https://raw.githubusercontent.com/ltdimages/images/refs/heads/main/Coordinate0300_00.png")</f>
        <v/>
      </c>
      <c r="D287" s="55" t="str">
        <f>IMAGE("https://raw.githubusercontent.com/ltdimages/images/refs/heads/main/Coordinate0300_01.png")</f>
        <v/>
      </c>
      <c r="E287" s="55" t="str">
        <f>IMAGE("https://raw.githubusercontent.com/ltdimages/images/refs/heads/main/Coordinate0300_02.png")</f>
        <v/>
      </c>
      <c r="F287" s="55" t="str">
        <f>IMAGE("https://raw.githubusercontent.com/ltdimages/images/refs/heads/main/Coordinate0300_03.png")</f>
        <v/>
      </c>
      <c r="G287" s="55" t="str">
        <f>IMAGE("https://raw.githubusercontent.com/ltdimages/images/refs/heads/main/Coordinate0300_04.png")</f>
        <v/>
      </c>
      <c r="H287" s="55" t="str">
        <f>IMAGE("https://raw.githubusercontent.com/ltdimages/images/refs/heads/main/Coordinate0300_05.png")</f>
        <v/>
      </c>
      <c r="I287" s="56" t="str">
        <f>IMAGE("https://raw.githubusercontent.com/ltdimages/images/refs/heads/main/Coordinate0300_06.png")</f>
        <v/>
      </c>
      <c r="J287" s="55" t="s">
        <v>3095</v>
      </c>
      <c r="K287" s="20" t="s">
        <v>3313</v>
      </c>
      <c r="L287" s="20" t="s">
        <v>4231</v>
      </c>
      <c r="M287" s="55" t="s">
        <v>3098</v>
      </c>
      <c r="N287" s="55" t="s">
        <v>3114</v>
      </c>
      <c r="O287" s="55" t="s">
        <v>45</v>
      </c>
      <c r="P287" s="55" t="s">
        <v>45</v>
      </c>
      <c r="Q287" s="55" t="s">
        <v>45</v>
      </c>
      <c r="R287" s="55" t="s">
        <v>45</v>
      </c>
      <c r="S287" s="55" t="s">
        <v>45</v>
      </c>
      <c r="T287" s="55" t="s">
        <v>45</v>
      </c>
      <c r="U287" s="55" t="s">
        <v>4482</v>
      </c>
      <c r="V287" s="55" t="s">
        <v>3095</v>
      </c>
      <c r="W287" s="55" t="s">
        <v>3116</v>
      </c>
      <c r="X287" s="55" t="s">
        <v>3095</v>
      </c>
      <c r="Y287" s="55" t="s">
        <v>3991</v>
      </c>
      <c r="Z287" s="55" t="s">
        <v>4250</v>
      </c>
      <c r="AA287" s="55" t="s">
        <v>4297</v>
      </c>
      <c r="AB287" s="55" t="s">
        <v>3095</v>
      </c>
      <c r="AC287" s="55" t="s">
        <v>3103</v>
      </c>
      <c r="AD287" s="55" t="s">
        <v>4483</v>
      </c>
      <c r="AE287" s="55" t="s">
        <v>3095</v>
      </c>
      <c r="AF287" s="55" t="s">
        <v>3095</v>
      </c>
      <c r="AG287" s="55" t="s">
        <v>3095</v>
      </c>
      <c r="AH287" s="55" t="s">
        <v>3095</v>
      </c>
      <c r="AI287" s="55" t="s">
        <v>3095</v>
      </c>
      <c r="AJ287" s="55" t="s">
        <v>3095</v>
      </c>
      <c r="AK287" s="55" t="s">
        <v>3095</v>
      </c>
      <c r="AL287" s="55" t="s">
        <v>3095</v>
      </c>
      <c r="AM287" s="55" t="s">
        <v>3095</v>
      </c>
    </row>
    <row r="288" ht="45.0" customHeight="1">
      <c r="A288" s="55" t="s">
        <v>1253</v>
      </c>
      <c r="B288" s="55" t="s">
        <v>4484</v>
      </c>
      <c r="C288" s="55" t="str">
        <f>IMAGE("https://raw.githubusercontent.com/ltdimages/images/refs/heads/main/Coordinate0005_00.png")</f>
        <v/>
      </c>
      <c r="D288" s="55" t="str">
        <f>IMAGE("https://raw.githubusercontent.com/ltdimages/images/refs/heads/main/Coordinate0005_01.png")</f>
        <v/>
      </c>
      <c r="E288" s="55" t="str">
        <f>IMAGE("https://raw.githubusercontent.com/ltdimages/images/refs/heads/main/Coordinate0005_02.png")</f>
        <v/>
      </c>
      <c r="F288" s="55" t="str">
        <f>IMAGE("https://raw.githubusercontent.com/ltdimages/images/refs/heads/main/Coordinate0005_03.png")</f>
        <v/>
      </c>
      <c r="G288" s="55" t="str">
        <f>IMAGE("https://raw.githubusercontent.com/ltdimages/images/refs/heads/main/Coordinate0005_04.png")</f>
        <v/>
      </c>
      <c r="H288" s="55" t="str">
        <f>IMAGE("https://raw.githubusercontent.com/ltdimages/images/refs/heads/main/Coordinate0005_05.png")</f>
        <v/>
      </c>
      <c r="I288" s="56" t="str">
        <f>IMAGE("https://raw.githubusercontent.com/ltdimages/images/refs/heads/main/Coordinate0005_06.png")</f>
        <v/>
      </c>
      <c r="J288" s="55" t="str">
        <f>IMAGE("https://raw.githubusercontent.com/ltdimages/images/refs/heads/main/Coordinate0005_07.png")</f>
        <v/>
      </c>
      <c r="K288" s="20" t="s">
        <v>4485</v>
      </c>
      <c r="L288" s="20" t="s">
        <v>4231</v>
      </c>
      <c r="M288" s="55" t="s">
        <v>3131</v>
      </c>
      <c r="N288" s="55" t="s">
        <v>3099</v>
      </c>
      <c r="O288" s="55" t="s">
        <v>45</v>
      </c>
      <c r="P288" s="55" t="s">
        <v>45</v>
      </c>
      <c r="Q288" s="55" t="s">
        <v>45</v>
      </c>
      <c r="R288" s="55" t="s">
        <v>45</v>
      </c>
      <c r="S288" s="55" t="s">
        <v>45</v>
      </c>
      <c r="T288" s="55" t="s">
        <v>45</v>
      </c>
      <c r="U288" s="55" t="s">
        <v>4486</v>
      </c>
      <c r="V288" s="55" t="s">
        <v>3095</v>
      </c>
      <c r="W288" s="55" t="s">
        <v>4233</v>
      </c>
      <c r="X288" s="55" t="s">
        <v>4487</v>
      </c>
      <c r="Y288" s="55" t="s">
        <v>3095</v>
      </c>
      <c r="Z288" s="55" t="s">
        <v>3193</v>
      </c>
      <c r="AA288" s="55" t="s">
        <v>3222</v>
      </c>
      <c r="AB288" s="55" t="s">
        <v>3095</v>
      </c>
      <c r="AC288" s="55" t="s">
        <v>3103</v>
      </c>
      <c r="AD288" s="55" t="s">
        <v>4488</v>
      </c>
      <c r="AE288" s="55" t="s">
        <v>3095</v>
      </c>
      <c r="AF288" s="55" t="s">
        <v>3095</v>
      </c>
      <c r="AG288" s="55" t="s">
        <v>3095</v>
      </c>
      <c r="AH288" s="55" t="s">
        <v>3095</v>
      </c>
      <c r="AI288" s="55" t="s">
        <v>3095</v>
      </c>
      <c r="AJ288" s="55" t="s">
        <v>3095</v>
      </c>
      <c r="AK288" s="55" t="s">
        <v>3095</v>
      </c>
      <c r="AL288" s="55" t="s">
        <v>3095</v>
      </c>
      <c r="AM288" s="55" t="s">
        <v>3095</v>
      </c>
    </row>
    <row r="289" ht="45.0" customHeight="1">
      <c r="A289" s="55" t="s">
        <v>1258</v>
      </c>
      <c r="B289" s="55" t="s">
        <v>4489</v>
      </c>
      <c r="C289" s="55" t="str">
        <f>IMAGE("https://raw.githubusercontent.com/ltdimages/images/refs/heads/main/Coordinate0037_00.png")</f>
        <v/>
      </c>
      <c r="D289" s="55" t="str">
        <f>IMAGE("https://raw.githubusercontent.com/ltdimages/images/refs/heads/main/Coordinate0037_01.png")</f>
        <v/>
      </c>
      <c r="E289" s="55" t="str">
        <f>IMAGE("https://raw.githubusercontent.com/ltdimages/images/refs/heads/main/Coordinate0037_02.png")</f>
        <v/>
      </c>
      <c r="F289" s="55" t="str">
        <f>IMAGE("https://raw.githubusercontent.com/ltdimages/images/refs/heads/main/Coordinate0037_03.png")</f>
        <v/>
      </c>
      <c r="G289" s="55" t="str">
        <f>IMAGE("https://raw.githubusercontent.com/ltdimages/images/refs/heads/main/Coordinate0037_04.png")</f>
        <v/>
      </c>
      <c r="H289" s="55" t="str">
        <f>IMAGE("https://raw.githubusercontent.com/ltdimages/images/refs/heads/main/Coordinate0037_05.png")</f>
        <v/>
      </c>
      <c r="I289" s="56" t="s">
        <v>3095</v>
      </c>
      <c r="J289" s="55" t="s">
        <v>3095</v>
      </c>
      <c r="K289" s="20" t="s">
        <v>4490</v>
      </c>
      <c r="L289" s="20" t="s">
        <v>4231</v>
      </c>
      <c r="M289" s="55" t="s">
        <v>3131</v>
      </c>
      <c r="N289" s="55" t="s">
        <v>3099</v>
      </c>
      <c r="O289" s="55" t="s">
        <v>45</v>
      </c>
      <c r="P289" s="55" t="s">
        <v>45</v>
      </c>
      <c r="Q289" s="55" t="s">
        <v>45</v>
      </c>
      <c r="R289" s="55" t="s">
        <v>45</v>
      </c>
      <c r="S289" s="55" t="s">
        <v>45</v>
      </c>
      <c r="T289" s="55" t="s">
        <v>45</v>
      </c>
      <c r="U289" s="55" t="s">
        <v>4491</v>
      </c>
      <c r="V289" s="55" t="s">
        <v>3095</v>
      </c>
      <c r="W289" s="55" t="s">
        <v>4492</v>
      </c>
      <c r="X289" s="55" t="s">
        <v>3095</v>
      </c>
      <c r="Y289" s="55" t="s">
        <v>3095</v>
      </c>
      <c r="Z289" s="55" t="s">
        <v>4362</v>
      </c>
      <c r="AA289" s="55" t="s">
        <v>3211</v>
      </c>
      <c r="AB289" s="55" t="s">
        <v>3095</v>
      </c>
      <c r="AC289" s="55" t="s">
        <v>3103</v>
      </c>
      <c r="AD289" s="55" t="s">
        <v>4493</v>
      </c>
      <c r="AE289" s="55" t="s">
        <v>3095</v>
      </c>
      <c r="AF289" s="55" t="s">
        <v>3095</v>
      </c>
      <c r="AG289" s="55" t="s">
        <v>3095</v>
      </c>
      <c r="AH289" s="55" t="s">
        <v>3095</v>
      </c>
      <c r="AI289" s="55" t="s">
        <v>3095</v>
      </c>
      <c r="AJ289" s="55" t="s">
        <v>3095</v>
      </c>
      <c r="AK289" s="55" t="s">
        <v>3095</v>
      </c>
      <c r="AL289" s="55" t="s">
        <v>3095</v>
      </c>
      <c r="AM289" s="55" t="s">
        <v>3095</v>
      </c>
    </row>
    <row r="290" ht="45.0" customHeight="1">
      <c r="A290" s="55" t="s">
        <v>1262</v>
      </c>
      <c r="B290" s="55" t="s">
        <v>4494</v>
      </c>
      <c r="C290" s="55" t="str">
        <f>IMAGE("https://raw.githubusercontent.com/ltdimages/images/refs/heads/main/Coordinate0186_00.png")</f>
        <v/>
      </c>
      <c r="D290" s="55" t="str">
        <f>IMAGE("https://raw.githubusercontent.com/ltdimages/images/refs/heads/main/Coordinate0186_01.png")</f>
        <v/>
      </c>
      <c r="E290" s="55" t="str">
        <f>IMAGE("https://raw.githubusercontent.com/ltdimages/images/refs/heads/main/Coordinate0186_02.png")</f>
        <v/>
      </c>
      <c r="F290" s="55" t="str">
        <f>IMAGE("https://raw.githubusercontent.com/ltdimages/images/refs/heads/main/Coordinate0186_03.png")</f>
        <v/>
      </c>
      <c r="G290" s="55" t="str">
        <f>IMAGE("https://raw.githubusercontent.com/ltdimages/images/refs/heads/main/Coordinate0186_04.png")</f>
        <v/>
      </c>
      <c r="H290" s="55" t="str">
        <f>IMAGE("https://raw.githubusercontent.com/ltdimages/images/refs/heads/main/Coordinate0186_05.png")</f>
        <v/>
      </c>
      <c r="I290" s="56" t="str">
        <f>IMAGE("https://raw.githubusercontent.com/ltdimages/images/refs/heads/main/Coordinate0186_06.png")</f>
        <v/>
      </c>
      <c r="J290" s="55" t="str">
        <f>IMAGE("https://raw.githubusercontent.com/ltdimages/images/refs/heads/main/Coordinate0186_07.png")</f>
        <v/>
      </c>
      <c r="K290" s="20" t="s">
        <v>4495</v>
      </c>
      <c r="L290" s="20" t="s">
        <v>4231</v>
      </c>
      <c r="M290" s="55" t="s">
        <v>3131</v>
      </c>
      <c r="N290" s="55" t="s">
        <v>3099</v>
      </c>
      <c r="O290" s="55" t="s">
        <v>45</v>
      </c>
      <c r="P290" s="55" t="s">
        <v>45</v>
      </c>
      <c r="Q290" s="55" t="s">
        <v>45</v>
      </c>
      <c r="R290" s="55" t="s">
        <v>49</v>
      </c>
      <c r="S290" s="55" t="s">
        <v>45</v>
      </c>
      <c r="T290" s="55" t="s">
        <v>45</v>
      </c>
      <c r="U290" s="55" t="s">
        <v>3095</v>
      </c>
      <c r="V290" s="55" t="s">
        <v>4496</v>
      </c>
      <c r="W290" s="55" t="s">
        <v>3095</v>
      </c>
      <c r="X290" s="55" t="s">
        <v>4497</v>
      </c>
      <c r="Y290" s="55" t="s">
        <v>4498</v>
      </c>
      <c r="Z290" s="55" t="s">
        <v>3583</v>
      </c>
      <c r="AA290" s="55" t="s">
        <v>4315</v>
      </c>
      <c r="AB290" s="55" t="s">
        <v>3095</v>
      </c>
      <c r="AC290" s="55" t="s">
        <v>3110</v>
      </c>
      <c r="AD290" s="55" t="s">
        <v>4499</v>
      </c>
      <c r="AE290" s="55" t="s">
        <v>3095</v>
      </c>
      <c r="AF290" s="55" t="s">
        <v>3095</v>
      </c>
      <c r="AG290" s="55" t="s">
        <v>3095</v>
      </c>
      <c r="AH290" s="55" t="s">
        <v>3095</v>
      </c>
      <c r="AI290" s="55" t="s">
        <v>3095</v>
      </c>
      <c r="AJ290" s="55" t="s">
        <v>3095</v>
      </c>
      <c r="AK290" s="55" t="s">
        <v>3095</v>
      </c>
      <c r="AL290" s="55" t="s">
        <v>3095</v>
      </c>
      <c r="AM290" s="55" t="s">
        <v>3095</v>
      </c>
    </row>
    <row r="291" ht="45.0" customHeight="1">
      <c r="A291" s="55" t="s">
        <v>1266</v>
      </c>
      <c r="B291" s="55" t="s">
        <v>4500</v>
      </c>
      <c r="C291" s="55" t="str">
        <f>IMAGE("https://raw.githubusercontent.com/ltdimages/images/refs/heads/main/Coordinate0263_00.png")</f>
        <v/>
      </c>
      <c r="D291" s="55" t="str">
        <f>IMAGE("https://raw.githubusercontent.com/ltdimages/images/refs/heads/main/Coordinate0263_01.png")</f>
        <v/>
      </c>
      <c r="E291" s="55" t="str">
        <f>IMAGE("https://raw.githubusercontent.com/ltdimages/images/refs/heads/main/Coordinate0263_02.png")</f>
        <v/>
      </c>
      <c r="F291" s="55" t="str">
        <f>IMAGE("https://raw.githubusercontent.com/ltdimages/images/refs/heads/main/Coordinate0263_03.png")</f>
        <v/>
      </c>
      <c r="G291" s="55" t="str">
        <f>IMAGE("https://raw.githubusercontent.com/ltdimages/images/refs/heads/main/Coordinate0263_04.png")</f>
        <v/>
      </c>
      <c r="H291" s="55" t="str">
        <f>IMAGE("https://raw.githubusercontent.com/ltdimages/images/refs/heads/main/Coordinate0263_05.png")</f>
        <v/>
      </c>
      <c r="I291" s="56" t="s">
        <v>3095</v>
      </c>
      <c r="J291" s="55" t="s">
        <v>3095</v>
      </c>
      <c r="K291" s="20" t="s">
        <v>4501</v>
      </c>
      <c r="L291" s="20" t="s">
        <v>4231</v>
      </c>
      <c r="M291" s="55" t="s">
        <v>3131</v>
      </c>
      <c r="N291" s="55" t="s">
        <v>3099</v>
      </c>
      <c r="O291" s="55" t="s">
        <v>45</v>
      </c>
      <c r="P291" s="55" t="s">
        <v>45</v>
      </c>
      <c r="Q291" s="55" t="s">
        <v>45</v>
      </c>
      <c r="R291" s="55" t="s">
        <v>49</v>
      </c>
      <c r="S291" s="55" t="s">
        <v>45</v>
      </c>
      <c r="T291" s="55" t="s">
        <v>45</v>
      </c>
      <c r="U291" s="55" t="s">
        <v>3095</v>
      </c>
      <c r="V291" s="55" t="s">
        <v>4502</v>
      </c>
      <c r="W291" s="55" t="s">
        <v>3095</v>
      </c>
      <c r="X291" s="55" t="s">
        <v>4320</v>
      </c>
      <c r="Y291" s="55" t="s">
        <v>3095</v>
      </c>
      <c r="Z291" s="55" t="s">
        <v>4381</v>
      </c>
      <c r="AA291" s="55" t="s">
        <v>4315</v>
      </c>
      <c r="AB291" s="55" t="s">
        <v>3095</v>
      </c>
      <c r="AC291" s="55" t="s">
        <v>3110</v>
      </c>
      <c r="AD291" s="55" t="s">
        <v>4503</v>
      </c>
      <c r="AE291" s="55" t="s">
        <v>3095</v>
      </c>
      <c r="AF291" s="55" t="s">
        <v>3095</v>
      </c>
      <c r="AG291" s="55" t="s">
        <v>3095</v>
      </c>
      <c r="AH291" s="55" t="s">
        <v>3095</v>
      </c>
      <c r="AI291" s="55" t="s">
        <v>3095</v>
      </c>
      <c r="AJ291" s="55" t="s">
        <v>3095</v>
      </c>
      <c r="AK291" s="55" t="s">
        <v>3095</v>
      </c>
      <c r="AL291" s="55" t="s">
        <v>3095</v>
      </c>
      <c r="AM291" s="55" t="s">
        <v>3095</v>
      </c>
    </row>
    <row r="292" ht="45.0" customHeight="1">
      <c r="A292" s="55" t="s">
        <v>1270</v>
      </c>
      <c r="B292" s="55" t="s">
        <v>4504</v>
      </c>
      <c r="C292" s="55" t="str">
        <f>IMAGE("https://raw.githubusercontent.com/ltdimages/images/refs/heads/main/Coordinate0228_00.png")</f>
        <v/>
      </c>
      <c r="D292" s="55" t="str">
        <f>IMAGE("https://raw.githubusercontent.com/ltdimages/images/refs/heads/main/Coordinate0228_01.png")</f>
        <v/>
      </c>
      <c r="E292" s="55" t="str">
        <f>IMAGE("https://raw.githubusercontent.com/ltdimages/images/refs/heads/main/Coordinate0228_02.png")</f>
        <v/>
      </c>
      <c r="F292" s="55" t="str">
        <f>IMAGE("https://raw.githubusercontent.com/ltdimages/images/refs/heads/main/Coordinate0228_03.png")</f>
        <v/>
      </c>
      <c r="G292" s="55" t="s">
        <v>3095</v>
      </c>
      <c r="H292" s="55" t="s">
        <v>3095</v>
      </c>
      <c r="I292" s="56" t="s">
        <v>3095</v>
      </c>
      <c r="J292" s="55" t="s">
        <v>3095</v>
      </c>
      <c r="K292" s="20" t="s">
        <v>3437</v>
      </c>
      <c r="L292" s="20" t="s">
        <v>4231</v>
      </c>
      <c r="M292" s="55" t="s">
        <v>3131</v>
      </c>
      <c r="N292" s="55" t="s">
        <v>3123</v>
      </c>
      <c r="O292" s="55" t="s">
        <v>45</v>
      </c>
      <c r="P292" s="55" t="s">
        <v>45</v>
      </c>
      <c r="Q292" s="55" t="s">
        <v>45</v>
      </c>
      <c r="R292" s="55" t="s">
        <v>45</v>
      </c>
      <c r="S292" s="55" t="s">
        <v>49</v>
      </c>
      <c r="T292" s="55" t="s">
        <v>45</v>
      </c>
      <c r="U292" s="55" t="s">
        <v>3095</v>
      </c>
      <c r="V292" s="55" t="s">
        <v>4505</v>
      </c>
      <c r="W292" s="55" t="s">
        <v>3095</v>
      </c>
      <c r="X292" s="55" t="s">
        <v>4506</v>
      </c>
      <c r="Y292" s="55" t="s">
        <v>3095</v>
      </c>
      <c r="Z292" s="55" t="s">
        <v>3095</v>
      </c>
      <c r="AA292" s="55" t="s">
        <v>3305</v>
      </c>
      <c r="AB292" s="55" t="s">
        <v>3095</v>
      </c>
      <c r="AC292" s="55" t="s">
        <v>3110</v>
      </c>
      <c r="AD292" s="55" t="s">
        <v>4507</v>
      </c>
      <c r="AE292" s="55" t="s">
        <v>3095</v>
      </c>
      <c r="AF292" s="55" t="s">
        <v>3095</v>
      </c>
      <c r="AG292" s="55" t="s">
        <v>3095</v>
      </c>
      <c r="AH292" s="55" t="s">
        <v>3095</v>
      </c>
      <c r="AI292" s="55" t="s">
        <v>3095</v>
      </c>
      <c r="AJ292" s="55" t="s">
        <v>3095</v>
      </c>
      <c r="AK292" s="55" t="s">
        <v>3095</v>
      </c>
      <c r="AL292" s="55" t="s">
        <v>3095</v>
      </c>
      <c r="AM292" s="55" t="s">
        <v>3095</v>
      </c>
    </row>
    <row r="293" ht="45.0" customHeight="1">
      <c r="A293" s="55" t="s">
        <v>1274</v>
      </c>
      <c r="B293" s="55" t="s">
        <v>4508</v>
      </c>
      <c r="C293" s="55" t="str">
        <f>IMAGE("https://raw.githubusercontent.com/ltdimages/images/refs/heads/main/Coordinate0066_00.png")</f>
        <v/>
      </c>
      <c r="D293" s="55" t="str">
        <f>IMAGE("https://raw.githubusercontent.com/ltdimages/images/refs/heads/main/Coordinate0066_01.png")</f>
        <v/>
      </c>
      <c r="E293" s="55" t="str">
        <f>IMAGE("https://raw.githubusercontent.com/ltdimages/images/refs/heads/main/Coordinate0066_02.png")</f>
        <v/>
      </c>
      <c r="F293" s="55" t="str">
        <f>IMAGE("https://raw.githubusercontent.com/ltdimages/images/refs/heads/main/Coordinate0066_03.png")</f>
        <v/>
      </c>
      <c r="G293" s="55" t="s">
        <v>3095</v>
      </c>
      <c r="H293" s="55" t="s">
        <v>3095</v>
      </c>
      <c r="I293" s="56" t="s">
        <v>3095</v>
      </c>
      <c r="J293" s="55" t="s">
        <v>3095</v>
      </c>
      <c r="K293" s="20" t="s">
        <v>4509</v>
      </c>
      <c r="L293" s="20" t="s">
        <v>4231</v>
      </c>
      <c r="M293" s="55" t="s">
        <v>3131</v>
      </c>
      <c r="N293" s="55" t="s">
        <v>3099</v>
      </c>
      <c r="O293" s="55" t="s">
        <v>45</v>
      </c>
      <c r="P293" s="55" t="s">
        <v>45</v>
      </c>
      <c r="Q293" s="55" t="s">
        <v>45</v>
      </c>
      <c r="R293" s="55" t="s">
        <v>45</v>
      </c>
      <c r="S293" s="55" t="s">
        <v>45</v>
      </c>
      <c r="T293" s="55" t="s">
        <v>45</v>
      </c>
      <c r="U293" s="55" t="s">
        <v>4510</v>
      </c>
      <c r="V293" s="55" t="s">
        <v>3095</v>
      </c>
      <c r="W293" s="55" t="s">
        <v>4386</v>
      </c>
      <c r="X293" s="55" t="s">
        <v>4185</v>
      </c>
      <c r="Y293" s="55" t="s">
        <v>3095</v>
      </c>
      <c r="Z293" s="55" t="s">
        <v>3352</v>
      </c>
      <c r="AA293" s="55" t="s">
        <v>3211</v>
      </c>
      <c r="AB293" s="55" t="s">
        <v>3095</v>
      </c>
      <c r="AC293" s="55" t="s">
        <v>3103</v>
      </c>
      <c r="AD293" s="55" t="s">
        <v>4511</v>
      </c>
      <c r="AE293" s="55" t="s">
        <v>3095</v>
      </c>
      <c r="AF293" s="55" t="s">
        <v>3095</v>
      </c>
      <c r="AG293" s="55" t="s">
        <v>3095</v>
      </c>
      <c r="AH293" s="55" t="s">
        <v>3095</v>
      </c>
      <c r="AI293" s="55" t="s">
        <v>3095</v>
      </c>
      <c r="AJ293" s="55" t="s">
        <v>3095</v>
      </c>
      <c r="AK293" s="55" t="s">
        <v>3095</v>
      </c>
      <c r="AL293" s="55" t="s">
        <v>3095</v>
      </c>
      <c r="AM293" s="55" t="s">
        <v>3095</v>
      </c>
    </row>
    <row r="294" ht="45.0" customHeight="1">
      <c r="A294" s="55" t="s">
        <v>1278</v>
      </c>
      <c r="B294" s="55" t="s">
        <v>4512</v>
      </c>
      <c r="C294" s="55" t="str">
        <f>IMAGE("https://raw.githubusercontent.com/ltdimages/images/refs/heads/main/Coordinate0160_00.png")</f>
        <v/>
      </c>
      <c r="D294" s="55" t="str">
        <f>IMAGE("https://raw.githubusercontent.com/ltdimages/images/refs/heads/main/Coordinate0160_01.png")</f>
        <v/>
      </c>
      <c r="E294" s="55" t="str">
        <f>IMAGE("https://raw.githubusercontent.com/ltdimages/images/refs/heads/main/Coordinate0160_02.png")</f>
        <v/>
      </c>
      <c r="F294" s="55" t="str">
        <f>IMAGE("https://raw.githubusercontent.com/ltdimages/images/refs/heads/main/Coordinate0160_03.png")</f>
        <v/>
      </c>
      <c r="G294" s="55" t="str">
        <f>IMAGE("https://raw.githubusercontent.com/ltdimages/images/refs/heads/main/Coordinate0160_04.png")</f>
        <v/>
      </c>
      <c r="H294" s="55" t="str">
        <f>IMAGE("https://raw.githubusercontent.com/ltdimages/images/refs/heads/main/Coordinate0160_05.png")</f>
        <v/>
      </c>
      <c r="I294" s="56" t="str">
        <f>IMAGE("https://raw.githubusercontent.com/ltdimages/images/refs/heads/main/Coordinate0160_06.png")</f>
        <v/>
      </c>
      <c r="J294" s="55" t="str">
        <f>IMAGE("https://raw.githubusercontent.com/ltdimages/images/refs/heads/main/Coordinate0160_07.png")</f>
        <v/>
      </c>
      <c r="K294" s="20" t="s">
        <v>4513</v>
      </c>
      <c r="L294" s="20" t="s">
        <v>4231</v>
      </c>
      <c r="M294" s="55" t="s">
        <v>3131</v>
      </c>
      <c r="N294" s="55" t="s">
        <v>3099</v>
      </c>
      <c r="O294" s="55" t="s">
        <v>45</v>
      </c>
      <c r="P294" s="55" t="s">
        <v>45</v>
      </c>
      <c r="Q294" s="55" t="s">
        <v>45</v>
      </c>
      <c r="R294" s="55" t="s">
        <v>45</v>
      </c>
      <c r="S294" s="55" t="s">
        <v>45</v>
      </c>
      <c r="T294" s="55" t="s">
        <v>45</v>
      </c>
      <c r="U294" s="55" t="s">
        <v>3095</v>
      </c>
      <c r="V294" s="55" t="s">
        <v>4514</v>
      </c>
      <c r="W294" s="55" t="s">
        <v>3095</v>
      </c>
      <c r="X294" s="55" t="s">
        <v>4314</v>
      </c>
      <c r="Y294" s="55" t="s">
        <v>4002</v>
      </c>
      <c r="Z294" s="55" t="s">
        <v>4335</v>
      </c>
      <c r="AA294" s="55" t="s">
        <v>3135</v>
      </c>
      <c r="AB294" s="55" t="s">
        <v>3095</v>
      </c>
      <c r="AC294" s="55" t="s">
        <v>3110</v>
      </c>
      <c r="AD294" s="55" t="s">
        <v>4515</v>
      </c>
      <c r="AE294" s="55" t="s">
        <v>3095</v>
      </c>
      <c r="AF294" s="55" t="s">
        <v>3095</v>
      </c>
      <c r="AG294" s="55" t="s">
        <v>3095</v>
      </c>
      <c r="AH294" s="55" t="s">
        <v>3095</v>
      </c>
      <c r="AI294" s="55" t="s">
        <v>3095</v>
      </c>
      <c r="AJ294" s="55" t="s">
        <v>3095</v>
      </c>
      <c r="AK294" s="55" t="s">
        <v>3095</v>
      </c>
      <c r="AL294" s="55" t="s">
        <v>3095</v>
      </c>
      <c r="AM294" s="55" t="s">
        <v>3095</v>
      </c>
    </row>
    <row r="295" ht="45.0" customHeight="1">
      <c r="A295" s="55" t="s">
        <v>1282</v>
      </c>
      <c r="B295" s="55" t="s">
        <v>4516</v>
      </c>
      <c r="C295" s="55" t="str">
        <f>IMAGE("https://raw.githubusercontent.com/ltdimages/images/refs/heads/main/Coordinate0049_00.png")</f>
        <v/>
      </c>
      <c r="D295" s="55" t="str">
        <f>IMAGE("https://raw.githubusercontent.com/ltdimages/images/refs/heads/main/Coordinate0049_01.png")</f>
        <v/>
      </c>
      <c r="E295" s="55" t="str">
        <f>IMAGE("https://raw.githubusercontent.com/ltdimages/images/refs/heads/main/Coordinate0049_02.png")</f>
        <v/>
      </c>
      <c r="F295" s="55" t="str">
        <f>IMAGE("https://raw.githubusercontent.com/ltdimages/images/refs/heads/main/Coordinate0049_03.png")</f>
        <v/>
      </c>
      <c r="G295" s="55" t="s">
        <v>3095</v>
      </c>
      <c r="H295" s="55" t="s">
        <v>3095</v>
      </c>
      <c r="I295" s="56" t="s">
        <v>3095</v>
      </c>
      <c r="J295" s="55" t="s">
        <v>3095</v>
      </c>
      <c r="K295" s="20" t="s">
        <v>4517</v>
      </c>
      <c r="L295" s="20" t="s">
        <v>4231</v>
      </c>
      <c r="M295" s="55" t="s">
        <v>3131</v>
      </c>
      <c r="N295" s="55" t="s">
        <v>3114</v>
      </c>
      <c r="O295" s="55" t="s">
        <v>45</v>
      </c>
      <c r="P295" s="55" t="s">
        <v>45</v>
      </c>
      <c r="Q295" s="55" t="s">
        <v>45</v>
      </c>
      <c r="R295" s="55" t="s">
        <v>45</v>
      </c>
      <c r="S295" s="55" t="s">
        <v>45</v>
      </c>
      <c r="T295" s="55" t="s">
        <v>45</v>
      </c>
      <c r="U295" s="55" t="s">
        <v>4518</v>
      </c>
      <c r="V295" s="55" t="s">
        <v>3095</v>
      </c>
      <c r="W295" s="55" t="s">
        <v>4519</v>
      </c>
      <c r="X295" s="55" t="s">
        <v>3095</v>
      </c>
      <c r="Y295" s="55" t="s">
        <v>3095</v>
      </c>
      <c r="Z295" s="55" t="s">
        <v>4244</v>
      </c>
      <c r="AA295" s="55" t="s">
        <v>4103</v>
      </c>
      <c r="AB295" s="55" t="s">
        <v>3095</v>
      </c>
      <c r="AC295" s="55" t="s">
        <v>3103</v>
      </c>
      <c r="AD295" s="55" t="s">
        <v>4520</v>
      </c>
      <c r="AE295" s="55" t="s">
        <v>3095</v>
      </c>
      <c r="AF295" s="55" t="s">
        <v>3095</v>
      </c>
      <c r="AG295" s="55" t="s">
        <v>3095</v>
      </c>
      <c r="AH295" s="55" t="s">
        <v>3095</v>
      </c>
      <c r="AI295" s="55" t="s">
        <v>3095</v>
      </c>
      <c r="AJ295" s="55" t="s">
        <v>3095</v>
      </c>
      <c r="AK295" s="55" t="s">
        <v>3095</v>
      </c>
      <c r="AL295" s="55" t="s">
        <v>3095</v>
      </c>
      <c r="AM295" s="55" t="s">
        <v>3095</v>
      </c>
    </row>
    <row r="296" ht="45.0" customHeight="1">
      <c r="A296" s="55" t="s">
        <v>1286</v>
      </c>
      <c r="B296" s="55" t="s">
        <v>4521</v>
      </c>
      <c r="C296" s="55" t="str">
        <f>IMAGE("https://raw.githubusercontent.com/ltdimages/images/refs/heads/main/Coordinate0322_00.png")</f>
        <v/>
      </c>
      <c r="D296" s="55" t="str">
        <f>IMAGE("https://raw.githubusercontent.com/ltdimages/images/refs/heads/main/Coordinate0322_01.png")</f>
        <v/>
      </c>
      <c r="E296" s="55" t="str">
        <f>IMAGE("https://raw.githubusercontent.com/ltdimages/images/refs/heads/main/Coordinate0322_02.png")</f>
        <v/>
      </c>
      <c r="F296" s="55" t="s">
        <v>3095</v>
      </c>
      <c r="G296" s="55" t="s">
        <v>3095</v>
      </c>
      <c r="H296" s="55" t="s">
        <v>3095</v>
      </c>
      <c r="I296" s="56" t="s">
        <v>3095</v>
      </c>
      <c r="J296" s="55" t="s">
        <v>3095</v>
      </c>
      <c r="K296" s="20" t="s">
        <v>4522</v>
      </c>
      <c r="L296" s="20" t="s">
        <v>4231</v>
      </c>
      <c r="M296" s="55" t="s">
        <v>3131</v>
      </c>
      <c r="N296" s="55" t="s">
        <v>3099</v>
      </c>
      <c r="O296" s="55" t="s">
        <v>45</v>
      </c>
      <c r="P296" s="55" t="s">
        <v>45</v>
      </c>
      <c r="Q296" s="55" t="s">
        <v>45</v>
      </c>
      <c r="R296" s="55" t="s">
        <v>49</v>
      </c>
      <c r="S296" s="55" t="s">
        <v>45</v>
      </c>
      <c r="T296" s="55" t="s">
        <v>45</v>
      </c>
      <c r="U296" s="55" t="s">
        <v>3095</v>
      </c>
      <c r="V296" s="55" t="s">
        <v>4523</v>
      </c>
      <c r="W296" s="55" t="s">
        <v>3095</v>
      </c>
      <c r="X296" s="55" t="s">
        <v>4524</v>
      </c>
      <c r="Y296" s="55" t="s">
        <v>3095</v>
      </c>
      <c r="Z296" s="55" t="s">
        <v>3164</v>
      </c>
      <c r="AA296" s="55" t="s">
        <v>3901</v>
      </c>
      <c r="AB296" s="55" t="s">
        <v>3095</v>
      </c>
      <c r="AC296" s="55" t="s">
        <v>3110</v>
      </c>
      <c r="AD296" s="55" t="s">
        <v>4525</v>
      </c>
      <c r="AE296" s="55" t="s">
        <v>3095</v>
      </c>
      <c r="AF296" s="55" t="s">
        <v>3095</v>
      </c>
      <c r="AG296" s="55" t="s">
        <v>3095</v>
      </c>
      <c r="AH296" s="55" t="s">
        <v>3095</v>
      </c>
      <c r="AI296" s="55" t="s">
        <v>3095</v>
      </c>
      <c r="AJ296" s="55" t="s">
        <v>3095</v>
      </c>
      <c r="AK296" s="55" t="s">
        <v>3095</v>
      </c>
      <c r="AL296" s="55" t="s">
        <v>3095</v>
      </c>
      <c r="AM296" s="55" t="s">
        <v>3095</v>
      </c>
    </row>
    <row r="297" ht="45.0" customHeight="1">
      <c r="A297" s="55" t="s">
        <v>1290</v>
      </c>
      <c r="B297" s="55" t="s">
        <v>4526</v>
      </c>
      <c r="C297" s="55" t="str">
        <f>IMAGE("https://raw.githubusercontent.com/ltdimages/images/refs/heads/main/Coordinate0058_00.png")</f>
        <v/>
      </c>
      <c r="D297" s="55" t="str">
        <f>IMAGE("https://raw.githubusercontent.com/ltdimages/images/refs/heads/main/Coordinate0058_01.png")</f>
        <v/>
      </c>
      <c r="E297" s="55" t="str">
        <f>IMAGE("https://raw.githubusercontent.com/ltdimages/images/refs/heads/main/Coordinate0058_02.png")</f>
        <v/>
      </c>
      <c r="F297" s="55" t="str">
        <f>IMAGE("https://raw.githubusercontent.com/ltdimages/images/refs/heads/main/Coordinate0058_03.png")</f>
        <v/>
      </c>
      <c r="G297" s="55" t="str">
        <f>IMAGE("https://raw.githubusercontent.com/ltdimages/images/refs/heads/main/Coordinate0058_04.png")</f>
        <v/>
      </c>
      <c r="H297" s="55" t="str">
        <f>IMAGE("https://raw.githubusercontent.com/ltdimages/images/refs/heads/main/Coordinate0058_05.png")</f>
        <v/>
      </c>
      <c r="I297" s="56" t="s">
        <v>3095</v>
      </c>
      <c r="J297" s="55" t="s">
        <v>3095</v>
      </c>
      <c r="K297" s="20" t="s">
        <v>4527</v>
      </c>
      <c r="L297" s="20" t="s">
        <v>4231</v>
      </c>
      <c r="M297" s="55" t="s">
        <v>3131</v>
      </c>
      <c r="N297" s="55" t="s">
        <v>3099</v>
      </c>
      <c r="O297" s="55" t="s">
        <v>45</v>
      </c>
      <c r="P297" s="55" t="s">
        <v>45</v>
      </c>
      <c r="Q297" s="55" t="s">
        <v>45</v>
      </c>
      <c r="R297" s="55" t="s">
        <v>45</v>
      </c>
      <c r="S297" s="55" t="s">
        <v>45</v>
      </c>
      <c r="T297" s="55" t="s">
        <v>45</v>
      </c>
      <c r="U297" s="55" t="s">
        <v>3095</v>
      </c>
      <c r="V297" s="55" t="s">
        <v>4528</v>
      </c>
      <c r="W297" s="55" t="s">
        <v>3095</v>
      </c>
      <c r="X297" s="55" t="s">
        <v>4529</v>
      </c>
      <c r="Y297" s="55" t="s">
        <v>3095</v>
      </c>
      <c r="Z297" s="55" t="s">
        <v>4381</v>
      </c>
      <c r="AA297" s="55" t="s">
        <v>4530</v>
      </c>
      <c r="AB297" s="55" t="s">
        <v>3095</v>
      </c>
      <c r="AC297" s="55" t="s">
        <v>3110</v>
      </c>
      <c r="AD297" s="55" t="s">
        <v>4531</v>
      </c>
      <c r="AE297" s="55" t="s">
        <v>3095</v>
      </c>
      <c r="AF297" s="55" t="s">
        <v>3095</v>
      </c>
      <c r="AG297" s="55" t="s">
        <v>3095</v>
      </c>
      <c r="AH297" s="55" t="s">
        <v>3095</v>
      </c>
      <c r="AI297" s="55" t="s">
        <v>3095</v>
      </c>
      <c r="AJ297" s="55" t="s">
        <v>3095</v>
      </c>
      <c r="AK297" s="55" t="s">
        <v>3095</v>
      </c>
      <c r="AL297" s="55" t="s">
        <v>3095</v>
      </c>
      <c r="AM297" s="55" t="s">
        <v>3095</v>
      </c>
    </row>
    <row r="298" ht="45.0" customHeight="1">
      <c r="A298" s="55" t="s">
        <v>1295</v>
      </c>
      <c r="B298" s="55" t="s">
        <v>4532</v>
      </c>
      <c r="C298" s="55" t="str">
        <f>IMAGE("https://raw.githubusercontent.com/ltdimages/images/refs/heads/main/Coordinate0061_00.png")</f>
        <v/>
      </c>
      <c r="D298" s="55" t="str">
        <f>IMAGE("https://raw.githubusercontent.com/ltdimages/images/refs/heads/main/Coordinate0061_01.png")</f>
        <v/>
      </c>
      <c r="E298" s="55" t="str">
        <f>IMAGE("https://raw.githubusercontent.com/ltdimages/images/refs/heads/main/Coordinate0061_02.png")</f>
        <v/>
      </c>
      <c r="F298" s="55" t="str">
        <f>IMAGE("https://raw.githubusercontent.com/ltdimages/images/refs/heads/main/Coordinate0061_03.png")</f>
        <v/>
      </c>
      <c r="G298" s="55" t="str">
        <f>IMAGE("https://raw.githubusercontent.com/ltdimages/images/refs/heads/main/Coordinate0061_04.png")</f>
        <v/>
      </c>
      <c r="H298" s="55" t="str">
        <f>IMAGE("https://raw.githubusercontent.com/ltdimages/images/refs/heads/main/Coordinate0061_05.png")</f>
        <v/>
      </c>
      <c r="I298" s="56" t="str">
        <f>IMAGE("https://raw.githubusercontent.com/ltdimages/images/refs/heads/main/Coordinate0061_06.png")</f>
        <v/>
      </c>
      <c r="J298" s="55" t="s">
        <v>3095</v>
      </c>
      <c r="K298" s="20" t="s">
        <v>4533</v>
      </c>
      <c r="L298" s="20" t="s">
        <v>4231</v>
      </c>
      <c r="M298" s="55" t="s">
        <v>3131</v>
      </c>
      <c r="N298" s="55" t="s">
        <v>3099</v>
      </c>
      <c r="O298" s="55" t="s">
        <v>45</v>
      </c>
      <c r="P298" s="55" t="s">
        <v>45</v>
      </c>
      <c r="Q298" s="55" t="s">
        <v>45</v>
      </c>
      <c r="R298" s="55" t="s">
        <v>45</v>
      </c>
      <c r="S298" s="55" t="s">
        <v>45</v>
      </c>
      <c r="T298" s="55" t="s">
        <v>45</v>
      </c>
      <c r="U298" s="55" t="s">
        <v>3095</v>
      </c>
      <c r="V298" s="55" t="s">
        <v>4534</v>
      </c>
      <c r="W298" s="55" t="s">
        <v>3095</v>
      </c>
      <c r="X298" s="55" t="s">
        <v>3095</v>
      </c>
      <c r="Y298" s="55" t="s">
        <v>3163</v>
      </c>
      <c r="Z298" s="55" t="s">
        <v>4250</v>
      </c>
      <c r="AA298" s="55" t="s">
        <v>4297</v>
      </c>
      <c r="AB298" s="55" t="s">
        <v>3095</v>
      </c>
      <c r="AC298" s="55" t="s">
        <v>3110</v>
      </c>
      <c r="AD298" s="55" t="s">
        <v>4535</v>
      </c>
      <c r="AE298" s="55" t="s">
        <v>3095</v>
      </c>
      <c r="AF298" s="55" t="s">
        <v>3095</v>
      </c>
      <c r="AG298" s="55" t="s">
        <v>3095</v>
      </c>
      <c r="AH298" s="55" t="s">
        <v>3095</v>
      </c>
      <c r="AI298" s="55" t="s">
        <v>3095</v>
      </c>
      <c r="AJ298" s="55" t="s">
        <v>3095</v>
      </c>
      <c r="AK298" s="55" t="s">
        <v>3095</v>
      </c>
      <c r="AL298" s="55" t="s">
        <v>3095</v>
      </c>
      <c r="AM298" s="55" t="s">
        <v>3095</v>
      </c>
    </row>
    <row r="299" ht="45.0" customHeight="1">
      <c r="A299" s="55" t="s">
        <v>1299</v>
      </c>
      <c r="B299" s="55" t="s">
        <v>4536</v>
      </c>
      <c r="C299" s="55" t="str">
        <f>IMAGE("https://raw.githubusercontent.com/ltdimages/images/refs/heads/main/Coordinate0060_00.png")</f>
        <v/>
      </c>
      <c r="D299" s="55" t="str">
        <f>IMAGE("https://raw.githubusercontent.com/ltdimages/images/refs/heads/main/Coordinate0060_01.png")</f>
        <v/>
      </c>
      <c r="E299" s="55" t="str">
        <f>IMAGE("https://raw.githubusercontent.com/ltdimages/images/refs/heads/main/Coordinate0060_02.png")</f>
        <v/>
      </c>
      <c r="F299" s="55" t="str">
        <f>IMAGE("https://raw.githubusercontent.com/ltdimages/images/refs/heads/main/Coordinate0060_03.png")</f>
        <v/>
      </c>
      <c r="G299" s="55" t="s">
        <v>3095</v>
      </c>
      <c r="H299" s="55" t="s">
        <v>3095</v>
      </c>
      <c r="I299" s="56" t="s">
        <v>3095</v>
      </c>
      <c r="J299" s="55" t="s">
        <v>3095</v>
      </c>
      <c r="K299" s="20" t="s">
        <v>4537</v>
      </c>
      <c r="L299" s="20" t="s">
        <v>4231</v>
      </c>
      <c r="M299" s="55" t="s">
        <v>3131</v>
      </c>
      <c r="N299" s="55" t="s">
        <v>3099</v>
      </c>
      <c r="O299" s="55" t="s">
        <v>45</v>
      </c>
      <c r="P299" s="55" t="s">
        <v>45</v>
      </c>
      <c r="Q299" s="55" t="s">
        <v>45</v>
      </c>
      <c r="R299" s="55" t="s">
        <v>45</v>
      </c>
      <c r="S299" s="55" t="s">
        <v>45</v>
      </c>
      <c r="T299" s="55" t="s">
        <v>45</v>
      </c>
      <c r="U299" s="55" t="s">
        <v>4115</v>
      </c>
      <c r="V299" s="55" t="s">
        <v>3095</v>
      </c>
      <c r="W299" s="55" t="s">
        <v>4328</v>
      </c>
      <c r="X299" s="55" t="s">
        <v>4275</v>
      </c>
      <c r="Y299" s="55" t="s">
        <v>3095</v>
      </c>
      <c r="Z299" s="55" t="s">
        <v>3352</v>
      </c>
      <c r="AA299" s="55" t="s">
        <v>3157</v>
      </c>
      <c r="AB299" s="55" t="s">
        <v>3095</v>
      </c>
      <c r="AC299" s="55" t="s">
        <v>4287</v>
      </c>
      <c r="AD299" s="55" t="s">
        <v>4538</v>
      </c>
      <c r="AE299" s="55" t="s">
        <v>3095</v>
      </c>
      <c r="AF299" s="55" t="s">
        <v>3095</v>
      </c>
      <c r="AG299" s="55" t="s">
        <v>3095</v>
      </c>
      <c r="AH299" s="55" t="s">
        <v>3095</v>
      </c>
      <c r="AI299" s="55" t="s">
        <v>3095</v>
      </c>
      <c r="AJ299" s="55" t="s">
        <v>3095</v>
      </c>
      <c r="AK299" s="55" t="s">
        <v>3095</v>
      </c>
      <c r="AL299" s="55" t="s">
        <v>3095</v>
      </c>
      <c r="AM299" s="55" t="s">
        <v>3095</v>
      </c>
    </row>
    <row r="300" ht="45.0" customHeight="1">
      <c r="A300" s="55" t="s">
        <v>1304</v>
      </c>
      <c r="B300" s="55" t="s">
        <v>4539</v>
      </c>
      <c r="C300" s="55" t="str">
        <f>IMAGE("https://raw.githubusercontent.com/ltdimages/images/refs/heads/main/Coordinate0183_00.png")</f>
        <v/>
      </c>
      <c r="D300" s="55" t="str">
        <f>IMAGE("https://raw.githubusercontent.com/ltdimages/images/refs/heads/main/Coordinate0183_01.png")</f>
        <v/>
      </c>
      <c r="E300" s="55" t="str">
        <f>IMAGE("https://raw.githubusercontent.com/ltdimages/images/refs/heads/main/Coordinate0183_02.png")</f>
        <v/>
      </c>
      <c r="F300" s="55" t="str">
        <f>IMAGE("https://raw.githubusercontent.com/ltdimages/images/refs/heads/main/Coordinate0183_03.png")</f>
        <v/>
      </c>
      <c r="G300" s="55" t="str">
        <f>IMAGE("https://raw.githubusercontent.com/ltdimages/images/refs/heads/main/Coordinate0183_04.png")</f>
        <v/>
      </c>
      <c r="H300" s="55" t="str">
        <f>IMAGE("https://raw.githubusercontent.com/ltdimages/images/refs/heads/main/Coordinate0183_05.png")</f>
        <v/>
      </c>
      <c r="I300" s="56" t="s">
        <v>3095</v>
      </c>
      <c r="J300" s="55" t="s">
        <v>3095</v>
      </c>
      <c r="K300" s="20" t="s">
        <v>4540</v>
      </c>
      <c r="L300" s="20" t="s">
        <v>4231</v>
      </c>
      <c r="M300" s="55" t="s">
        <v>3131</v>
      </c>
      <c r="N300" s="55" t="s">
        <v>3099</v>
      </c>
      <c r="O300" s="55" t="s">
        <v>45</v>
      </c>
      <c r="P300" s="55" t="s">
        <v>45</v>
      </c>
      <c r="Q300" s="55" t="s">
        <v>45</v>
      </c>
      <c r="R300" s="55" t="s">
        <v>45</v>
      </c>
      <c r="S300" s="55" t="s">
        <v>45</v>
      </c>
      <c r="T300" s="55" t="s">
        <v>45</v>
      </c>
      <c r="U300" s="55" t="s">
        <v>3095</v>
      </c>
      <c r="V300" s="55" t="s">
        <v>4541</v>
      </c>
      <c r="W300" s="55" t="s">
        <v>3095</v>
      </c>
      <c r="X300" s="55" t="s">
        <v>4314</v>
      </c>
      <c r="Y300" s="55" t="s">
        <v>3095</v>
      </c>
      <c r="Z300" s="55" t="s">
        <v>3118</v>
      </c>
      <c r="AA300" s="55" t="s">
        <v>3506</v>
      </c>
      <c r="AB300" s="55" t="s">
        <v>3095</v>
      </c>
      <c r="AC300" s="55" t="s">
        <v>3110</v>
      </c>
      <c r="AD300" s="55" t="s">
        <v>4542</v>
      </c>
      <c r="AE300" s="55" t="s">
        <v>3095</v>
      </c>
      <c r="AF300" s="55" t="s">
        <v>3095</v>
      </c>
      <c r="AG300" s="55" t="s">
        <v>3095</v>
      </c>
      <c r="AH300" s="55" t="s">
        <v>3095</v>
      </c>
      <c r="AI300" s="55" t="s">
        <v>3095</v>
      </c>
      <c r="AJ300" s="55" t="s">
        <v>3095</v>
      </c>
      <c r="AK300" s="55" t="s">
        <v>3095</v>
      </c>
      <c r="AL300" s="55" t="s">
        <v>3095</v>
      </c>
      <c r="AM300" s="55" t="s">
        <v>3095</v>
      </c>
    </row>
    <row r="301" ht="45.0" customHeight="1">
      <c r="A301" s="55" t="s">
        <v>1308</v>
      </c>
      <c r="B301" s="55" t="s">
        <v>4543</v>
      </c>
      <c r="C301" s="55" t="str">
        <f>IMAGE("https://raw.githubusercontent.com/ltdimages/images/refs/heads/main/Coordinate0208_00.png")</f>
        <v/>
      </c>
      <c r="D301" s="55" t="str">
        <f>IMAGE("https://raw.githubusercontent.com/ltdimages/images/refs/heads/main/Coordinate0208_01.png")</f>
        <v/>
      </c>
      <c r="E301" s="55" t="str">
        <f>IMAGE("https://raw.githubusercontent.com/ltdimages/images/refs/heads/main/Coordinate0208_02.png")</f>
        <v/>
      </c>
      <c r="F301" s="55" t="str">
        <f>IMAGE("https://raw.githubusercontent.com/ltdimages/images/refs/heads/main/Coordinate0208_03.png")</f>
        <v/>
      </c>
      <c r="G301" s="55" t="str">
        <f>IMAGE("https://raw.githubusercontent.com/ltdimages/images/refs/heads/main/Coordinate0208_04.png")</f>
        <v/>
      </c>
      <c r="H301" s="55" t="str">
        <f>IMAGE("https://raw.githubusercontent.com/ltdimages/images/refs/heads/main/Coordinate0208_05.png")</f>
        <v/>
      </c>
      <c r="I301" s="56" t="s">
        <v>3095</v>
      </c>
      <c r="J301" s="55" t="s">
        <v>3095</v>
      </c>
      <c r="K301" s="20" t="s">
        <v>4544</v>
      </c>
      <c r="L301" s="20" t="s">
        <v>4231</v>
      </c>
      <c r="M301" s="55" t="s">
        <v>3131</v>
      </c>
      <c r="N301" s="55" t="s">
        <v>3099</v>
      </c>
      <c r="O301" s="55" t="s">
        <v>45</v>
      </c>
      <c r="P301" s="55" t="s">
        <v>45</v>
      </c>
      <c r="Q301" s="55" t="s">
        <v>45</v>
      </c>
      <c r="R301" s="55" t="s">
        <v>45</v>
      </c>
      <c r="S301" s="55" t="s">
        <v>45</v>
      </c>
      <c r="T301" s="55" t="s">
        <v>45</v>
      </c>
      <c r="U301" s="55" t="s">
        <v>3095</v>
      </c>
      <c r="V301" s="55" t="s">
        <v>4545</v>
      </c>
      <c r="W301" s="55" t="s">
        <v>3095</v>
      </c>
      <c r="X301" s="55" t="s">
        <v>4334</v>
      </c>
      <c r="Y301" s="55" t="s">
        <v>3095</v>
      </c>
      <c r="Z301" s="55" t="s">
        <v>4546</v>
      </c>
      <c r="AA301" s="55" t="s">
        <v>4315</v>
      </c>
      <c r="AB301" s="55" t="s">
        <v>3095</v>
      </c>
      <c r="AC301" s="55" t="s">
        <v>3110</v>
      </c>
      <c r="AD301" s="55" t="s">
        <v>4547</v>
      </c>
      <c r="AE301" s="55" t="s">
        <v>3095</v>
      </c>
      <c r="AF301" s="55" t="s">
        <v>3095</v>
      </c>
      <c r="AG301" s="55" t="s">
        <v>3095</v>
      </c>
      <c r="AH301" s="55" t="s">
        <v>3095</v>
      </c>
      <c r="AI301" s="55" t="s">
        <v>3095</v>
      </c>
      <c r="AJ301" s="55" t="s">
        <v>3095</v>
      </c>
      <c r="AK301" s="55" t="s">
        <v>3095</v>
      </c>
      <c r="AL301" s="55" t="s">
        <v>3095</v>
      </c>
      <c r="AM301" s="55" t="s">
        <v>3095</v>
      </c>
    </row>
    <row r="302" ht="45.0" customHeight="1">
      <c r="A302" s="55" t="s">
        <v>1314</v>
      </c>
      <c r="B302" s="55" t="s">
        <v>4548</v>
      </c>
      <c r="C302" s="55" t="str">
        <f>IMAGE("https://raw.githubusercontent.com/ltdimages/images/refs/heads/main/Coordinate0138_00.png")</f>
        <v/>
      </c>
      <c r="D302" s="55" t="str">
        <f>IMAGE("https://raw.githubusercontent.com/ltdimages/images/refs/heads/main/Coordinate0138_01.png")</f>
        <v/>
      </c>
      <c r="E302" s="55" t="str">
        <f>IMAGE("https://raw.githubusercontent.com/ltdimages/images/refs/heads/main/Coordinate0138_02.png")</f>
        <v/>
      </c>
      <c r="F302" s="55" t="str">
        <f>IMAGE("https://raw.githubusercontent.com/ltdimages/images/refs/heads/main/Coordinate0138_03.png")</f>
        <v/>
      </c>
      <c r="G302" s="55" t="str">
        <f>IMAGE("https://raw.githubusercontent.com/ltdimages/images/refs/heads/main/Coordinate0138_04.png")</f>
        <v/>
      </c>
      <c r="H302" s="55" t="str">
        <f>IMAGE("https://raw.githubusercontent.com/ltdimages/images/refs/heads/main/Coordinate0138_05.png")</f>
        <v/>
      </c>
      <c r="I302" s="56" t="str">
        <f>IMAGE("https://raw.githubusercontent.com/ltdimages/images/refs/heads/main/Coordinate0138_06.png")</f>
        <v/>
      </c>
      <c r="J302" s="55" t="str">
        <f>IMAGE("https://raw.githubusercontent.com/ltdimages/images/refs/heads/main/Coordinate0138_07.png")</f>
        <v/>
      </c>
      <c r="K302" s="20" t="s">
        <v>4290</v>
      </c>
      <c r="L302" s="20" t="s">
        <v>4231</v>
      </c>
      <c r="M302" s="55" t="s">
        <v>3131</v>
      </c>
      <c r="N302" s="55" t="s">
        <v>3099</v>
      </c>
      <c r="O302" s="55" t="s">
        <v>45</v>
      </c>
      <c r="P302" s="55" t="s">
        <v>45</v>
      </c>
      <c r="Q302" s="55" t="s">
        <v>45</v>
      </c>
      <c r="R302" s="55" t="s">
        <v>45</v>
      </c>
      <c r="S302" s="55" t="s">
        <v>45</v>
      </c>
      <c r="T302" s="55" t="s">
        <v>45</v>
      </c>
      <c r="U302" s="55" t="s">
        <v>3095</v>
      </c>
      <c r="V302" s="55" t="s">
        <v>4549</v>
      </c>
      <c r="W302" s="55" t="s">
        <v>3095</v>
      </c>
      <c r="X302" s="55" t="s">
        <v>3095</v>
      </c>
      <c r="Y302" s="55" t="s">
        <v>3095</v>
      </c>
      <c r="Z302" s="55" t="s">
        <v>4355</v>
      </c>
      <c r="AA302" s="55" t="s">
        <v>4315</v>
      </c>
      <c r="AB302" s="55" t="s">
        <v>3095</v>
      </c>
      <c r="AC302" s="55" t="s">
        <v>3110</v>
      </c>
      <c r="AD302" s="55" t="s">
        <v>4550</v>
      </c>
      <c r="AE302" s="55" t="s">
        <v>3095</v>
      </c>
      <c r="AF302" s="55" t="s">
        <v>3095</v>
      </c>
      <c r="AG302" s="55" t="s">
        <v>3095</v>
      </c>
      <c r="AH302" s="55" t="s">
        <v>3095</v>
      </c>
      <c r="AI302" s="55" t="s">
        <v>3095</v>
      </c>
      <c r="AJ302" s="55" t="s">
        <v>3095</v>
      </c>
      <c r="AK302" s="55" t="s">
        <v>3095</v>
      </c>
      <c r="AL302" s="55" t="s">
        <v>3095</v>
      </c>
      <c r="AM302" s="55" t="s">
        <v>3095</v>
      </c>
    </row>
    <row r="303" ht="45.0" customHeight="1">
      <c r="A303" s="55" t="s">
        <v>1319</v>
      </c>
      <c r="B303" s="55" t="s">
        <v>4551</v>
      </c>
      <c r="C303" s="55" t="str">
        <f>IMAGE("https://raw.githubusercontent.com/ltdimages/images/refs/heads/main/Coordinate0158_00.png")</f>
        <v/>
      </c>
      <c r="D303" s="55" t="str">
        <f>IMAGE("https://raw.githubusercontent.com/ltdimages/images/refs/heads/main/Coordinate0158_01.png")</f>
        <v/>
      </c>
      <c r="E303" s="55" t="str">
        <f>IMAGE("https://raw.githubusercontent.com/ltdimages/images/refs/heads/main/Coordinate0158_02.png")</f>
        <v/>
      </c>
      <c r="F303" s="55" t="str">
        <f>IMAGE("https://raw.githubusercontent.com/ltdimages/images/refs/heads/main/Coordinate0158_03.png")</f>
        <v/>
      </c>
      <c r="G303" s="55" t="str">
        <f>IMAGE("https://raw.githubusercontent.com/ltdimages/images/refs/heads/main/Coordinate0158_04.png")</f>
        <v/>
      </c>
      <c r="H303" s="55" t="str">
        <f>IMAGE("https://raw.githubusercontent.com/ltdimages/images/refs/heads/main/Coordinate0158_05.png")</f>
        <v/>
      </c>
      <c r="I303" s="56" t="s">
        <v>3095</v>
      </c>
      <c r="J303" s="55" t="s">
        <v>3095</v>
      </c>
      <c r="K303" s="20" t="s">
        <v>4552</v>
      </c>
      <c r="L303" s="20" t="s">
        <v>4231</v>
      </c>
      <c r="M303" s="55" t="s">
        <v>3131</v>
      </c>
      <c r="N303" s="55" t="s">
        <v>3099</v>
      </c>
      <c r="O303" s="55" t="s">
        <v>45</v>
      </c>
      <c r="P303" s="55" t="s">
        <v>45</v>
      </c>
      <c r="Q303" s="55" t="s">
        <v>45</v>
      </c>
      <c r="R303" s="55" t="s">
        <v>45</v>
      </c>
      <c r="S303" s="55" t="s">
        <v>45</v>
      </c>
      <c r="T303" s="55" t="s">
        <v>45</v>
      </c>
      <c r="U303" s="55" t="s">
        <v>3095</v>
      </c>
      <c r="V303" s="55" t="s">
        <v>4553</v>
      </c>
      <c r="W303" s="55" t="s">
        <v>3095</v>
      </c>
      <c r="X303" s="55" t="s">
        <v>3559</v>
      </c>
      <c r="Y303" s="55" t="s">
        <v>3095</v>
      </c>
      <c r="Z303" s="55" t="s">
        <v>3352</v>
      </c>
      <c r="AA303" s="55" t="s">
        <v>3341</v>
      </c>
      <c r="AB303" s="55" t="s">
        <v>3095</v>
      </c>
      <c r="AC303" s="55" t="s">
        <v>3110</v>
      </c>
      <c r="AD303" s="55" t="s">
        <v>4554</v>
      </c>
      <c r="AE303" s="55" t="s">
        <v>3095</v>
      </c>
      <c r="AF303" s="55" t="s">
        <v>3095</v>
      </c>
      <c r="AG303" s="55" t="s">
        <v>3095</v>
      </c>
      <c r="AH303" s="55" t="s">
        <v>3095</v>
      </c>
      <c r="AI303" s="55" t="s">
        <v>3095</v>
      </c>
      <c r="AJ303" s="55" t="s">
        <v>3095</v>
      </c>
      <c r="AK303" s="55" t="s">
        <v>3095</v>
      </c>
      <c r="AL303" s="55" t="s">
        <v>3095</v>
      </c>
      <c r="AM303" s="55" t="s">
        <v>3095</v>
      </c>
    </row>
    <row r="304" ht="45.0" customHeight="1">
      <c r="A304" s="55" t="s">
        <v>1324</v>
      </c>
      <c r="B304" s="55" t="s">
        <v>4555</v>
      </c>
      <c r="C304" s="55" t="str">
        <f>IMAGE("https://raw.githubusercontent.com/ltdimages/images/refs/heads/main/Coordinate0205_00.png")</f>
        <v/>
      </c>
      <c r="D304" s="55" t="str">
        <f>IMAGE("https://raw.githubusercontent.com/ltdimages/images/refs/heads/main/Coordinate0205_01.png")</f>
        <v/>
      </c>
      <c r="E304" s="55" t="str">
        <f>IMAGE("https://raw.githubusercontent.com/ltdimages/images/refs/heads/main/Coordinate0205_02.png")</f>
        <v/>
      </c>
      <c r="F304" s="55" t="str">
        <f>IMAGE("https://raw.githubusercontent.com/ltdimages/images/refs/heads/main/Coordinate0205_03.png")</f>
        <v/>
      </c>
      <c r="G304" s="55" t="str">
        <f>IMAGE("https://raw.githubusercontent.com/ltdimages/images/refs/heads/main/Coordinate0205_04.png")</f>
        <v/>
      </c>
      <c r="H304" s="55" t="str">
        <f>IMAGE("https://raw.githubusercontent.com/ltdimages/images/refs/heads/main/Coordinate0205_05.png")</f>
        <v/>
      </c>
      <c r="I304" s="56" t="s">
        <v>3095</v>
      </c>
      <c r="J304" s="55" t="s">
        <v>3095</v>
      </c>
      <c r="K304" s="20" t="s">
        <v>4537</v>
      </c>
      <c r="L304" s="20" t="s">
        <v>4231</v>
      </c>
      <c r="M304" s="55" t="s">
        <v>3131</v>
      </c>
      <c r="N304" s="55" t="s">
        <v>3114</v>
      </c>
      <c r="O304" s="55" t="s">
        <v>45</v>
      </c>
      <c r="P304" s="55" t="s">
        <v>45</v>
      </c>
      <c r="Q304" s="55" t="s">
        <v>45</v>
      </c>
      <c r="R304" s="55" t="s">
        <v>45</v>
      </c>
      <c r="S304" s="55" t="s">
        <v>45</v>
      </c>
      <c r="T304" s="55" t="s">
        <v>45</v>
      </c>
      <c r="U304" s="55" t="s">
        <v>3095</v>
      </c>
      <c r="V304" s="55" t="s">
        <v>4556</v>
      </c>
      <c r="W304" s="55" t="s">
        <v>3095</v>
      </c>
      <c r="X304" s="55" t="s">
        <v>4557</v>
      </c>
      <c r="Y304" s="55" t="s">
        <v>3095</v>
      </c>
      <c r="Z304" s="55" t="s">
        <v>3164</v>
      </c>
      <c r="AA304" s="55" t="s">
        <v>4376</v>
      </c>
      <c r="AB304" s="55" t="s">
        <v>3095</v>
      </c>
      <c r="AC304" s="55" t="s">
        <v>3110</v>
      </c>
      <c r="AD304" s="55" t="s">
        <v>4558</v>
      </c>
      <c r="AE304" s="55" t="s">
        <v>3095</v>
      </c>
      <c r="AF304" s="55" t="s">
        <v>3095</v>
      </c>
      <c r="AG304" s="55" t="s">
        <v>3095</v>
      </c>
      <c r="AH304" s="55" t="s">
        <v>3095</v>
      </c>
      <c r="AI304" s="55" t="s">
        <v>3095</v>
      </c>
      <c r="AJ304" s="55" t="s">
        <v>3095</v>
      </c>
      <c r="AK304" s="55" t="s">
        <v>3095</v>
      </c>
      <c r="AL304" s="55" t="s">
        <v>3095</v>
      </c>
      <c r="AM304" s="55" t="s">
        <v>3095</v>
      </c>
    </row>
    <row r="305" ht="45.0" customHeight="1">
      <c r="A305" s="55" t="s">
        <v>1328</v>
      </c>
      <c r="B305" s="55" t="s">
        <v>4559</v>
      </c>
      <c r="C305" s="55" t="str">
        <f>IMAGE("https://raw.githubusercontent.com/ltdimages/images/refs/heads/main/Coordinate0277_00.png")</f>
        <v/>
      </c>
      <c r="D305" s="55" t="str">
        <f>IMAGE("https://raw.githubusercontent.com/ltdimages/images/refs/heads/main/Coordinate0277_01.png")</f>
        <v/>
      </c>
      <c r="E305" s="55" t="str">
        <f>IMAGE("https://raw.githubusercontent.com/ltdimages/images/refs/heads/main/Coordinate0277_02.png")</f>
        <v/>
      </c>
      <c r="F305" s="55" t="str">
        <f>IMAGE("https://raw.githubusercontent.com/ltdimages/images/refs/heads/main/Coordinate0277_03.png")</f>
        <v/>
      </c>
      <c r="G305" s="55" t="str">
        <f>IMAGE("https://raw.githubusercontent.com/ltdimages/images/refs/heads/main/Coordinate0277_04.png")</f>
        <v/>
      </c>
      <c r="H305" s="55" t="str">
        <f>IMAGE("https://raw.githubusercontent.com/ltdimages/images/refs/heads/main/Coordinate0277_05.png")</f>
        <v/>
      </c>
      <c r="I305" s="56" t="str">
        <f>IMAGE("https://raw.githubusercontent.com/ltdimages/images/refs/heads/main/Coordinate0277_06.png")</f>
        <v/>
      </c>
      <c r="J305" s="55" t="str">
        <f>IMAGE("https://raw.githubusercontent.com/ltdimages/images/refs/heads/main/Coordinate0277_07.png")</f>
        <v/>
      </c>
      <c r="K305" s="20" t="s">
        <v>4560</v>
      </c>
      <c r="L305" s="20" t="s">
        <v>4231</v>
      </c>
      <c r="M305" s="55" t="s">
        <v>3131</v>
      </c>
      <c r="N305" s="55" t="s">
        <v>3099</v>
      </c>
      <c r="O305" s="55" t="s">
        <v>45</v>
      </c>
      <c r="P305" s="55" t="s">
        <v>45</v>
      </c>
      <c r="Q305" s="55" t="s">
        <v>45</v>
      </c>
      <c r="R305" s="55" t="s">
        <v>49</v>
      </c>
      <c r="S305" s="55" t="s">
        <v>45</v>
      </c>
      <c r="T305" s="55" t="s">
        <v>45</v>
      </c>
      <c r="U305" s="55" t="s">
        <v>3095</v>
      </c>
      <c r="V305" s="55" t="s">
        <v>4561</v>
      </c>
      <c r="W305" s="55" t="s">
        <v>3095</v>
      </c>
      <c r="X305" s="55" t="s">
        <v>4562</v>
      </c>
      <c r="Y305" s="55" t="s">
        <v>3095</v>
      </c>
      <c r="Z305" s="55" t="s">
        <v>4459</v>
      </c>
      <c r="AA305" s="55" t="s">
        <v>4315</v>
      </c>
      <c r="AB305" s="55" t="s">
        <v>3095</v>
      </c>
      <c r="AC305" s="55" t="s">
        <v>3110</v>
      </c>
      <c r="AD305" s="55" t="s">
        <v>4563</v>
      </c>
      <c r="AE305" s="55" t="s">
        <v>3095</v>
      </c>
      <c r="AF305" s="55" t="s">
        <v>3095</v>
      </c>
      <c r="AG305" s="55" t="s">
        <v>3095</v>
      </c>
      <c r="AH305" s="55" t="s">
        <v>3095</v>
      </c>
      <c r="AI305" s="55" t="s">
        <v>3095</v>
      </c>
      <c r="AJ305" s="55" t="s">
        <v>3095</v>
      </c>
      <c r="AK305" s="55" t="s">
        <v>3095</v>
      </c>
      <c r="AL305" s="55" t="s">
        <v>3095</v>
      </c>
      <c r="AM305" s="55" t="s">
        <v>3095</v>
      </c>
    </row>
    <row r="306" ht="45.0" customHeight="1">
      <c r="A306" s="55" t="s">
        <v>1332</v>
      </c>
      <c r="B306" s="55" t="s">
        <v>4564</v>
      </c>
      <c r="C306" s="55" t="str">
        <f>IMAGE("https://raw.githubusercontent.com/ltdimages/images/refs/heads/main/Coordinate0174_00.png")</f>
        <v/>
      </c>
      <c r="D306" s="55" t="str">
        <f>IMAGE("https://raw.githubusercontent.com/ltdimages/images/refs/heads/main/Coordinate0174_01.png")</f>
        <v/>
      </c>
      <c r="E306" s="55" t="str">
        <f>IMAGE("https://raw.githubusercontent.com/ltdimages/images/refs/heads/main/Coordinate0174_02.png")</f>
        <v/>
      </c>
      <c r="F306" s="55" t="str">
        <f>IMAGE("https://raw.githubusercontent.com/ltdimages/images/refs/heads/main/Coordinate0174_03.png")</f>
        <v/>
      </c>
      <c r="G306" s="55" t="str">
        <f>IMAGE("https://raw.githubusercontent.com/ltdimages/images/refs/heads/main/Coordinate0174_04.png")</f>
        <v/>
      </c>
      <c r="H306" s="55" t="str">
        <f>IMAGE("https://raw.githubusercontent.com/ltdimages/images/refs/heads/main/Coordinate0174_05.png")</f>
        <v/>
      </c>
      <c r="I306" s="56" t="str">
        <f>IMAGE("https://raw.githubusercontent.com/ltdimages/images/refs/heads/main/Coordinate0174_06.png")</f>
        <v/>
      </c>
      <c r="J306" s="55" t="str">
        <f>IMAGE("https://raw.githubusercontent.com/ltdimages/images/refs/heads/main/Coordinate0174_07.png")</f>
        <v/>
      </c>
      <c r="K306" s="20" t="s">
        <v>4565</v>
      </c>
      <c r="L306" s="20" t="s">
        <v>4231</v>
      </c>
      <c r="M306" s="55" t="s">
        <v>3131</v>
      </c>
      <c r="N306" s="55" t="s">
        <v>3099</v>
      </c>
      <c r="O306" s="55" t="s">
        <v>45</v>
      </c>
      <c r="P306" s="55" t="s">
        <v>45</v>
      </c>
      <c r="Q306" s="55" t="s">
        <v>45</v>
      </c>
      <c r="R306" s="55" t="s">
        <v>49</v>
      </c>
      <c r="S306" s="55" t="s">
        <v>45</v>
      </c>
      <c r="T306" s="55" t="s">
        <v>45</v>
      </c>
      <c r="U306" s="55" t="s">
        <v>3095</v>
      </c>
      <c r="V306" s="55" t="s">
        <v>4566</v>
      </c>
      <c r="W306" s="55" t="s">
        <v>3095</v>
      </c>
      <c r="X306" s="55" t="s">
        <v>4256</v>
      </c>
      <c r="Y306" s="55" t="s">
        <v>4567</v>
      </c>
      <c r="Z306" s="55" t="s">
        <v>4250</v>
      </c>
      <c r="AA306" s="55" t="s">
        <v>4568</v>
      </c>
      <c r="AB306" s="55" t="s">
        <v>3095</v>
      </c>
      <c r="AC306" s="55" t="s">
        <v>3110</v>
      </c>
      <c r="AD306" s="55" t="s">
        <v>4569</v>
      </c>
      <c r="AE306" s="55" t="s">
        <v>3095</v>
      </c>
      <c r="AF306" s="55" t="s">
        <v>3095</v>
      </c>
      <c r="AG306" s="55" t="s">
        <v>3095</v>
      </c>
      <c r="AH306" s="55" t="s">
        <v>3095</v>
      </c>
      <c r="AI306" s="55" t="s">
        <v>3095</v>
      </c>
      <c r="AJ306" s="55" t="s">
        <v>3095</v>
      </c>
      <c r="AK306" s="55" t="s">
        <v>3095</v>
      </c>
      <c r="AL306" s="55" t="s">
        <v>3095</v>
      </c>
      <c r="AM306" s="55" t="s">
        <v>3095</v>
      </c>
    </row>
    <row r="307" ht="45.0" customHeight="1">
      <c r="A307" s="55" t="s">
        <v>1336</v>
      </c>
      <c r="B307" s="55" t="s">
        <v>4570</v>
      </c>
      <c r="C307" s="55" t="str">
        <f>IMAGE("https://raw.githubusercontent.com/ltdimages/images/refs/heads/main/Coordinate0326_00.png")</f>
        <v/>
      </c>
      <c r="D307" s="55" t="str">
        <f>IMAGE("https://raw.githubusercontent.com/ltdimages/images/refs/heads/main/Coordinate0326_01.png")</f>
        <v/>
      </c>
      <c r="E307" s="55" t="str">
        <f>IMAGE("https://raw.githubusercontent.com/ltdimages/images/refs/heads/main/Coordinate0326_02.png")</f>
        <v/>
      </c>
      <c r="F307" s="55" t="str">
        <f>IMAGE("https://raw.githubusercontent.com/ltdimages/images/refs/heads/main/Coordinate0326_03.png")</f>
        <v/>
      </c>
      <c r="G307" s="55" t="s">
        <v>3095</v>
      </c>
      <c r="H307" s="55" t="s">
        <v>3095</v>
      </c>
      <c r="I307" s="56" t="s">
        <v>3095</v>
      </c>
      <c r="J307" s="55" t="s">
        <v>3095</v>
      </c>
      <c r="K307" s="20" t="s">
        <v>3955</v>
      </c>
      <c r="L307" s="20" t="s">
        <v>4231</v>
      </c>
      <c r="M307" s="55" t="s">
        <v>3131</v>
      </c>
      <c r="N307" s="55" t="s">
        <v>3099</v>
      </c>
      <c r="O307" s="55" t="s">
        <v>45</v>
      </c>
      <c r="P307" s="55" t="s">
        <v>45</v>
      </c>
      <c r="Q307" s="55" t="s">
        <v>45</v>
      </c>
      <c r="R307" s="55" t="s">
        <v>45</v>
      </c>
      <c r="S307" s="55" t="s">
        <v>49</v>
      </c>
      <c r="T307" s="55" t="s">
        <v>45</v>
      </c>
      <c r="U307" s="55" t="s">
        <v>3860</v>
      </c>
      <c r="V307" s="55" t="s">
        <v>3095</v>
      </c>
      <c r="W307" s="55" t="s">
        <v>4571</v>
      </c>
      <c r="X307" s="55" t="s">
        <v>3095</v>
      </c>
      <c r="Y307" s="55" t="s">
        <v>3371</v>
      </c>
      <c r="Z307" s="55" t="s">
        <v>4442</v>
      </c>
      <c r="AA307" s="55" t="s">
        <v>4572</v>
      </c>
      <c r="AB307" s="55" t="s">
        <v>3095</v>
      </c>
      <c r="AC307" s="55" t="s">
        <v>3103</v>
      </c>
      <c r="AD307" s="55" t="s">
        <v>4573</v>
      </c>
      <c r="AE307" s="55" t="s">
        <v>3095</v>
      </c>
      <c r="AF307" s="55" t="s">
        <v>3095</v>
      </c>
      <c r="AG307" s="55" t="s">
        <v>3095</v>
      </c>
      <c r="AH307" s="55" t="s">
        <v>3095</v>
      </c>
      <c r="AI307" s="55" t="s">
        <v>3095</v>
      </c>
      <c r="AJ307" s="55" t="s">
        <v>3095</v>
      </c>
      <c r="AK307" s="55" t="s">
        <v>3095</v>
      </c>
      <c r="AL307" s="55" t="s">
        <v>3095</v>
      </c>
      <c r="AM307" s="55" t="s">
        <v>3095</v>
      </c>
    </row>
    <row r="308" ht="45.0" customHeight="1">
      <c r="A308" s="55" t="s">
        <v>1340</v>
      </c>
      <c r="B308" s="55" t="s">
        <v>4574</v>
      </c>
      <c r="C308" s="55" t="str">
        <f>IMAGE("https://raw.githubusercontent.com/ltdimages/images/refs/heads/main/Coordinate0198_00.png")</f>
        <v/>
      </c>
      <c r="D308" s="55" t="str">
        <f>IMAGE("https://raw.githubusercontent.com/ltdimages/images/refs/heads/main/Coordinate0198_01.png")</f>
        <v/>
      </c>
      <c r="E308" s="55" t="str">
        <f>IMAGE("https://raw.githubusercontent.com/ltdimages/images/refs/heads/main/Coordinate0198_02.png")</f>
        <v/>
      </c>
      <c r="F308" s="55" t="str">
        <f>IMAGE("https://raw.githubusercontent.com/ltdimages/images/refs/heads/main/Coordinate0198_03.png")</f>
        <v/>
      </c>
      <c r="G308" s="55" t="str">
        <f>IMAGE("https://raw.githubusercontent.com/ltdimages/images/refs/heads/main/Coordinate0198_04.png")</f>
        <v/>
      </c>
      <c r="H308" s="55" t="str">
        <f>IMAGE("https://raw.githubusercontent.com/ltdimages/images/refs/heads/main/Coordinate0198_05.png")</f>
        <v/>
      </c>
      <c r="I308" s="56" t="str">
        <f>IMAGE("https://raw.githubusercontent.com/ltdimages/images/refs/heads/main/Coordinate0198_06.png")</f>
        <v/>
      </c>
      <c r="J308" s="55" t="str">
        <f>IMAGE("https://raw.githubusercontent.com/ltdimages/images/refs/heads/main/Coordinate0198_07.png")</f>
        <v/>
      </c>
      <c r="K308" s="20" t="s">
        <v>4575</v>
      </c>
      <c r="L308" s="20" t="s">
        <v>4231</v>
      </c>
      <c r="M308" s="55" t="s">
        <v>3131</v>
      </c>
      <c r="N308" s="55" t="s">
        <v>3099</v>
      </c>
      <c r="O308" s="55" t="s">
        <v>45</v>
      </c>
      <c r="P308" s="55" t="s">
        <v>45</v>
      </c>
      <c r="Q308" s="55" t="s">
        <v>45</v>
      </c>
      <c r="R308" s="55" t="s">
        <v>45</v>
      </c>
      <c r="S308" s="55" t="s">
        <v>49</v>
      </c>
      <c r="T308" s="55" t="s">
        <v>45</v>
      </c>
      <c r="U308" s="55" t="s">
        <v>3095</v>
      </c>
      <c r="V308" s="55" t="s">
        <v>4576</v>
      </c>
      <c r="W308" s="55" t="s">
        <v>3095</v>
      </c>
      <c r="X308" s="55" t="s">
        <v>3095</v>
      </c>
      <c r="Y308" s="55" t="s">
        <v>3095</v>
      </c>
      <c r="Z308" s="55" t="s">
        <v>4250</v>
      </c>
      <c r="AA308" s="55" t="s">
        <v>4251</v>
      </c>
      <c r="AB308" s="55" t="s">
        <v>3095</v>
      </c>
      <c r="AC308" s="55" t="s">
        <v>3110</v>
      </c>
      <c r="AD308" s="55" t="s">
        <v>4577</v>
      </c>
      <c r="AE308" s="55" t="s">
        <v>3095</v>
      </c>
      <c r="AF308" s="55" t="s">
        <v>3095</v>
      </c>
      <c r="AG308" s="55" t="s">
        <v>3095</v>
      </c>
      <c r="AH308" s="55" t="s">
        <v>3095</v>
      </c>
      <c r="AI308" s="55" t="s">
        <v>3095</v>
      </c>
      <c r="AJ308" s="55" t="s">
        <v>3095</v>
      </c>
      <c r="AK308" s="55" t="s">
        <v>3095</v>
      </c>
      <c r="AL308" s="55" t="s">
        <v>3095</v>
      </c>
      <c r="AM308" s="55" t="s">
        <v>3095</v>
      </c>
    </row>
    <row r="309" ht="45.0" customHeight="1">
      <c r="A309" s="55" t="s">
        <v>1344</v>
      </c>
      <c r="B309" s="55" t="s">
        <v>4578</v>
      </c>
      <c r="C309" s="55" t="str">
        <f>IMAGE("https://raw.githubusercontent.com/ltdimages/images/refs/heads/main/Coordinate0302_00.png")</f>
        <v/>
      </c>
      <c r="D309" s="55" t="str">
        <f>IMAGE("https://raw.githubusercontent.com/ltdimages/images/refs/heads/main/Coordinate0302_01.png")</f>
        <v/>
      </c>
      <c r="E309" s="55" t="str">
        <f>IMAGE("https://raw.githubusercontent.com/ltdimages/images/refs/heads/main/Coordinate0302_02.png")</f>
        <v/>
      </c>
      <c r="F309" s="55" t="str">
        <f>IMAGE("https://raw.githubusercontent.com/ltdimages/images/refs/heads/main/Coordinate0302_03.png")</f>
        <v/>
      </c>
      <c r="G309" s="55" t="str">
        <f>IMAGE("https://raw.githubusercontent.com/ltdimages/images/refs/heads/main/Coordinate0302_04.png")</f>
        <v/>
      </c>
      <c r="H309" s="55" t="str">
        <f>IMAGE("https://raw.githubusercontent.com/ltdimages/images/refs/heads/main/Coordinate0302_05.png")</f>
        <v/>
      </c>
      <c r="I309" s="56" t="s">
        <v>3095</v>
      </c>
      <c r="J309" s="55" t="s">
        <v>3095</v>
      </c>
      <c r="K309" s="20" t="s">
        <v>4579</v>
      </c>
      <c r="L309" s="20" t="s">
        <v>4231</v>
      </c>
      <c r="M309" s="55" t="s">
        <v>3131</v>
      </c>
      <c r="N309" s="55" t="s">
        <v>3114</v>
      </c>
      <c r="O309" s="55" t="s">
        <v>45</v>
      </c>
      <c r="P309" s="55" t="s">
        <v>45</v>
      </c>
      <c r="Q309" s="55" t="s">
        <v>45</v>
      </c>
      <c r="R309" s="55" t="s">
        <v>45</v>
      </c>
      <c r="S309" s="55" t="s">
        <v>45</v>
      </c>
      <c r="T309" s="55" t="s">
        <v>45</v>
      </c>
      <c r="U309" s="55" t="s">
        <v>3865</v>
      </c>
      <c r="V309" s="55" t="s">
        <v>3095</v>
      </c>
      <c r="W309" s="55" t="s">
        <v>4386</v>
      </c>
      <c r="X309" s="55" t="s">
        <v>3095</v>
      </c>
      <c r="Y309" s="55" t="s">
        <v>3095</v>
      </c>
      <c r="Z309" s="55" t="s">
        <v>3142</v>
      </c>
      <c r="AA309" s="55" t="s">
        <v>4276</v>
      </c>
      <c r="AB309" s="55" t="s">
        <v>3095</v>
      </c>
      <c r="AC309" s="55" t="s">
        <v>3103</v>
      </c>
      <c r="AD309" s="55" t="s">
        <v>4580</v>
      </c>
      <c r="AE309" s="55" t="s">
        <v>3095</v>
      </c>
      <c r="AF309" s="55" t="s">
        <v>3095</v>
      </c>
      <c r="AG309" s="55" t="s">
        <v>3095</v>
      </c>
      <c r="AH309" s="55" t="s">
        <v>3095</v>
      </c>
      <c r="AI309" s="55" t="s">
        <v>3095</v>
      </c>
      <c r="AJ309" s="55" t="s">
        <v>3095</v>
      </c>
      <c r="AK309" s="55" t="s">
        <v>3095</v>
      </c>
      <c r="AL309" s="55" t="s">
        <v>3095</v>
      </c>
      <c r="AM309" s="55" t="s">
        <v>3095</v>
      </c>
    </row>
    <row r="310" ht="45.0" customHeight="1">
      <c r="A310" s="55" t="s">
        <v>1348</v>
      </c>
      <c r="B310" s="55" t="s">
        <v>4581</v>
      </c>
      <c r="C310" s="55" t="str">
        <f>IMAGE("https://raw.githubusercontent.com/ltdimages/images/refs/heads/main/Coordinate0127_00.png")</f>
        <v/>
      </c>
      <c r="D310" s="55" t="str">
        <f>IMAGE("https://raw.githubusercontent.com/ltdimages/images/refs/heads/main/Coordinate0127_01.png")</f>
        <v/>
      </c>
      <c r="E310" s="55" t="str">
        <f>IMAGE("https://raw.githubusercontent.com/ltdimages/images/refs/heads/main/Coordinate0127_02.png")</f>
        <v/>
      </c>
      <c r="F310" s="55" t="str">
        <f>IMAGE("https://raw.githubusercontent.com/ltdimages/images/refs/heads/main/Coordinate0127_03.png")</f>
        <v/>
      </c>
      <c r="G310" s="55" t="s">
        <v>3095</v>
      </c>
      <c r="H310" s="55" t="s">
        <v>3095</v>
      </c>
      <c r="I310" s="56" t="s">
        <v>3095</v>
      </c>
      <c r="J310" s="55" t="s">
        <v>3095</v>
      </c>
      <c r="K310" s="20" t="s">
        <v>4582</v>
      </c>
      <c r="L310" s="20" t="s">
        <v>4231</v>
      </c>
      <c r="M310" s="55" t="s">
        <v>3131</v>
      </c>
      <c r="N310" s="55" t="s">
        <v>3123</v>
      </c>
      <c r="O310" s="55" t="s">
        <v>45</v>
      </c>
      <c r="P310" s="55" t="s">
        <v>45</v>
      </c>
      <c r="Q310" s="55" t="s">
        <v>45</v>
      </c>
      <c r="R310" s="55" t="s">
        <v>45</v>
      </c>
      <c r="S310" s="55" t="s">
        <v>45</v>
      </c>
      <c r="T310" s="55" t="s">
        <v>45</v>
      </c>
      <c r="U310" s="55" t="s">
        <v>4583</v>
      </c>
      <c r="V310" s="55" t="s">
        <v>3095</v>
      </c>
      <c r="W310" s="55" t="s">
        <v>4584</v>
      </c>
      <c r="X310" s="55" t="s">
        <v>3095</v>
      </c>
      <c r="Y310" s="55" t="s">
        <v>3095</v>
      </c>
      <c r="Z310" s="55" t="s">
        <v>3095</v>
      </c>
      <c r="AA310" s="55" t="s">
        <v>4239</v>
      </c>
      <c r="AB310" s="55" t="s">
        <v>3095</v>
      </c>
      <c r="AC310" s="55" t="s">
        <v>4287</v>
      </c>
      <c r="AD310" s="55" t="s">
        <v>4585</v>
      </c>
      <c r="AE310" s="55" t="s">
        <v>3095</v>
      </c>
      <c r="AF310" s="55" t="s">
        <v>3095</v>
      </c>
      <c r="AG310" s="55" t="s">
        <v>3095</v>
      </c>
      <c r="AH310" s="55" t="s">
        <v>3095</v>
      </c>
      <c r="AI310" s="55" t="s">
        <v>3095</v>
      </c>
      <c r="AJ310" s="55" t="s">
        <v>3095</v>
      </c>
      <c r="AK310" s="55" t="s">
        <v>3095</v>
      </c>
      <c r="AL310" s="55" t="s">
        <v>3095</v>
      </c>
      <c r="AM310" s="55" t="s">
        <v>3095</v>
      </c>
    </row>
    <row r="311" ht="45.0" customHeight="1">
      <c r="A311" s="55" t="s">
        <v>1353</v>
      </c>
      <c r="B311" s="55" t="s">
        <v>4586</v>
      </c>
      <c r="C311" s="55" t="str">
        <f>IMAGE("https://raw.githubusercontent.com/ltdimages/images/refs/heads/main/Coordinate0156_00.png")</f>
        <v/>
      </c>
      <c r="D311" s="55" t="str">
        <f>IMAGE("https://raw.githubusercontent.com/ltdimages/images/refs/heads/main/Coordinate0156_01.png")</f>
        <v/>
      </c>
      <c r="E311" s="55" t="str">
        <f>IMAGE("https://raw.githubusercontent.com/ltdimages/images/refs/heads/main/Coordinate0156_02.png")</f>
        <v/>
      </c>
      <c r="F311" s="55" t="str">
        <f>IMAGE("https://raw.githubusercontent.com/ltdimages/images/refs/heads/main/Coordinate0156_03.png")</f>
        <v/>
      </c>
      <c r="G311" s="55" t="str">
        <f>IMAGE("https://raw.githubusercontent.com/ltdimages/images/refs/heads/main/Coordinate0156_04.png")</f>
        <v/>
      </c>
      <c r="H311" s="55" t="str">
        <f>IMAGE("https://raw.githubusercontent.com/ltdimages/images/refs/heads/main/Coordinate0156_05.png")</f>
        <v/>
      </c>
      <c r="I311" s="56" t="str">
        <f>IMAGE("https://raw.githubusercontent.com/ltdimages/images/refs/heads/main/Coordinate0156_06.png")</f>
        <v/>
      </c>
      <c r="J311" s="55" t="str">
        <f>IMAGE("https://raw.githubusercontent.com/ltdimages/images/refs/heads/main/Coordinate0156_07.png")</f>
        <v/>
      </c>
      <c r="K311" s="20" t="s">
        <v>4587</v>
      </c>
      <c r="L311" s="20" t="s">
        <v>4231</v>
      </c>
      <c r="M311" s="55" t="s">
        <v>3098</v>
      </c>
      <c r="N311" s="55" t="s">
        <v>3099</v>
      </c>
      <c r="O311" s="55" t="s">
        <v>45</v>
      </c>
      <c r="P311" s="55" t="s">
        <v>45</v>
      </c>
      <c r="Q311" s="55" t="s">
        <v>45</v>
      </c>
      <c r="R311" s="55" t="s">
        <v>45</v>
      </c>
      <c r="S311" s="55" t="s">
        <v>45</v>
      </c>
      <c r="T311" s="55" t="s">
        <v>45</v>
      </c>
      <c r="U311" s="55" t="s">
        <v>4588</v>
      </c>
      <c r="V311" s="55" t="s">
        <v>3095</v>
      </c>
      <c r="W311" s="55" t="s">
        <v>3791</v>
      </c>
      <c r="X311" s="55" t="s">
        <v>3095</v>
      </c>
      <c r="Y311" s="55" t="s">
        <v>3095</v>
      </c>
      <c r="Z311" s="55" t="s">
        <v>4250</v>
      </c>
      <c r="AA311" s="55" t="s">
        <v>3222</v>
      </c>
      <c r="AB311" s="55" t="s">
        <v>3095</v>
      </c>
      <c r="AC311" s="55" t="s">
        <v>3103</v>
      </c>
      <c r="AD311" s="55" t="s">
        <v>4589</v>
      </c>
      <c r="AE311" s="55" t="s">
        <v>3095</v>
      </c>
      <c r="AF311" s="55" t="s">
        <v>3095</v>
      </c>
      <c r="AG311" s="55" t="s">
        <v>3095</v>
      </c>
      <c r="AH311" s="55" t="s">
        <v>3095</v>
      </c>
      <c r="AI311" s="55" t="s">
        <v>3095</v>
      </c>
      <c r="AJ311" s="55" t="s">
        <v>3095</v>
      </c>
      <c r="AK311" s="55" t="s">
        <v>3095</v>
      </c>
      <c r="AL311" s="55" t="s">
        <v>3095</v>
      </c>
      <c r="AM311" s="55" t="s">
        <v>3095</v>
      </c>
    </row>
    <row r="312" ht="45.0" customHeight="1">
      <c r="A312" s="55" t="s">
        <v>1357</v>
      </c>
      <c r="B312" s="55" t="s">
        <v>4590</v>
      </c>
      <c r="C312" s="55" t="str">
        <f>IMAGE("https://raw.githubusercontent.com/ltdimages/images/refs/heads/main/Coordinate0299_00.png")</f>
        <v/>
      </c>
      <c r="D312" s="55" t="str">
        <f>IMAGE("https://raw.githubusercontent.com/ltdimages/images/refs/heads/main/Coordinate0299_01.png")</f>
        <v/>
      </c>
      <c r="E312" s="55" t="str">
        <f>IMAGE("https://raw.githubusercontent.com/ltdimages/images/refs/heads/main/Coordinate0299_02.png")</f>
        <v/>
      </c>
      <c r="F312" s="55" t="str">
        <f>IMAGE("https://raw.githubusercontent.com/ltdimages/images/refs/heads/main/Coordinate0299_03.png")</f>
        <v/>
      </c>
      <c r="G312" s="55" t="str">
        <f>IMAGE("https://raw.githubusercontent.com/ltdimages/images/refs/heads/main/Coordinate0299_04.png")</f>
        <v/>
      </c>
      <c r="H312" s="55" t="str">
        <f>IMAGE("https://raw.githubusercontent.com/ltdimages/images/refs/heads/main/Coordinate0299_05.png")</f>
        <v/>
      </c>
      <c r="I312" s="56" t="s">
        <v>3095</v>
      </c>
      <c r="J312" s="55" t="s">
        <v>3095</v>
      </c>
      <c r="K312" s="20" t="s">
        <v>4591</v>
      </c>
      <c r="L312" s="20" t="s">
        <v>4231</v>
      </c>
      <c r="M312" s="55" t="s">
        <v>3131</v>
      </c>
      <c r="N312" s="55" t="s">
        <v>3099</v>
      </c>
      <c r="O312" s="55" t="s">
        <v>45</v>
      </c>
      <c r="P312" s="55" t="s">
        <v>45</v>
      </c>
      <c r="Q312" s="55" t="s">
        <v>45</v>
      </c>
      <c r="R312" s="55" t="s">
        <v>45</v>
      </c>
      <c r="S312" s="55" t="s">
        <v>45</v>
      </c>
      <c r="T312" s="55" t="s">
        <v>45</v>
      </c>
      <c r="U312" s="55" t="s">
        <v>3095</v>
      </c>
      <c r="V312" s="55" t="s">
        <v>4592</v>
      </c>
      <c r="W312" s="55" t="s">
        <v>3095</v>
      </c>
      <c r="X312" s="55" t="s">
        <v>4593</v>
      </c>
      <c r="Y312" s="55" t="s">
        <v>3095</v>
      </c>
      <c r="Z312" s="55" t="s">
        <v>3583</v>
      </c>
      <c r="AA312" s="55" t="s">
        <v>3102</v>
      </c>
      <c r="AB312" s="55" t="s">
        <v>3095</v>
      </c>
      <c r="AC312" s="55" t="s">
        <v>3110</v>
      </c>
      <c r="AD312" s="55" t="s">
        <v>4594</v>
      </c>
      <c r="AE312" s="55" t="s">
        <v>3095</v>
      </c>
      <c r="AF312" s="55" t="s">
        <v>3095</v>
      </c>
      <c r="AG312" s="55" t="s">
        <v>3095</v>
      </c>
      <c r="AH312" s="55" t="s">
        <v>3095</v>
      </c>
      <c r="AI312" s="55" t="s">
        <v>3095</v>
      </c>
      <c r="AJ312" s="55" t="s">
        <v>3095</v>
      </c>
      <c r="AK312" s="55" t="s">
        <v>3095</v>
      </c>
      <c r="AL312" s="55" t="s">
        <v>3095</v>
      </c>
      <c r="AM312" s="55" t="s">
        <v>3095</v>
      </c>
    </row>
    <row r="313" ht="45.0" customHeight="1">
      <c r="A313" s="55" t="s">
        <v>1361</v>
      </c>
      <c r="B313" s="55" t="s">
        <v>4595</v>
      </c>
      <c r="C313" s="55" t="str">
        <f>IMAGE("https://raw.githubusercontent.com/ltdimages/images/refs/heads/main/Coordinate0089_00.png")</f>
        <v/>
      </c>
      <c r="D313" s="55" t="str">
        <f>IMAGE("https://raw.githubusercontent.com/ltdimages/images/refs/heads/main/Coordinate0089_01.png")</f>
        <v/>
      </c>
      <c r="E313" s="55" t="str">
        <f>IMAGE("https://raw.githubusercontent.com/ltdimages/images/refs/heads/main/Coordinate0089_02.png")</f>
        <v/>
      </c>
      <c r="F313" s="55" t="str">
        <f>IMAGE("https://raw.githubusercontent.com/ltdimages/images/refs/heads/main/Coordinate0089_03.png")</f>
        <v/>
      </c>
      <c r="G313" s="55" t="str">
        <f>IMAGE("https://raw.githubusercontent.com/ltdimages/images/refs/heads/main/Coordinate0089_04.png")</f>
        <v/>
      </c>
      <c r="H313" s="55" t="str">
        <f>IMAGE("https://raw.githubusercontent.com/ltdimages/images/refs/heads/main/Coordinate0089_05.png")</f>
        <v/>
      </c>
      <c r="I313" s="56" t="s">
        <v>3095</v>
      </c>
      <c r="J313" s="55" t="s">
        <v>3095</v>
      </c>
      <c r="K313" s="20" t="s">
        <v>4596</v>
      </c>
      <c r="L313" s="20" t="s">
        <v>4231</v>
      </c>
      <c r="M313" s="55" t="s">
        <v>3131</v>
      </c>
      <c r="N313" s="55" t="s">
        <v>3099</v>
      </c>
      <c r="O313" s="55" t="s">
        <v>45</v>
      </c>
      <c r="P313" s="55" t="s">
        <v>45</v>
      </c>
      <c r="Q313" s="55" t="s">
        <v>45</v>
      </c>
      <c r="R313" s="55" t="s">
        <v>45</v>
      </c>
      <c r="S313" s="55" t="s">
        <v>45</v>
      </c>
      <c r="T313" s="55" t="s">
        <v>45</v>
      </c>
      <c r="U313" s="55" t="s">
        <v>3095</v>
      </c>
      <c r="V313" s="55" t="s">
        <v>4597</v>
      </c>
      <c r="W313" s="55" t="s">
        <v>3095</v>
      </c>
      <c r="X313" s="55" t="s">
        <v>4275</v>
      </c>
      <c r="Y313" s="55" t="s">
        <v>3095</v>
      </c>
      <c r="Z313" s="55" t="s">
        <v>4325</v>
      </c>
      <c r="AA313" s="55" t="s">
        <v>3434</v>
      </c>
      <c r="AB313" s="55" t="s">
        <v>3095</v>
      </c>
      <c r="AC313" s="55" t="s">
        <v>3110</v>
      </c>
      <c r="AD313" s="55" t="s">
        <v>4598</v>
      </c>
      <c r="AE313" s="55" t="s">
        <v>3095</v>
      </c>
      <c r="AF313" s="55" t="s">
        <v>3095</v>
      </c>
      <c r="AG313" s="55" t="s">
        <v>3095</v>
      </c>
      <c r="AH313" s="55" t="s">
        <v>3095</v>
      </c>
      <c r="AI313" s="55" t="s">
        <v>3095</v>
      </c>
      <c r="AJ313" s="55" t="s">
        <v>3095</v>
      </c>
      <c r="AK313" s="55" t="s">
        <v>3095</v>
      </c>
      <c r="AL313" s="55" t="s">
        <v>3095</v>
      </c>
      <c r="AM313" s="55" t="s">
        <v>3095</v>
      </c>
    </row>
    <row r="314" ht="45.0" customHeight="1">
      <c r="A314" s="55" t="s">
        <v>1365</v>
      </c>
      <c r="B314" s="55" t="s">
        <v>4599</v>
      </c>
      <c r="C314" s="55" t="str">
        <f>IMAGE("https://raw.githubusercontent.com/ltdimages/images/refs/heads/main/Coordinate0082_00.png")</f>
        <v/>
      </c>
      <c r="D314" s="55" t="str">
        <f>IMAGE("https://raw.githubusercontent.com/ltdimages/images/refs/heads/main/Coordinate0082_01.png")</f>
        <v/>
      </c>
      <c r="E314" s="55" t="str">
        <f>IMAGE("https://raw.githubusercontent.com/ltdimages/images/refs/heads/main/Coordinate0082_02.png")</f>
        <v/>
      </c>
      <c r="F314" s="55" t="str">
        <f>IMAGE("https://raw.githubusercontent.com/ltdimages/images/refs/heads/main/Coordinate0082_03.png")</f>
        <v/>
      </c>
      <c r="G314" s="55" t="s">
        <v>3095</v>
      </c>
      <c r="H314" s="55" t="s">
        <v>3095</v>
      </c>
      <c r="I314" s="56" t="s">
        <v>3095</v>
      </c>
      <c r="J314" s="55" t="s">
        <v>3095</v>
      </c>
      <c r="K314" s="20" t="s">
        <v>4600</v>
      </c>
      <c r="L314" s="20" t="s">
        <v>4231</v>
      </c>
      <c r="M314" s="55" t="s">
        <v>3131</v>
      </c>
      <c r="N314" s="55" t="s">
        <v>3099</v>
      </c>
      <c r="O314" s="55" t="s">
        <v>45</v>
      </c>
      <c r="P314" s="55" t="s">
        <v>45</v>
      </c>
      <c r="Q314" s="55" t="s">
        <v>45</v>
      </c>
      <c r="R314" s="55" t="s">
        <v>45</v>
      </c>
      <c r="S314" s="55" t="s">
        <v>45</v>
      </c>
      <c r="T314" s="55" t="s">
        <v>45</v>
      </c>
      <c r="U314" s="55" t="s">
        <v>3095</v>
      </c>
      <c r="V314" s="55" t="s">
        <v>4601</v>
      </c>
      <c r="W314" s="55" t="s">
        <v>3095</v>
      </c>
      <c r="X314" s="55" t="s">
        <v>4334</v>
      </c>
      <c r="Y314" s="55" t="s">
        <v>3095</v>
      </c>
      <c r="Z314" s="55" t="s">
        <v>3164</v>
      </c>
      <c r="AA314" s="55" t="s">
        <v>3434</v>
      </c>
      <c r="AB314" s="55" t="s">
        <v>3095</v>
      </c>
      <c r="AC314" s="55" t="s">
        <v>3110</v>
      </c>
      <c r="AD314" s="55" t="s">
        <v>4602</v>
      </c>
      <c r="AE314" s="55" t="s">
        <v>3095</v>
      </c>
      <c r="AF314" s="55" t="s">
        <v>3095</v>
      </c>
      <c r="AG314" s="55" t="s">
        <v>3095</v>
      </c>
      <c r="AH314" s="55" t="s">
        <v>3095</v>
      </c>
      <c r="AI314" s="55" t="s">
        <v>3095</v>
      </c>
      <c r="AJ314" s="55" t="s">
        <v>3095</v>
      </c>
      <c r="AK314" s="55" t="s">
        <v>3095</v>
      </c>
      <c r="AL314" s="55" t="s">
        <v>3095</v>
      </c>
      <c r="AM314" s="55" t="s">
        <v>3095</v>
      </c>
    </row>
    <row r="315" ht="45.0" customHeight="1">
      <c r="A315" s="55" t="s">
        <v>1369</v>
      </c>
      <c r="B315" s="55" t="s">
        <v>4603</v>
      </c>
      <c r="C315" s="55" t="str">
        <f>IMAGE("https://raw.githubusercontent.com/ltdimages/images/refs/heads/main/Coordinate0201_00.png")</f>
        <v/>
      </c>
      <c r="D315" s="55" t="str">
        <f>IMAGE("https://raw.githubusercontent.com/ltdimages/images/refs/heads/main/Coordinate0201_01.png")</f>
        <v/>
      </c>
      <c r="E315" s="55" t="str">
        <f>IMAGE("https://raw.githubusercontent.com/ltdimages/images/refs/heads/main/Coordinate0201_02.png")</f>
        <v/>
      </c>
      <c r="F315" s="55" t="str">
        <f>IMAGE("https://raw.githubusercontent.com/ltdimages/images/refs/heads/main/Coordinate0201_03.png")</f>
        <v/>
      </c>
      <c r="G315" s="55" t="str">
        <f>IMAGE("https://raw.githubusercontent.com/ltdimages/images/refs/heads/main/Coordinate0201_04.png")</f>
        <v/>
      </c>
      <c r="H315" s="55" t="str">
        <f>IMAGE("https://raw.githubusercontent.com/ltdimages/images/refs/heads/main/Coordinate0201_05.png")</f>
        <v/>
      </c>
      <c r="I315" s="56" t="s">
        <v>3095</v>
      </c>
      <c r="J315" s="55" t="s">
        <v>3095</v>
      </c>
      <c r="K315" s="20" t="s">
        <v>4604</v>
      </c>
      <c r="L315" s="20" t="s">
        <v>4231</v>
      </c>
      <c r="M315" s="55" t="s">
        <v>3098</v>
      </c>
      <c r="N315" s="55" t="s">
        <v>3123</v>
      </c>
      <c r="O315" s="55" t="s">
        <v>45</v>
      </c>
      <c r="P315" s="55" t="s">
        <v>45</v>
      </c>
      <c r="Q315" s="55" t="s">
        <v>45</v>
      </c>
      <c r="R315" s="55" t="s">
        <v>45</v>
      </c>
      <c r="S315" s="55" t="s">
        <v>45</v>
      </c>
      <c r="T315" s="55" t="s">
        <v>45</v>
      </c>
      <c r="U315" s="55" t="s">
        <v>4605</v>
      </c>
      <c r="V315" s="55" t="s">
        <v>3095</v>
      </c>
      <c r="W315" s="55" t="s">
        <v>3676</v>
      </c>
      <c r="X315" s="55" t="s">
        <v>3713</v>
      </c>
      <c r="Y315" s="55" t="s">
        <v>3095</v>
      </c>
      <c r="Z315" s="55" t="s">
        <v>3986</v>
      </c>
      <c r="AA315" s="55" t="s">
        <v>3143</v>
      </c>
      <c r="AB315" s="55" t="s">
        <v>3095</v>
      </c>
      <c r="AC315" s="55" t="s">
        <v>3103</v>
      </c>
      <c r="AD315" s="55" t="s">
        <v>4606</v>
      </c>
      <c r="AE315" s="55" t="s">
        <v>3095</v>
      </c>
      <c r="AF315" s="55" t="s">
        <v>3095</v>
      </c>
      <c r="AG315" s="55" t="s">
        <v>3095</v>
      </c>
      <c r="AH315" s="55" t="s">
        <v>3095</v>
      </c>
      <c r="AI315" s="55" t="s">
        <v>3095</v>
      </c>
      <c r="AJ315" s="55" t="s">
        <v>3095</v>
      </c>
      <c r="AK315" s="55" t="s">
        <v>3095</v>
      </c>
      <c r="AL315" s="55" t="s">
        <v>3095</v>
      </c>
      <c r="AM315" s="55" t="s">
        <v>3095</v>
      </c>
    </row>
    <row r="316" ht="45.0" customHeight="1">
      <c r="A316" s="55" t="s">
        <v>1374</v>
      </c>
      <c r="B316" s="55" t="s">
        <v>4607</v>
      </c>
      <c r="C316" s="55" t="str">
        <f>IMAGE("https://raw.githubusercontent.com/ltdimages/images/refs/heads/main/Coordinate0044_00.png")</f>
        <v/>
      </c>
      <c r="D316" s="55" t="str">
        <f>IMAGE("https://raw.githubusercontent.com/ltdimages/images/refs/heads/main/Coordinate0044_01.png")</f>
        <v/>
      </c>
      <c r="E316" s="55" t="str">
        <f>IMAGE("https://raw.githubusercontent.com/ltdimages/images/refs/heads/main/Coordinate0044_02.png")</f>
        <v/>
      </c>
      <c r="F316" s="55" t="str">
        <f>IMAGE("https://raw.githubusercontent.com/ltdimages/images/refs/heads/main/Coordinate0044_03.png")</f>
        <v/>
      </c>
      <c r="G316" s="55" t="str">
        <f>IMAGE("https://raw.githubusercontent.com/ltdimages/images/refs/heads/main/Coordinate0044_04.png")</f>
        <v/>
      </c>
      <c r="H316" s="55" t="s">
        <v>3095</v>
      </c>
      <c r="I316" s="56" t="s">
        <v>3095</v>
      </c>
      <c r="J316" s="55" t="s">
        <v>3095</v>
      </c>
      <c r="K316" s="20" t="s">
        <v>4206</v>
      </c>
      <c r="L316" s="20" t="s">
        <v>4231</v>
      </c>
      <c r="M316" s="55" t="s">
        <v>3131</v>
      </c>
      <c r="N316" s="55" t="s">
        <v>3123</v>
      </c>
      <c r="O316" s="55" t="s">
        <v>45</v>
      </c>
      <c r="P316" s="55" t="s">
        <v>45</v>
      </c>
      <c r="Q316" s="55" t="s">
        <v>45</v>
      </c>
      <c r="R316" s="55" t="s">
        <v>45</v>
      </c>
      <c r="S316" s="55" t="s">
        <v>45</v>
      </c>
      <c r="T316" s="55" t="s">
        <v>45</v>
      </c>
      <c r="U316" s="55" t="s">
        <v>3095</v>
      </c>
      <c r="V316" s="55" t="s">
        <v>4608</v>
      </c>
      <c r="W316" s="55" t="s">
        <v>3095</v>
      </c>
      <c r="X316" s="55" t="s">
        <v>3751</v>
      </c>
      <c r="Y316" s="55" t="s">
        <v>3095</v>
      </c>
      <c r="Z316" s="55" t="s">
        <v>4355</v>
      </c>
      <c r="AA316" s="55" t="s">
        <v>4315</v>
      </c>
      <c r="AB316" s="55" t="s">
        <v>3095</v>
      </c>
      <c r="AC316" s="55" t="s">
        <v>3110</v>
      </c>
      <c r="AD316" s="55" t="s">
        <v>4609</v>
      </c>
      <c r="AE316" s="55" t="s">
        <v>3095</v>
      </c>
      <c r="AF316" s="55" t="s">
        <v>3095</v>
      </c>
      <c r="AG316" s="55" t="s">
        <v>3095</v>
      </c>
      <c r="AH316" s="55" t="s">
        <v>3095</v>
      </c>
      <c r="AI316" s="55" t="s">
        <v>3095</v>
      </c>
      <c r="AJ316" s="55" t="s">
        <v>3095</v>
      </c>
      <c r="AK316" s="55" t="s">
        <v>3095</v>
      </c>
      <c r="AL316" s="55" t="s">
        <v>3095</v>
      </c>
      <c r="AM316" s="55" t="s">
        <v>3095</v>
      </c>
    </row>
    <row r="317" ht="45.0" customHeight="1">
      <c r="A317" s="55" t="s">
        <v>1378</v>
      </c>
      <c r="B317" s="55" t="s">
        <v>4610</v>
      </c>
      <c r="C317" s="55" t="str">
        <f>IMAGE("https://raw.githubusercontent.com/ltdimages/images/refs/heads/main/Coordinate0086_00.png")</f>
        <v/>
      </c>
      <c r="D317" s="55" t="str">
        <f>IMAGE("https://raw.githubusercontent.com/ltdimages/images/refs/heads/main/Coordinate0086_01.png")</f>
        <v/>
      </c>
      <c r="E317" s="55" t="str">
        <f>IMAGE("https://raw.githubusercontent.com/ltdimages/images/refs/heads/main/Coordinate0086_02.png")</f>
        <v/>
      </c>
      <c r="F317" s="55" t="str">
        <f>IMAGE("https://raw.githubusercontent.com/ltdimages/images/refs/heads/main/Coordinate0086_03.png")</f>
        <v/>
      </c>
      <c r="G317" s="55" t="s">
        <v>3095</v>
      </c>
      <c r="H317" s="55" t="s">
        <v>3095</v>
      </c>
      <c r="I317" s="56" t="s">
        <v>3095</v>
      </c>
      <c r="J317" s="55" t="s">
        <v>3095</v>
      </c>
      <c r="K317" s="20" t="s">
        <v>4611</v>
      </c>
      <c r="L317" s="20" t="s">
        <v>4231</v>
      </c>
      <c r="M317" s="55" t="s">
        <v>3131</v>
      </c>
      <c r="N317" s="55" t="s">
        <v>3099</v>
      </c>
      <c r="O317" s="55" t="s">
        <v>45</v>
      </c>
      <c r="P317" s="55" t="s">
        <v>45</v>
      </c>
      <c r="Q317" s="55" t="s">
        <v>45</v>
      </c>
      <c r="R317" s="55" t="s">
        <v>45</v>
      </c>
      <c r="S317" s="55" t="s">
        <v>45</v>
      </c>
      <c r="T317" s="55" t="s">
        <v>45</v>
      </c>
      <c r="U317" s="55" t="s">
        <v>4612</v>
      </c>
      <c r="V317" s="55" t="s">
        <v>3095</v>
      </c>
      <c r="W317" s="55" t="s">
        <v>4613</v>
      </c>
      <c r="X317" s="55" t="s">
        <v>3095</v>
      </c>
      <c r="Y317" s="55" t="s">
        <v>3095</v>
      </c>
      <c r="Z317" s="55" t="s">
        <v>3156</v>
      </c>
      <c r="AA317" s="55" t="s">
        <v>3157</v>
      </c>
      <c r="AB317" s="55" t="s">
        <v>3095</v>
      </c>
      <c r="AC317" s="55" t="s">
        <v>3103</v>
      </c>
      <c r="AD317" s="55" t="s">
        <v>4614</v>
      </c>
      <c r="AE317" s="55" t="s">
        <v>3095</v>
      </c>
      <c r="AF317" s="55" t="s">
        <v>3095</v>
      </c>
      <c r="AG317" s="55" t="s">
        <v>3095</v>
      </c>
      <c r="AH317" s="55" t="s">
        <v>3095</v>
      </c>
      <c r="AI317" s="55" t="s">
        <v>3095</v>
      </c>
      <c r="AJ317" s="55" t="s">
        <v>3095</v>
      </c>
      <c r="AK317" s="55" t="s">
        <v>3095</v>
      </c>
      <c r="AL317" s="55" t="s">
        <v>3095</v>
      </c>
      <c r="AM317" s="55" t="s">
        <v>3095</v>
      </c>
    </row>
    <row r="318" ht="45.0" customHeight="1">
      <c r="A318" s="55" t="s">
        <v>1382</v>
      </c>
      <c r="B318" s="55" t="s">
        <v>4615</v>
      </c>
      <c r="C318" s="55" t="str">
        <f>IMAGE("https://raw.githubusercontent.com/ltdimages/images/refs/heads/main/Coordinate0114_00.png")</f>
        <v/>
      </c>
      <c r="D318" s="55" t="s">
        <v>3095</v>
      </c>
      <c r="E318" s="55" t="s">
        <v>3095</v>
      </c>
      <c r="F318" s="55" t="s">
        <v>3095</v>
      </c>
      <c r="G318" s="55" t="s">
        <v>3095</v>
      </c>
      <c r="H318" s="55" t="s">
        <v>3095</v>
      </c>
      <c r="I318" s="56" t="s">
        <v>3095</v>
      </c>
      <c r="J318" s="55" t="s">
        <v>3095</v>
      </c>
      <c r="K318" s="20" t="s">
        <v>4616</v>
      </c>
      <c r="L318" s="20" t="s">
        <v>4231</v>
      </c>
      <c r="M318" s="55" t="s">
        <v>3131</v>
      </c>
      <c r="N318" s="55" t="s">
        <v>3114</v>
      </c>
      <c r="O318" s="55" t="s">
        <v>45</v>
      </c>
      <c r="P318" s="55" t="s">
        <v>45</v>
      </c>
      <c r="Q318" s="55" t="s">
        <v>45</v>
      </c>
      <c r="R318" s="55" t="s">
        <v>49</v>
      </c>
      <c r="S318" s="55" t="s">
        <v>49</v>
      </c>
      <c r="T318" s="55" t="s">
        <v>45</v>
      </c>
      <c r="U318" s="55" t="s">
        <v>3095</v>
      </c>
      <c r="V318" s="55" t="s">
        <v>4617</v>
      </c>
      <c r="W318" s="55" t="s">
        <v>3095</v>
      </c>
      <c r="X318" s="55" t="s">
        <v>3628</v>
      </c>
      <c r="Y318" s="55" t="s">
        <v>3095</v>
      </c>
      <c r="Z318" s="55" t="s">
        <v>3164</v>
      </c>
      <c r="AA318" s="55" t="s">
        <v>3943</v>
      </c>
      <c r="AB318" s="55" t="s">
        <v>3095</v>
      </c>
      <c r="AC318" s="55" t="s">
        <v>3110</v>
      </c>
      <c r="AD318" s="55" t="s">
        <v>4618</v>
      </c>
      <c r="AE318" s="55" t="s">
        <v>3095</v>
      </c>
      <c r="AF318" s="55" t="s">
        <v>3095</v>
      </c>
      <c r="AG318" s="55" t="s">
        <v>3095</v>
      </c>
      <c r="AH318" s="55" t="s">
        <v>3095</v>
      </c>
      <c r="AI318" s="55" t="s">
        <v>3095</v>
      </c>
      <c r="AJ318" s="55" t="s">
        <v>3095</v>
      </c>
      <c r="AK318" s="55" t="s">
        <v>3095</v>
      </c>
      <c r="AL318" s="55" t="s">
        <v>3095</v>
      </c>
      <c r="AM318" s="55" t="s">
        <v>3095</v>
      </c>
    </row>
    <row r="319" ht="45.0" customHeight="1">
      <c r="A319" s="55" t="s">
        <v>1386</v>
      </c>
      <c r="B319" s="55" t="s">
        <v>4619</v>
      </c>
      <c r="C319" s="55" t="str">
        <f>IMAGE("https://raw.githubusercontent.com/ltdimages/images/refs/heads/main/Coordinate0291_00.png")</f>
        <v/>
      </c>
      <c r="D319" s="55" t="str">
        <f>IMAGE("https://raw.githubusercontent.com/ltdimages/images/refs/heads/main/Coordinate0291_01.png")</f>
        <v/>
      </c>
      <c r="E319" s="55" t="str">
        <f>IMAGE("https://raw.githubusercontent.com/ltdimages/images/refs/heads/main/Coordinate0291_02.png")</f>
        <v/>
      </c>
      <c r="F319" s="55" t="str">
        <f>IMAGE("https://raw.githubusercontent.com/ltdimages/images/refs/heads/main/Coordinate0291_03.png")</f>
        <v/>
      </c>
      <c r="G319" s="55" t="str">
        <f>IMAGE("https://raw.githubusercontent.com/ltdimages/images/refs/heads/main/Coordinate0291_04.png")</f>
        <v/>
      </c>
      <c r="H319" s="55" t="str">
        <f>IMAGE("https://raw.githubusercontent.com/ltdimages/images/refs/heads/main/Coordinate0291_05.png")</f>
        <v/>
      </c>
      <c r="I319" s="56" t="str">
        <f>IMAGE("https://raw.githubusercontent.com/ltdimages/images/refs/heads/main/Coordinate0291_06.png")</f>
        <v/>
      </c>
      <c r="J319" s="55" t="str">
        <f>IMAGE("https://raw.githubusercontent.com/ltdimages/images/refs/heads/main/Coordinate0291_07.png")</f>
        <v/>
      </c>
      <c r="K319" s="20" t="s">
        <v>4620</v>
      </c>
      <c r="L319" s="20" t="s">
        <v>4231</v>
      </c>
      <c r="M319" s="55" t="s">
        <v>3131</v>
      </c>
      <c r="N319" s="55" t="s">
        <v>3099</v>
      </c>
      <c r="O319" s="55" t="s">
        <v>45</v>
      </c>
      <c r="P319" s="55" t="s">
        <v>45</v>
      </c>
      <c r="Q319" s="55" t="s">
        <v>45</v>
      </c>
      <c r="R319" s="55" t="s">
        <v>45</v>
      </c>
      <c r="S319" s="55" t="s">
        <v>49</v>
      </c>
      <c r="T319" s="55" t="s">
        <v>45</v>
      </c>
      <c r="U319" s="55" t="s">
        <v>3095</v>
      </c>
      <c r="V319" s="55" t="s">
        <v>4621</v>
      </c>
      <c r="W319" s="55" t="s">
        <v>3095</v>
      </c>
      <c r="X319" s="55" t="s">
        <v>3095</v>
      </c>
      <c r="Y319" s="55" t="s">
        <v>4567</v>
      </c>
      <c r="Z319" s="55" t="s">
        <v>3095</v>
      </c>
      <c r="AA319" s="55" t="s">
        <v>4239</v>
      </c>
      <c r="AB319" s="55" t="s">
        <v>3095</v>
      </c>
      <c r="AC319" s="55" t="s">
        <v>3110</v>
      </c>
      <c r="AD319" s="55" t="s">
        <v>4622</v>
      </c>
      <c r="AE319" s="55" t="s">
        <v>3095</v>
      </c>
      <c r="AF319" s="55" t="s">
        <v>3095</v>
      </c>
      <c r="AG319" s="55" t="s">
        <v>3095</v>
      </c>
      <c r="AH319" s="55" t="s">
        <v>3095</v>
      </c>
      <c r="AI319" s="55" t="s">
        <v>3095</v>
      </c>
      <c r="AJ319" s="55" t="s">
        <v>3095</v>
      </c>
      <c r="AK319" s="55" t="s">
        <v>3095</v>
      </c>
      <c r="AL319" s="55" t="s">
        <v>3095</v>
      </c>
      <c r="AM319" s="55" t="s">
        <v>3095</v>
      </c>
    </row>
    <row r="320" ht="45.0" customHeight="1">
      <c r="A320" s="55" t="s">
        <v>1391</v>
      </c>
      <c r="B320" s="55" t="s">
        <v>4623</v>
      </c>
      <c r="C320" s="55" t="str">
        <f>IMAGE("https://raw.githubusercontent.com/ltdimages/images/refs/heads/main/Coordinate0247_00.png")</f>
        <v/>
      </c>
      <c r="D320" s="55" t="str">
        <f>IMAGE("https://raw.githubusercontent.com/ltdimages/images/refs/heads/main/Coordinate0247_01.png")</f>
        <v/>
      </c>
      <c r="E320" s="55" t="str">
        <f>IMAGE("https://raw.githubusercontent.com/ltdimages/images/refs/heads/main/Coordinate0247_02.png")</f>
        <v/>
      </c>
      <c r="F320" s="55" t="str">
        <f>IMAGE("https://raw.githubusercontent.com/ltdimages/images/refs/heads/main/Coordinate0247_03.png")</f>
        <v/>
      </c>
      <c r="G320" s="55" t="str">
        <f>IMAGE("https://raw.githubusercontent.com/ltdimages/images/refs/heads/main/Coordinate0247_04.png")</f>
        <v/>
      </c>
      <c r="H320" s="55" t="str">
        <f>IMAGE("https://raw.githubusercontent.com/ltdimages/images/refs/heads/main/Coordinate0247_05.png")</f>
        <v/>
      </c>
      <c r="I320" s="56" t="s">
        <v>3095</v>
      </c>
      <c r="J320" s="55" t="s">
        <v>3095</v>
      </c>
      <c r="K320" s="20" t="s">
        <v>4624</v>
      </c>
      <c r="L320" s="20" t="s">
        <v>4231</v>
      </c>
      <c r="M320" s="55" t="s">
        <v>3131</v>
      </c>
      <c r="N320" s="55" t="s">
        <v>3123</v>
      </c>
      <c r="O320" s="55" t="s">
        <v>45</v>
      </c>
      <c r="P320" s="55" t="s">
        <v>45</v>
      </c>
      <c r="Q320" s="55" t="s">
        <v>45</v>
      </c>
      <c r="R320" s="55" t="s">
        <v>45</v>
      </c>
      <c r="S320" s="55" t="s">
        <v>45</v>
      </c>
      <c r="T320" s="55" t="s">
        <v>45</v>
      </c>
      <c r="U320" s="55" t="s">
        <v>3095</v>
      </c>
      <c r="V320" s="55" t="s">
        <v>4625</v>
      </c>
      <c r="W320" s="55" t="s">
        <v>3095</v>
      </c>
      <c r="X320" s="55" t="s">
        <v>3126</v>
      </c>
      <c r="Y320" s="55" t="s">
        <v>3095</v>
      </c>
      <c r="Z320" s="55" t="s">
        <v>3095</v>
      </c>
      <c r="AA320" s="55" t="s">
        <v>4261</v>
      </c>
      <c r="AB320" s="55" t="s">
        <v>3095</v>
      </c>
      <c r="AC320" s="55" t="s">
        <v>3110</v>
      </c>
      <c r="AD320" s="55" t="s">
        <v>4626</v>
      </c>
      <c r="AE320" s="55" t="s">
        <v>3095</v>
      </c>
      <c r="AF320" s="55" t="s">
        <v>3095</v>
      </c>
      <c r="AG320" s="55" t="s">
        <v>3095</v>
      </c>
      <c r="AH320" s="55" t="s">
        <v>3095</v>
      </c>
      <c r="AI320" s="55" t="s">
        <v>3095</v>
      </c>
      <c r="AJ320" s="55" t="s">
        <v>3095</v>
      </c>
      <c r="AK320" s="55" t="s">
        <v>3095</v>
      </c>
      <c r="AL320" s="55" t="s">
        <v>3095</v>
      </c>
      <c r="AM320" s="55" t="s">
        <v>3095</v>
      </c>
    </row>
    <row r="321" ht="45.0" customHeight="1">
      <c r="A321" s="55" t="s">
        <v>1395</v>
      </c>
      <c r="B321" s="55" t="s">
        <v>4627</v>
      </c>
      <c r="C321" s="55" t="str">
        <f>IMAGE("https://raw.githubusercontent.com/ltdimages/images/refs/heads/main/Coordinate0297_00.png")</f>
        <v/>
      </c>
      <c r="D321" s="55" t="str">
        <f>IMAGE("https://raw.githubusercontent.com/ltdimages/images/refs/heads/main/Coordinate0297_01.png")</f>
        <v/>
      </c>
      <c r="E321" s="55" t="str">
        <f>IMAGE("https://raw.githubusercontent.com/ltdimages/images/refs/heads/main/Coordinate0297_02.png")</f>
        <v/>
      </c>
      <c r="F321" s="55" t="str">
        <f>IMAGE("https://raw.githubusercontent.com/ltdimages/images/refs/heads/main/Coordinate0297_03.png")</f>
        <v/>
      </c>
      <c r="G321" s="55" t="str">
        <f>IMAGE("https://raw.githubusercontent.com/ltdimages/images/refs/heads/main/Coordinate0297_04.png")</f>
        <v/>
      </c>
      <c r="H321" s="55" t="str">
        <f>IMAGE("https://raw.githubusercontent.com/ltdimages/images/refs/heads/main/Coordinate0297_05.png")</f>
        <v/>
      </c>
      <c r="I321" s="56" t="str">
        <f>IMAGE("https://raw.githubusercontent.com/ltdimages/images/refs/heads/main/Coordinate0297_06.png")</f>
        <v/>
      </c>
      <c r="J321" s="55" t="str">
        <f>IMAGE("https://raw.githubusercontent.com/ltdimages/images/refs/heads/main/Coordinate0297_07.png")</f>
        <v/>
      </c>
      <c r="K321" s="20" t="s">
        <v>4628</v>
      </c>
      <c r="L321" s="20" t="s">
        <v>4231</v>
      </c>
      <c r="M321" s="55" t="s">
        <v>3131</v>
      </c>
      <c r="N321" s="55" t="s">
        <v>3099</v>
      </c>
      <c r="O321" s="55" t="s">
        <v>45</v>
      </c>
      <c r="P321" s="55" t="s">
        <v>45</v>
      </c>
      <c r="Q321" s="55" t="s">
        <v>45</v>
      </c>
      <c r="R321" s="55" t="s">
        <v>45</v>
      </c>
      <c r="S321" s="55" t="s">
        <v>49</v>
      </c>
      <c r="T321" s="55" t="s">
        <v>45</v>
      </c>
      <c r="U321" s="55" t="s">
        <v>3095</v>
      </c>
      <c r="V321" s="55" t="s">
        <v>4629</v>
      </c>
      <c r="W321" s="55" t="s">
        <v>3095</v>
      </c>
      <c r="X321" s="55" t="s">
        <v>3095</v>
      </c>
      <c r="Y321" s="55" t="s">
        <v>3095</v>
      </c>
      <c r="Z321" s="55" t="s">
        <v>3304</v>
      </c>
      <c r="AA321" s="55" t="s">
        <v>3305</v>
      </c>
      <c r="AB321" s="55" t="s">
        <v>3095</v>
      </c>
      <c r="AC321" s="55" t="s">
        <v>3110</v>
      </c>
      <c r="AD321" s="55" t="s">
        <v>4630</v>
      </c>
      <c r="AE321" s="55" t="s">
        <v>3095</v>
      </c>
      <c r="AF321" s="55" t="s">
        <v>3095</v>
      </c>
      <c r="AG321" s="55" t="s">
        <v>3095</v>
      </c>
      <c r="AH321" s="55" t="s">
        <v>3095</v>
      </c>
      <c r="AI321" s="55" t="s">
        <v>3095</v>
      </c>
      <c r="AJ321" s="55" t="s">
        <v>3095</v>
      </c>
      <c r="AK321" s="55" t="s">
        <v>3095</v>
      </c>
      <c r="AL321" s="55" t="s">
        <v>3095</v>
      </c>
      <c r="AM321" s="55" t="s">
        <v>3095</v>
      </c>
    </row>
    <row r="322" ht="45.0" customHeight="1">
      <c r="A322" s="55" t="s">
        <v>1399</v>
      </c>
      <c r="B322" s="55" t="s">
        <v>4631</v>
      </c>
      <c r="C322" s="55" t="str">
        <f>IMAGE("https://raw.githubusercontent.com/ltdimages/images/refs/heads/main/Coordinate0040_00.png")</f>
        <v/>
      </c>
      <c r="D322" s="55" t="str">
        <f>IMAGE("https://raw.githubusercontent.com/ltdimages/images/refs/heads/main/Coordinate0040_01.png")</f>
        <v/>
      </c>
      <c r="E322" s="55" t="str">
        <f>IMAGE("https://raw.githubusercontent.com/ltdimages/images/refs/heads/main/Coordinate0040_02.png")</f>
        <v/>
      </c>
      <c r="F322" s="55" t="str">
        <f>IMAGE("https://raw.githubusercontent.com/ltdimages/images/refs/heads/main/Coordinate0040_03.png")</f>
        <v/>
      </c>
      <c r="G322" s="55" t="str">
        <f>IMAGE("https://raw.githubusercontent.com/ltdimages/images/refs/heads/main/Coordinate0040_04.png")</f>
        <v/>
      </c>
      <c r="H322" s="55" t="str">
        <f>IMAGE("https://raw.githubusercontent.com/ltdimages/images/refs/heads/main/Coordinate0040_05.png")</f>
        <v/>
      </c>
      <c r="I322" s="56" t="str">
        <f>IMAGE("https://raw.githubusercontent.com/ltdimages/images/refs/heads/main/Coordinate0040_06.png")</f>
        <v/>
      </c>
      <c r="J322" s="55" t="str">
        <f>IMAGE("https://raw.githubusercontent.com/ltdimages/images/refs/heads/main/Coordinate0040_07.png")</f>
        <v/>
      </c>
      <c r="K322" s="20" t="s">
        <v>3789</v>
      </c>
      <c r="L322" s="20" t="s">
        <v>4231</v>
      </c>
      <c r="M322" s="55" t="s">
        <v>3131</v>
      </c>
      <c r="N322" s="55" t="s">
        <v>3099</v>
      </c>
      <c r="O322" s="55" t="s">
        <v>45</v>
      </c>
      <c r="P322" s="55" t="s">
        <v>45</v>
      </c>
      <c r="Q322" s="55" t="s">
        <v>45</v>
      </c>
      <c r="R322" s="55" t="s">
        <v>45</v>
      </c>
      <c r="S322" s="55" t="s">
        <v>45</v>
      </c>
      <c r="T322" s="55" t="s">
        <v>45</v>
      </c>
      <c r="U322" s="55" t="s">
        <v>3095</v>
      </c>
      <c r="V322" s="55" t="s">
        <v>4632</v>
      </c>
      <c r="W322" s="55" t="s">
        <v>3095</v>
      </c>
      <c r="X322" s="55" t="s">
        <v>3095</v>
      </c>
      <c r="Y322" s="55" t="s">
        <v>3095</v>
      </c>
      <c r="Z322" s="55" t="s">
        <v>3986</v>
      </c>
      <c r="AA322" s="55" t="s">
        <v>3222</v>
      </c>
      <c r="AB322" s="55" t="s">
        <v>3095</v>
      </c>
      <c r="AC322" s="55" t="s">
        <v>3110</v>
      </c>
      <c r="AD322" s="55" t="s">
        <v>4633</v>
      </c>
      <c r="AE322" s="55" t="s">
        <v>3095</v>
      </c>
      <c r="AF322" s="55" t="s">
        <v>3095</v>
      </c>
      <c r="AG322" s="55" t="s">
        <v>3095</v>
      </c>
      <c r="AH322" s="55" t="s">
        <v>3095</v>
      </c>
      <c r="AI322" s="55" t="s">
        <v>3095</v>
      </c>
      <c r="AJ322" s="55" t="s">
        <v>3095</v>
      </c>
      <c r="AK322" s="55" t="s">
        <v>3095</v>
      </c>
      <c r="AL322" s="55" t="s">
        <v>3095</v>
      </c>
      <c r="AM322" s="55" t="s">
        <v>3095</v>
      </c>
    </row>
    <row r="323" ht="45.0" customHeight="1">
      <c r="A323" s="55" t="s">
        <v>1403</v>
      </c>
      <c r="B323" s="55" t="s">
        <v>4634</v>
      </c>
      <c r="C323" s="55" t="str">
        <f>IMAGE("https://raw.githubusercontent.com/ltdimages/images/refs/heads/main/Coordinate0136_00.png")</f>
        <v/>
      </c>
      <c r="D323" s="55" t="str">
        <f>IMAGE("https://raw.githubusercontent.com/ltdimages/images/refs/heads/main/Coordinate0136_01.png")</f>
        <v/>
      </c>
      <c r="E323" s="55" t="str">
        <f>IMAGE("https://raw.githubusercontent.com/ltdimages/images/refs/heads/main/Coordinate0136_02.png")</f>
        <v/>
      </c>
      <c r="F323" s="55" t="str">
        <f>IMAGE("https://raw.githubusercontent.com/ltdimages/images/refs/heads/main/Coordinate0136_03.png")</f>
        <v/>
      </c>
      <c r="G323" s="55" t="str">
        <f>IMAGE("https://raw.githubusercontent.com/ltdimages/images/refs/heads/main/Coordinate0136_04.png")</f>
        <v/>
      </c>
      <c r="H323" s="55" t="str">
        <f>IMAGE("https://raw.githubusercontent.com/ltdimages/images/refs/heads/main/Coordinate0136_05.png")</f>
        <v/>
      </c>
      <c r="I323" s="56" t="s">
        <v>3095</v>
      </c>
      <c r="J323" s="55" t="s">
        <v>3095</v>
      </c>
      <c r="K323" s="20" t="s">
        <v>3968</v>
      </c>
      <c r="L323" s="20" t="s">
        <v>4231</v>
      </c>
      <c r="M323" s="55" t="s">
        <v>3131</v>
      </c>
      <c r="N323" s="55" t="s">
        <v>3123</v>
      </c>
      <c r="O323" s="55" t="s">
        <v>45</v>
      </c>
      <c r="P323" s="55" t="s">
        <v>45</v>
      </c>
      <c r="Q323" s="55" t="s">
        <v>45</v>
      </c>
      <c r="R323" s="55" t="s">
        <v>45</v>
      </c>
      <c r="S323" s="55" t="s">
        <v>45</v>
      </c>
      <c r="T323" s="55" t="s">
        <v>45</v>
      </c>
      <c r="U323" s="55" t="s">
        <v>4635</v>
      </c>
      <c r="V323" s="55" t="s">
        <v>3095</v>
      </c>
      <c r="W323" s="55" t="s">
        <v>4280</v>
      </c>
      <c r="X323" s="55" t="s">
        <v>3095</v>
      </c>
      <c r="Y323" s="55" t="s">
        <v>3095</v>
      </c>
      <c r="Z323" s="55" t="s">
        <v>3156</v>
      </c>
      <c r="AA323" s="55" t="s">
        <v>3157</v>
      </c>
      <c r="AB323" s="55" t="s">
        <v>3095</v>
      </c>
      <c r="AC323" s="55" t="s">
        <v>3103</v>
      </c>
      <c r="AD323" s="55" t="s">
        <v>4636</v>
      </c>
      <c r="AE323" s="55" t="s">
        <v>3095</v>
      </c>
      <c r="AF323" s="55" t="s">
        <v>3095</v>
      </c>
      <c r="AG323" s="55" t="s">
        <v>3095</v>
      </c>
      <c r="AH323" s="55" t="s">
        <v>3095</v>
      </c>
      <c r="AI323" s="55" t="s">
        <v>3095</v>
      </c>
      <c r="AJ323" s="55" t="s">
        <v>3095</v>
      </c>
      <c r="AK323" s="55" t="s">
        <v>3095</v>
      </c>
      <c r="AL323" s="55" t="s">
        <v>3095</v>
      </c>
      <c r="AM323" s="55" t="s">
        <v>3095</v>
      </c>
    </row>
    <row r="324" ht="45.0" customHeight="1">
      <c r="A324" s="55" t="s">
        <v>1407</v>
      </c>
      <c r="B324" s="55" t="s">
        <v>4637</v>
      </c>
      <c r="C324" s="55" t="str">
        <f>IMAGE("https://raw.githubusercontent.com/ltdimages/images/refs/heads/main/Coordinate0010_00.png")</f>
        <v/>
      </c>
      <c r="D324" s="55" t="str">
        <f>IMAGE("https://raw.githubusercontent.com/ltdimages/images/refs/heads/main/Coordinate0010_01.png")</f>
        <v/>
      </c>
      <c r="E324" s="55" t="str">
        <f>IMAGE("https://raw.githubusercontent.com/ltdimages/images/refs/heads/main/Coordinate0010_02.png")</f>
        <v/>
      </c>
      <c r="F324" s="55" t="str">
        <f>IMAGE("https://raw.githubusercontent.com/ltdimages/images/refs/heads/main/Coordinate0010_03.png")</f>
        <v/>
      </c>
      <c r="G324" s="55" t="str">
        <f>IMAGE("https://raw.githubusercontent.com/ltdimages/images/refs/heads/main/Coordinate0010_04.png")</f>
        <v/>
      </c>
      <c r="H324" s="55" t="str">
        <f>IMAGE("https://raw.githubusercontent.com/ltdimages/images/refs/heads/main/Coordinate0010_05.png")</f>
        <v/>
      </c>
      <c r="I324" s="56" t="s">
        <v>3095</v>
      </c>
      <c r="J324" s="55" t="s">
        <v>3095</v>
      </c>
      <c r="K324" s="20" t="s">
        <v>4638</v>
      </c>
      <c r="L324" s="20" t="s">
        <v>4231</v>
      </c>
      <c r="M324" s="55" t="s">
        <v>3098</v>
      </c>
      <c r="N324" s="55" t="s">
        <v>3099</v>
      </c>
      <c r="O324" s="55" t="s">
        <v>45</v>
      </c>
      <c r="P324" s="55" t="s">
        <v>45</v>
      </c>
      <c r="Q324" s="55" t="s">
        <v>45</v>
      </c>
      <c r="R324" s="55" t="s">
        <v>45</v>
      </c>
      <c r="S324" s="55" t="s">
        <v>45</v>
      </c>
      <c r="T324" s="55" t="s">
        <v>45</v>
      </c>
      <c r="U324" s="55" t="s">
        <v>4639</v>
      </c>
      <c r="V324" s="55" t="s">
        <v>3095</v>
      </c>
      <c r="W324" s="55" t="s">
        <v>3206</v>
      </c>
      <c r="X324" s="55" t="s">
        <v>3095</v>
      </c>
      <c r="Y324" s="55" t="s">
        <v>3095</v>
      </c>
      <c r="Z324" s="55" t="s">
        <v>3164</v>
      </c>
      <c r="AA324" s="55" t="s">
        <v>3222</v>
      </c>
      <c r="AB324" s="55" t="s">
        <v>3095</v>
      </c>
      <c r="AC324" s="55" t="s">
        <v>3103</v>
      </c>
      <c r="AD324" s="55" t="s">
        <v>4640</v>
      </c>
      <c r="AE324" s="55" t="s">
        <v>3095</v>
      </c>
      <c r="AF324" s="55" t="s">
        <v>3095</v>
      </c>
      <c r="AG324" s="55" t="s">
        <v>3095</v>
      </c>
      <c r="AH324" s="55" t="s">
        <v>3095</v>
      </c>
      <c r="AI324" s="55" t="s">
        <v>3095</v>
      </c>
      <c r="AJ324" s="55" t="s">
        <v>3095</v>
      </c>
      <c r="AK324" s="55" t="s">
        <v>3095</v>
      </c>
      <c r="AL324" s="55" t="s">
        <v>3095</v>
      </c>
      <c r="AM324" s="55" t="s">
        <v>3095</v>
      </c>
    </row>
    <row r="325" ht="45.0" customHeight="1">
      <c r="A325" s="55" t="s">
        <v>1411</v>
      </c>
      <c r="B325" s="55" t="s">
        <v>4641</v>
      </c>
      <c r="C325" s="55" t="str">
        <f>IMAGE("https://raw.githubusercontent.com/ltdimages/images/refs/heads/main/Coordinate0154_00.png")</f>
        <v/>
      </c>
      <c r="D325" s="55" t="str">
        <f>IMAGE("https://raw.githubusercontent.com/ltdimages/images/refs/heads/main/Coordinate0154_01.png")</f>
        <v/>
      </c>
      <c r="E325" s="55" t="str">
        <f>IMAGE("https://raw.githubusercontent.com/ltdimages/images/refs/heads/main/Coordinate0154_02.png")</f>
        <v/>
      </c>
      <c r="F325" s="55" t="str">
        <f>IMAGE("https://raw.githubusercontent.com/ltdimages/images/refs/heads/main/Coordinate0154_03.png")</f>
        <v/>
      </c>
      <c r="G325" s="55" t="str">
        <f>IMAGE("https://raw.githubusercontent.com/ltdimages/images/refs/heads/main/Coordinate0154_04.png")</f>
        <v/>
      </c>
      <c r="H325" s="55" t="str">
        <f>IMAGE("https://raw.githubusercontent.com/ltdimages/images/refs/heads/main/Coordinate0154_05.png")</f>
        <v/>
      </c>
      <c r="I325" s="56" t="str">
        <f>IMAGE("https://raw.githubusercontent.com/ltdimages/images/refs/heads/main/Coordinate0154_06.png")</f>
        <v/>
      </c>
      <c r="J325" s="55" t="str">
        <f>IMAGE("https://raw.githubusercontent.com/ltdimages/images/refs/heads/main/Coordinate0154_07.png")</f>
        <v/>
      </c>
      <c r="K325" s="20" t="s">
        <v>4642</v>
      </c>
      <c r="L325" s="20" t="s">
        <v>4231</v>
      </c>
      <c r="M325" s="55" t="s">
        <v>3131</v>
      </c>
      <c r="N325" s="55" t="s">
        <v>3099</v>
      </c>
      <c r="O325" s="55" t="s">
        <v>45</v>
      </c>
      <c r="P325" s="55" t="s">
        <v>45</v>
      </c>
      <c r="Q325" s="55" t="s">
        <v>45</v>
      </c>
      <c r="R325" s="55" t="s">
        <v>45</v>
      </c>
      <c r="S325" s="55" t="s">
        <v>45</v>
      </c>
      <c r="T325" s="55" t="s">
        <v>45</v>
      </c>
      <c r="U325" s="55" t="s">
        <v>3095</v>
      </c>
      <c r="V325" s="55" t="s">
        <v>4643</v>
      </c>
      <c r="W325" s="55" t="s">
        <v>3095</v>
      </c>
      <c r="X325" s="55" t="s">
        <v>3095</v>
      </c>
      <c r="Y325" s="55" t="s">
        <v>4391</v>
      </c>
      <c r="Z325" s="55" t="s">
        <v>3095</v>
      </c>
      <c r="AA325" s="55" t="s">
        <v>4644</v>
      </c>
      <c r="AB325" s="55" t="s">
        <v>3095</v>
      </c>
      <c r="AC325" s="55" t="s">
        <v>3110</v>
      </c>
      <c r="AD325" s="55" t="s">
        <v>4645</v>
      </c>
      <c r="AE325" s="55" t="s">
        <v>3095</v>
      </c>
      <c r="AF325" s="55" t="s">
        <v>3095</v>
      </c>
      <c r="AG325" s="55" t="s">
        <v>3095</v>
      </c>
      <c r="AH325" s="55" t="s">
        <v>3095</v>
      </c>
      <c r="AI325" s="55" t="s">
        <v>3095</v>
      </c>
      <c r="AJ325" s="55" t="s">
        <v>3095</v>
      </c>
      <c r="AK325" s="55" t="s">
        <v>3095</v>
      </c>
      <c r="AL325" s="55" t="s">
        <v>3095</v>
      </c>
      <c r="AM325" s="55" t="s">
        <v>3095</v>
      </c>
    </row>
    <row r="326" ht="45.0" customHeight="1">
      <c r="A326" s="55" t="s">
        <v>1415</v>
      </c>
      <c r="B326" s="55" t="s">
        <v>4646</v>
      </c>
      <c r="C326" s="55" t="str">
        <f>IMAGE("https://raw.githubusercontent.com/ltdimages/images/refs/heads/main/Coordinate0141_00.png")</f>
        <v/>
      </c>
      <c r="D326" s="55" t="str">
        <f>IMAGE("https://raw.githubusercontent.com/ltdimages/images/refs/heads/main/Coordinate0141_01.png")</f>
        <v/>
      </c>
      <c r="E326" s="55" t="str">
        <f>IMAGE("https://raw.githubusercontent.com/ltdimages/images/refs/heads/main/Coordinate0141_02.png")</f>
        <v/>
      </c>
      <c r="F326" s="55" t="str">
        <f>IMAGE("https://raw.githubusercontent.com/ltdimages/images/refs/heads/main/Coordinate0141_03.png")</f>
        <v/>
      </c>
      <c r="G326" s="55" t="str">
        <f>IMAGE("https://raw.githubusercontent.com/ltdimages/images/refs/heads/main/Coordinate0141_04.png")</f>
        <v/>
      </c>
      <c r="H326" s="55" t="str">
        <f>IMAGE("https://raw.githubusercontent.com/ltdimages/images/refs/heads/main/Coordinate0141_05.png")</f>
        <v/>
      </c>
      <c r="I326" s="56" t="str">
        <f>IMAGE("https://raw.githubusercontent.com/ltdimages/images/refs/heads/main/Coordinate0141_06.png")</f>
        <v/>
      </c>
      <c r="J326" s="55" t="str">
        <f>IMAGE("https://raw.githubusercontent.com/ltdimages/images/refs/heads/main/Coordinate0141_07.png")</f>
        <v/>
      </c>
      <c r="K326" s="20" t="s">
        <v>4647</v>
      </c>
      <c r="L326" s="20" t="s">
        <v>4231</v>
      </c>
      <c r="M326" s="55" t="s">
        <v>3131</v>
      </c>
      <c r="N326" s="55" t="s">
        <v>3099</v>
      </c>
      <c r="O326" s="55" t="s">
        <v>45</v>
      </c>
      <c r="P326" s="55" t="s">
        <v>45</v>
      </c>
      <c r="Q326" s="55" t="s">
        <v>45</v>
      </c>
      <c r="R326" s="55" t="s">
        <v>45</v>
      </c>
      <c r="S326" s="55" t="s">
        <v>45</v>
      </c>
      <c r="T326" s="55" t="s">
        <v>45</v>
      </c>
      <c r="U326" s="55" t="s">
        <v>3095</v>
      </c>
      <c r="V326" s="55" t="s">
        <v>4648</v>
      </c>
      <c r="W326" s="55" t="s">
        <v>3095</v>
      </c>
      <c r="X326" s="55" t="s">
        <v>3713</v>
      </c>
      <c r="Y326" s="55" t="s">
        <v>3095</v>
      </c>
      <c r="Z326" s="55" t="s">
        <v>4335</v>
      </c>
      <c r="AA326" s="55" t="s">
        <v>3341</v>
      </c>
      <c r="AB326" s="55" t="s">
        <v>3095</v>
      </c>
      <c r="AC326" s="55" t="s">
        <v>3110</v>
      </c>
      <c r="AD326" s="55" t="s">
        <v>4649</v>
      </c>
      <c r="AE326" s="55" t="s">
        <v>3095</v>
      </c>
      <c r="AF326" s="55" t="s">
        <v>3095</v>
      </c>
      <c r="AG326" s="55" t="s">
        <v>3095</v>
      </c>
      <c r="AH326" s="55" t="s">
        <v>3095</v>
      </c>
      <c r="AI326" s="55" t="s">
        <v>3095</v>
      </c>
      <c r="AJ326" s="55" t="s">
        <v>3095</v>
      </c>
      <c r="AK326" s="55" t="s">
        <v>3095</v>
      </c>
      <c r="AL326" s="55" t="s">
        <v>3095</v>
      </c>
      <c r="AM326" s="55" t="s">
        <v>3095</v>
      </c>
    </row>
    <row r="327" ht="45.0" customHeight="1">
      <c r="A327" s="55" t="s">
        <v>1419</v>
      </c>
      <c r="B327" s="55" t="s">
        <v>4650</v>
      </c>
      <c r="C327" s="55" t="str">
        <f>IMAGE("https://raw.githubusercontent.com/ltdimages/images/refs/heads/main/Coordinate0151_00.png")</f>
        <v/>
      </c>
      <c r="D327" s="55" t="str">
        <f>IMAGE("https://raw.githubusercontent.com/ltdimages/images/refs/heads/main/Coordinate0151_01.png")</f>
        <v/>
      </c>
      <c r="E327" s="55" t="str">
        <f>IMAGE("https://raw.githubusercontent.com/ltdimages/images/refs/heads/main/Coordinate0151_02.png")</f>
        <v/>
      </c>
      <c r="F327" s="55" t="str">
        <f>IMAGE("https://raw.githubusercontent.com/ltdimages/images/refs/heads/main/Coordinate0151_03.png")</f>
        <v/>
      </c>
      <c r="G327" s="55" t="str">
        <f>IMAGE("https://raw.githubusercontent.com/ltdimages/images/refs/heads/main/Coordinate0151_04.png")</f>
        <v/>
      </c>
      <c r="H327" s="55" t="str">
        <f>IMAGE("https://raw.githubusercontent.com/ltdimages/images/refs/heads/main/Coordinate0151_05.png")</f>
        <v/>
      </c>
      <c r="I327" s="56" t="s">
        <v>3095</v>
      </c>
      <c r="J327" s="55" t="s">
        <v>3095</v>
      </c>
      <c r="K327" s="20" t="s">
        <v>3204</v>
      </c>
      <c r="L327" s="20" t="s">
        <v>4231</v>
      </c>
      <c r="M327" s="55" t="s">
        <v>3098</v>
      </c>
      <c r="N327" s="55" t="s">
        <v>3123</v>
      </c>
      <c r="O327" s="55" t="s">
        <v>45</v>
      </c>
      <c r="P327" s="55" t="s">
        <v>45</v>
      </c>
      <c r="Q327" s="55" t="s">
        <v>45</v>
      </c>
      <c r="R327" s="55" t="s">
        <v>45</v>
      </c>
      <c r="S327" s="55" t="s">
        <v>45</v>
      </c>
      <c r="T327" s="55" t="s">
        <v>45</v>
      </c>
      <c r="U327" s="55" t="s">
        <v>4651</v>
      </c>
      <c r="V327" s="55" t="s">
        <v>3095</v>
      </c>
      <c r="W327" s="55" t="s">
        <v>3791</v>
      </c>
      <c r="X327" s="55" t="s">
        <v>3095</v>
      </c>
      <c r="Y327" s="55" t="s">
        <v>3095</v>
      </c>
      <c r="Z327" s="55" t="s">
        <v>4250</v>
      </c>
      <c r="AA327" s="55" t="s">
        <v>4257</v>
      </c>
      <c r="AB327" s="55" t="s">
        <v>3095</v>
      </c>
      <c r="AC327" s="55" t="s">
        <v>3103</v>
      </c>
      <c r="AD327" s="55" t="s">
        <v>4652</v>
      </c>
      <c r="AE327" s="55" t="s">
        <v>3095</v>
      </c>
      <c r="AF327" s="55" t="s">
        <v>3095</v>
      </c>
      <c r="AG327" s="55" t="s">
        <v>3095</v>
      </c>
      <c r="AH327" s="55" t="s">
        <v>3095</v>
      </c>
      <c r="AI327" s="55" t="s">
        <v>3095</v>
      </c>
      <c r="AJ327" s="55" t="s">
        <v>3095</v>
      </c>
      <c r="AK327" s="55" t="s">
        <v>3095</v>
      </c>
      <c r="AL327" s="55" t="s">
        <v>3095</v>
      </c>
      <c r="AM327" s="55" t="s">
        <v>3095</v>
      </c>
    </row>
    <row r="328" ht="45.0" customHeight="1">
      <c r="A328" s="55" t="s">
        <v>1423</v>
      </c>
      <c r="B328" s="55" t="s">
        <v>4653</v>
      </c>
      <c r="C328" s="55" t="str">
        <f>IMAGE("https://raw.githubusercontent.com/ltdimages/images/refs/heads/main/Coordinate0257_00.png")</f>
        <v/>
      </c>
      <c r="D328" s="55" t="str">
        <f>IMAGE("https://raw.githubusercontent.com/ltdimages/images/refs/heads/main/Coordinate0257_01.png")</f>
        <v/>
      </c>
      <c r="E328" s="55" t="str">
        <f>IMAGE("https://raw.githubusercontent.com/ltdimages/images/refs/heads/main/Coordinate0257_02.png")</f>
        <v/>
      </c>
      <c r="F328" s="55" t="str">
        <f>IMAGE("https://raw.githubusercontent.com/ltdimages/images/refs/heads/main/Coordinate0257_03.png")</f>
        <v/>
      </c>
      <c r="G328" s="55" t="str">
        <f>IMAGE("https://raw.githubusercontent.com/ltdimages/images/refs/heads/main/Coordinate0257_04.png")</f>
        <v/>
      </c>
      <c r="H328" s="55" t="str">
        <f>IMAGE("https://raw.githubusercontent.com/ltdimages/images/refs/heads/main/Coordinate0257_05.png")</f>
        <v/>
      </c>
      <c r="I328" s="56" t="str">
        <f>IMAGE("https://raw.githubusercontent.com/ltdimages/images/refs/heads/main/Coordinate0257_06.png")</f>
        <v/>
      </c>
      <c r="J328" s="55" t="str">
        <f>IMAGE("https://raw.githubusercontent.com/ltdimages/images/refs/heads/main/Coordinate0257_07.png")</f>
        <v/>
      </c>
      <c r="K328" s="20" t="s">
        <v>4654</v>
      </c>
      <c r="L328" s="20" t="s">
        <v>4231</v>
      </c>
      <c r="M328" s="55" t="s">
        <v>3131</v>
      </c>
      <c r="N328" s="55" t="s">
        <v>3114</v>
      </c>
      <c r="O328" s="55" t="s">
        <v>45</v>
      </c>
      <c r="P328" s="55" t="s">
        <v>45</v>
      </c>
      <c r="Q328" s="55" t="s">
        <v>45</v>
      </c>
      <c r="R328" s="55" t="s">
        <v>45</v>
      </c>
      <c r="S328" s="55" t="s">
        <v>45</v>
      </c>
      <c r="T328" s="55" t="s">
        <v>45</v>
      </c>
      <c r="U328" s="55" t="s">
        <v>3465</v>
      </c>
      <c r="V328" s="55" t="s">
        <v>3095</v>
      </c>
      <c r="W328" s="55" t="s">
        <v>4274</v>
      </c>
      <c r="X328" s="55" t="s">
        <v>3095</v>
      </c>
      <c r="Y328" s="55" t="s">
        <v>4655</v>
      </c>
      <c r="Z328" s="55" t="s">
        <v>3708</v>
      </c>
      <c r="AA328" s="55" t="s">
        <v>3434</v>
      </c>
      <c r="AB328" s="55" t="s">
        <v>3095</v>
      </c>
      <c r="AC328" s="55" t="s">
        <v>3103</v>
      </c>
      <c r="AD328" s="55" t="s">
        <v>4656</v>
      </c>
      <c r="AE328" s="55" t="s">
        <v>3095</v>
      </c>
      <c r="AF328" s="55" t="s">
        <v>3095</v>
      </c>
      <c r="AG328" s="55" t="s">
        <v>3095</v>
      </c>
      <c r="AH328" s="55" t="s">
        <v>3095</v>
      </c>
      <c r="AI328" s="55" t="s">
        <v>3095</v>
      </c>
      <c r="AJ328" s="55" t="s">
        <v>3095</v>
      </c>
      <c r="AK328" s="55" t="s">
        <v>3095</v>
      </c>
      <c r="AL328" s="55" t="s">
        <v>3095</v>
      </c>
      <c r="AM328" s="55" t="s">
        <v>3095</v>
      </c>
    </row>
    <row r="329" ht="45.0" customHeight="1">
      <c r="A329" s="55" t="s">
        <v>1427</v>
      </c>
      <c r="B329" s="55" t="s">
        <v>4657</v>
      </c>
      <c r="C329" s="55" t="str">
        <f>IMAGE("https://raw.githubusercontent.com/ltdimages/images/refs/heads/main/Coordinate0074_00.png")</f>
        <v/>
      </c>
      <c r="D329" s="55" t="s">
        <v>3095</v>
      </c>
      <c r="E329" s="55" t="s">
        <v>3095</v>
      </c>
      <c r="F329" s="55" t="s">
        <v>3095</v>
      </c>
      <c r="G329" s="55" t="s">
        <v>3095</v>
      </c>
      <c r="H329" s="55" t="s">
        <v>3095</v>
      </c>
      <c r="I329" s="56" t="s">
        <v>3095</v>
      </c>
      <c r="J329" s="55" t="s">
        <v>3095</v>
      </c>
      <c r="K329" s="20" t="s">
        <v>4658</v>
      </c>
      <c r="L329" s="20" t="s">
        <v>4231</v>
      </c>
      <c r="M329" s="55" t="s">
        <v>3131</v>
      </c>
      <c r="N329" s="55" t="s">
        <v>3123</v>
      </c>
      <c r="O329" s="55" t="s">
        <v>45</v>
      </c>
      <c r="P329" s="55" t="s">
        <v>45</v>
      </c>
      <c r="Q329" s="55" t="s">
        <v>45</v>
      </c>
      <c r="R329" s="55" t="s">
        <v>45</v>
      </c>
      <c r="S329" s="55" t="s">
        <v>45</v>
      </c>
      <c r="T329" s="55" t="s">
        <v>45</v>
      </c>
      <c r="U329" s="55" t="s">
        <v>3095</v>
      </c>
      <c r="V329" s="55" t="s">
        <v>4659</v>
      </c>
      <c r="W329" s="55" t="s">
        <v>3095</v>
      </c>
      <c r="X329" s="55" t="s">
        <v>4314</v>
      </c>
      <c r="Y329" s="55" t="s">
        <v>3095</v>
      </c>
      <c r="Z329" s="55" t="s">
        <v>3095</v>
      </c>
      <c r="AA329" s="55" t="s">
        <v>4660</v>
      </c>
      <c r="AB329" s="55" t="s">
        <v>3095</v>
      </c>
      <c r="AC329" s="55" t="s">
        <v>3110</v>
      </c>
      <c r="AD329" s="55" t="s">
        <v>4661</v>
      </c>
      <c r="AE329" s="55" t="s">
        <v>3095</v>
      </c>
      <c r="AF329" s="55" t="s">
        <v>3095</v>
      </c>
      <c r="AG329" s="55" t="s">
        <v>3095</v>
      </c>
      <c r="AH329" s="55" t="s">
        <v>3095</v>
      </c>
      <c r="AI329" s="55" t="s">
        <v>3095</v>
      </c>
      <c r="AJ329" s="55" t="s">
        <v>3095</v>
      </c>
      <c r="AK329" s="55" t="s">
        <v>3095</v>
      </c>
      <c r="AL329" s="55" t="s">
        <v>3095</v>
      </c>
      <c r="AM329" s="55" t="s">
        <v>3095</v>
      </c>
    </row>
    <row r="330" ht="45.0" customHeight="1">
      <c r="A330" s="55" t="s">
        <v>1431</v>
      </c>
      <c r="B330" s="55" t="s">
        <v>4662</v>
      </c>
      <c r="C330" s="55" t="str">
        <f>IMAGE("https://raw.githubusercontent.com/ltdimages/images/refs/heads/main/Coordinate0016_00.png")</f>
        <v/>
      </c>
      <c r="D330" s="55" t="str">
        <f>IMAGE("https://raw.githubusercontent.com/ltdimages/images/refs/heads/main/Coordinate0016_01.png")</f>
        <v/>
      </c>
      <c r="E330" s="55" t="str">
        <f>IMAGE("https://raw.githubusercontent.com/ltdimages/images/refs/heads/main/Coordinate0016_02.png")</f>
        <v/>
      </c>
      <c r="F330" s="55" t="str">
        <f>IMAGE("https://raw.githubusercontent.com/ltdimages/images/refs/heads/main/Coordinate0016_03.png")</f>
        <v/>
      </c>
      <c r="G330" s="55" t="str">
        <f>IMAGE("https://raw.githubusercontent.com/ltdimages/images/refs/heads/main/Coordinate0016_04.png")</f>
        <v/>
      </c>
      <c r="H330" s="55" t="str">
        <f>IMAGE("https://raw.githubusercontent.com/ltdimages/images/refs/heads/main/Coordinate0016_05.png")</f>
        <v/>
      </c>
      <c r="I330" s="56" t="s">
        <v>3095</v>
      </c>
      <c r="J330" s="55" t="s">
        <v>3095</v>
      </c>
      <c r="K330" s="20" t="s">
        <v>4145</v>
      </c>
      <c r="L330" s="20" t="s">
        <v>4231</v>
      </c>
      <c r="M330" s="55" t="s">
        <v>3131</v>
      </c>
      <c r="N330" s="55" t="s">
        <v>3123</v>
      </c>
      <c r="O330" s="55" t="s">
        <v>45</v>
      </c>
      <c r="P330" s="55" t="s">
        <v>45</v>
      </c>
      <c r="Q330" s="55" t="s">
        <v>45</v>
      </c>
      <c r="R330" s="55" t="s">
        <v>45</v>
      </c>
      <c r="S330" s="55" t="s">
        <v>45</v>
      </c>
      <c r="T330" s="55" t="s">
        <v>45</v>
      </c>
      <c r="U330" s="55" t="s">
        <v>4663</v>
      </c>
      <c r="V330" s="55" t="s">
        <v>3095</v>
      </c>
      <c r="W330" s="55" t="s">
        <v>4664</v>
      </c>
      <c r="X330" s="55" t="s">
        <v>3095</v>
      </c>
      <c r="Y330" s="55" t="s">
        <v>3095</v>
      </c>
      <c r="Z330" s="55" t="s">
        <v>3095</v>
      </c>
      <c r="AA330" s="55" t="s">
        <v>3135</v>
      </c>
      <c r="AB330" s="55" t="s">
        <v>3095</v>
      </c>
      <c r="AC330" s="55" t="s">
        <v>3103</v>
      </c>
      <c r="AD330" s="55" t="s">
        <v>4665</v>
      </c>
      <c r="AE330" s="55" t="s">
        <v>3095</v>
      </c>
      <c r="AF330" s="55" t="s">
        <v>3095</v>
      </c>
      <c r="AG330" s="55" t="s">
        <v>3095</v>
      </c>
      <c r="AH330" s="55" t="s">
        <v>3095</v>
      </c>
      <c r="AI330" s="55" t="s">
        <v>3095</v>
      </c>
      <c r="AJ330" s="55" t="s">
        <v>3095</v>
      </c>
      <c r="AK330" s="55" t="s">
        <v>3095</v>
      </c>
      <c r="AL330" s="55" t="s">
        <v>3095</v>
      </c>
      <c r="AM330" s="55" t="s">
        <v>3095</v>
      </c>
    </row>
    <row r="331" ht="45.0" customHeight="1">
      <c r="A331" s="55" t="s">
        <v>1435</v>
      </c>
      <c r="B331" s="55" t="s">
        <v>4666</v>
      </c>
      <c r="C331" s="55" t="str">
        <f>IMAGE("https://raw.githubusercontent.com/ltdimages/images/refs/heads/main/Coordinate0279_00.png")</f>
        <v/>
      </c>
      <c r="D331" s="55" t="str">
        <f>IMAGE("https://raw.githubusercontent.com/ltdimages/images/refs/heads/main/Coordinate0279_01.png")</f>
        <v/>
      </c>
      <c r="E331" s="55" t="str">
        <f>IMAGE("https://raw.githubusercontent.com/ltdimages/images/refs/heads/main/Coordinate0279_02.png")</f>
        <v/>
      </c>
      <c r="F331" s="55" t="str">
        <f>IMAGE("https://raw.githubusercontent.com/ltdimages/images/refs/heads/main/Coordinate0279_03.png")</f>
        <v/>
      </c>
      <c r="G331" s="55" t="str">
        <f>IMAGE("https://raw.githubusercontent.com/ltdimages/images/refs/heads/main/Coordinate0279_04.png")</f>
        <v/>
      </c>
      <c r="H331" s="55" t="s">
        <v>3095</v>
      </c>
      <c r="I331" s="56" t="s">
        <v>3095</v>
      </c>
      <c r="J331" s="55" t="s">
        <v>3095</v>
      </c>
      <c r="K331" s="20" t="s">
        <v>4667</v>
      </c>
      <c r="L331" s="20" t="s">
        <v>4231</v>
      </c>
      <c r="M331" s="55" t="s">
        <v>3131</v>
      </c>
      <c r="N331" s="55" t="s">
        <v>3099</v>
      </c>
      <c r="O331" s="55" t="s">
        <v>45</v>
      </c>
      <c r="P331" s="55" t="s">
        <v>45</v>
      </c>
      <c r="Q331" s="55" t="s">
        <v>45</v>
      </c>
      <c r="R331" s="55" t="s">
        <v>49</v>
      </c>
      <c r="S331" s="55" t="s">
        <v>45</v>
      </c>
      <c r="T331" s="55" t="s">
        <v>45</v>
      </c>
      <c r="U331" s="55" t="s">
        <v>3095</v>
      </c>
      <c r="V331" s="55" t="s">
        <v>4668</v>
      </c>
      <c r="W331" s="55" t="s">
        <v>3095</v>
      </c>
      <c r="X331" s="55" t="s">
        <v>4044</v>
      </c>
      <c r="Y331" s="55" t="s">
        <v>3095</v>
      </c>
      <c r="Z331" s="55" t="s">
        <v>4669</v>
      </c>
      <c r="AA331" s="55" t="s">
        <v>3550</v>
      </c>
      <c r="AB331" s="55" t="s">
        <v>3095</v>
      </c>
      <c r="AC331" s="55" t="s">
        <v>3110</v>
      </c>
      <c r="AD331" s="55" t="s">
        <v>4670</v>
      </c>
      <c r="AE331" s="55" t="s">
        <v>3095</v>
      </c>
      <c r="AF331" s="55" t="s">
        <v>3095</v>
      </c>
      <c r="AG331" s="55" t="s">
        <v>3095</v>
      </c>
      <c r="AH331" s="55" t="s">
        <v>3095</v>
      </c>
      <c r="AI331" s="55" t="s">
        <v>3095</v>
      </c>
      <c r="AJ331" s="55" t="s">
        <v>3095</v>
      </c>
      <c r="AK331" s="55" t="s">
        <v>3095</v>
      </c>
      <c r="AL331" s="55" t="s">
        <v>3095</v>
      </c>
      <c r="AM331" s="55" t="s">
        <v>3095</v>
      </c>
    </row>
    <row r="332" ht="45.0" customHeight="1">
      <c r="A332" s="55" t="s">
        <v>1439</v>
      </c>
      <c r="B332" s="55" t="s">
        <v>4671</v>
      </c>
      <c r="C332" s="55" t="str">
        <f>IMAGE("https://raw.githubusercontent.com/ltdimages/images/refs/heads/main/Coordinate0310_00.png")</f>
        <v/>
      </c>
      <c r="D332" s="55" t="str">
        <f>IMAGE("https://raw.githubusercontent.com/ltdimages/images/refs/heads/main/Coordinate0310_01.png")</f>
        <v/>
      </c>
      <c r="E332" s="55" t="str">
        <f>IMAGE("https://raw.githubusercontent.com/ltdimages/images/refs/heads/main/Coordinate0310_02.png")</f>
        <v/>
      </c>
      <c r="F332" s="55" t="str">
        <f>IMAGE("https://raw.githubusercontent.com/ltdimages/images/refs/heads/main/Coordinate0310_03.png")</f>
        <v/>
      </c>
      <c r="G332" s="55" t="str">
        <f>IMAGE("https://raw.githubusercontent.com/ltdimages/images/refs/heads/main/Coordinate0310_04.png")</f>
        <v/>
      </c>
      <c r="H332" s="55" t="str">
        <f>IMAGE("https://raw.githubusercontent.com/ltdimages/images/refs/heads/main/Coordinate0310_05.png")</f>
        <v/>
      </c>
      <c r="I332" s="56" t="str">
        <f>IMAGE("https://raw.githubusercontent.com/ltdimages/images/refs/heads/main/Coordinate0310_06.png")</f>
        <v/>
      </c>
      <c r="J332" s="55" t="str">
        <f>IMAGE("https://raw.githubusercontent.com/ltdimages/images/refs/heads/main/Coordinate0310_07.png")</f>
        <v/>
      </c>
      <c r="K332" s="20" t="s">
        <v>4672</v>
      </c>
      <c r="L332" s="20" t="s">
        <v>4231</v>
      </c>
      <c r="M332" s="55" t="s">
        <v>3131</v>
      </c>
      <c r="N332" s="55" t="s">
        <v>3099</v>
      </c>
      <c r="O332" s="55" t="s">
        <v>45</v>
      </c>
      <c r="P332" s="55" t="s">
        <v>45</v>
      </c>
      <c r="Q332" s="55" t="s">
        <v>45</v>
      </c>
      <c r="R332" s="55" t="s">
        <v>45</v>
      </c>
      <c r="S332" s="55" t="s">
        <v>45</v>
      </c>
      <c r="T332" s="55" t="s">
        <v>45</v>
      </c>
      <c r="U332" s="55" t="s">
        <v>4673</v>
      </c>
      <c r="V332" s="55" t="s">
        <v>3095</v>
      </c>
      <c r="W332" s="55" t="s">
        <v>4674</v>
      </c>
      <c r="X332" s="55" t="s">
        <v>3095</v>
      </c>
      <c r="Y332" s="55" t="s">
        <v>4675</v>
      </c>
      <c r="Z332" s="55" t="s">
        <v>3986</v>
      </c>
      <c r="AA332" s="55" t="s">
        <v>4676</v>
      </c>
      <c r="AB332" s="55" t="s">
        <v>3095</v>
      </c>
      <c r="AC332" s="55" t="s">
        <v>3103</v>
      </c>
      <c r="AD332" s="55" t="s">
        <v>4677</v>
      </c>
      <c r="AE332" s="55" t="s">
        <v>3095</v>
      </c>
      <c r="AF332" s="55" t="s">
        <v>3095</v>
      </c>
      <c r="AG332" s="55" t="s">
        <v>3095</v>
      </c>
      <c r="AH332" s="55" t="s">
        <v>3095</v>
      </c>
      <c r="AI332" s="55" t="s">
        <v>3095</v>
      </c>
      <c r="AJ332" s="55" t="s">
        <v>3095</v>
      </c>
      <c r="AK332" s="55" t="s">
        <v>3095</v>
      </c>
      <c r="AL332" s="55" t="s">
        <v>3095</v>
      </c>
      <c r="AM332" s="55" t="s">
        <v>3095</v>
      </c>
    </row>
    <row r="333" ht="45.0" customHeight="1">
      <c r="A333" s="55" t="s">
        <v>1443</v>
      </c>
      <c r="B333" s="55" t="s">
        <v>4678</v>
      </c>
      <c r="C333" s="55" t="str">
        <f>IMAGE("https://raw.githubusercontent.com/ltdimages/images/refs/heads/main/Coordinate0013_00.png")</f>
        <v/>
      </c>
      <c r="D333" s="55" t="str">
        <f>IMAGE("https://raw.githubusercontent.com/ltdimages/images/refs/heads/main/Coordinate0013_01.png")</f>
        <v/>
      </c>
      <c r="E333" s="55" t="str">
        <f>IMAGE("https://raw.githubusercontent.com/ltdimages/images/refs/heads/main/Coordinate0013_02.png")</f>
        <v/>
      </c>
      <c r="F333" s="55" t="str">
        <f>IMAGE("https://raw.githubusercontent.com/ltdimages/images/refs/heads/main/Coordinate0013_03.png")</f>
        <v/>
      </c>
      <c r="G333" s="55" t="str">
        <f>IMAGE("https://raw.githubusercontent.com/ltdimages/images/refs/heads/main/Coordinate0013_04.png")</f>
        <v/>
      </c>
      <c r="H333" s="55" t="str">
        <f>IMAGE("https://raw.githubusercontent.com/ltdimages/images/refs/heads/main/Coordinate0013_05.png")</f>
        <v/>
      </c>
      <c r="I333" s="56" t="s">
        <v>3095</v>
      </c>
      <c r="J333" s="55" t="s">
        <v>3095</v>
      </c>
      <c r="K333" s="20" t="s">
        <v>3464</v>
      </c>
      <c r="L333" s="20" t="s">
        <v>4231</v>
      </c>
      <c r="M333" s="55" t="s">
        <v>3131</v>
      </c>
      <c r="N333" s="55" t="s">
        <v>3099</v>
      </c>
      <c r="O333" s="55" t="s">
        <v>45</v>
      </c>
      <c r="P333" s="55" t="s">
        <v>45</v>
      </c>
      <c r="Q333" s="55" t="s">
        <v>45</v>
      </c>
      <c r="R333" s="55" t="s">
        <v>45</v>
      </c>
      <c r="S333" s="55" t="s">
        <v>45</v>
      </c>
      <c r="T333" s="55" t="s">
        <v>45</v>
      </c>
      <c r="U333" s="55" t="s">
        <v>4679</v>
      </c>
      <c r="V333" s="55" t="s">
        <v>3095</v>
      </c>
      <c r="W333" s="55" t="s">
        <v>4519</v>
      </c>
      <c r="X333" s="55" t="s">
        <v>3095</v>
      </c>
      <c r="Y333" s="55" t="s">
        <v>3095</v>
      </c>
      <c r="Z333" s="55" t="s">
        <v>3708</v>
      </c>
      <c r="AA333" s="55" t="s">
        <v>3506</v>
      </c>
      <c r="AB333" s="55" t="s">
        <v>3095</v>
      </c>
      <c r="AC333" s="55" t="s">
        <v>3103</v>
      </c>
      <c r="AD333" s="55" t="s">
        <v>4680</v>
      </c>
      <c r="AE333" s="55" t="s">
        <v>3095</v>
      </c>
      <c r="AF333" s="55" t="s">
        <v>3095</v>
      </c>
      <c r="AG333" s="55" t="s">
        <v>3095</v>
      </c>
      <c r="AH333" s="55" t="s">
        <v>3095</v>
      </c>
      <c r="AI333" s="55" t="s">
        <v>3095</v>
      </c>
      <c r="AJ333" s="55" t="s">
        <v>3095</v>
      </c>
      <c r="AK333" s="55" t="s">
        <v>3095</v>
      </c>
      <c r="AL333" s="55" t="s">
        <v>3095</v>
      </c>
      <c r="AM333" s="55" t="s">
        <v>3095</v>
      </c>
    </row>
    <row r="334" ht="45.0" customHeight="1">
      <c r="A334" s="55" t="s">
        <v>1447</v>
      </c>
      <c r="B334" s="55" t="s">
        <v>4681</v>
      </c>
      <c r="C334" s="55" t="str">
        <f>IMAGE("https://raw.githubusercontent.com/ltdimages/images/refs/heads/main/Coordinate0093_00.png")</f>
        <v/>
      </c>
      <c r="D334" s="55" t="str">
        <f>IMAGE("https://raw.githubusercontent.com/ltdimages/images/refs/heads/main/Coordinate0093_01.png")</f>
        <v/>
      </c>
      <c r="E334" s="55" t="str">
        <f>IMAGE("https://raw.githubusercontent.com/ltdimages/images/refs/heads/main/Coordinate0093_02.png")</f>
        <v/>
      </c>
      <c r="F334" s="55" t="str">
        <f>IMAGE("https://raw.githubusercontent.com/ltdimages/images/refs/heads/main/Coordinate0093_03.png")</f>
        <v/>
      </c>
      <c r="G334" s="55" t="str">
        <f>IMAGE("https://raw.githubusercontent.com/ltdimages/images/refs/heads/main/Coordinate0093_04.png")</f>
        <v/>
      </c>
      <c r="H334" s="55" t="str">
        <f>IMAGE("https://raw.githubusercontent.com/ltdimages/images/refs/heads/main/Coordinate0093_05.png")</f>
        <v/>
      </c>
      <c r="I334" s="56" t="str">
        <f>IMAGE("https://raw.githubusercontent.com/ltdimages/images/refs/heads/main/Coordinate0093_06.png")</f>
        <v/>
      </c>
      <c r="J334" s="55" t="str">
        <f>IMAGE("https://raw.githubusercontent.com/ltdimages/images/refs/heads/main/Coordinate0093_07.png")</f>
        <v/>
      </c>
      <c r="K334" s="20" t="s">
        <v>4682</v>
      </c>
      <c r="L334" s="20" t="s">
        <v>4231</v>
      </c>
      <c r="M334" s="55" t="s">
        <v>3131</v>
      </c>
      <c r="N334" s="55" t="s">
        <v>3123</v>
      </c>
      <c r="O334" s="55" t="s">
        <v>45</v>
      </c>
      <c r="P334" s="55" t="s">
        <v>45</v>
      </c>
      <c r="Q334" s="55" t="s">
        <v>45</v>
      </c>
      <c r="R334" s="55" t="s">
        <v>45</v>
      </c>
      <c r="S334" s="55" t="s">
        <v>45</v>
      </c>
      <c r="T334" s="55" t="s">
        <v>45</v>
      </c>
      <c r="U334" s="55" t="s">
        <v>4683</v>
      </c>
      <c r="V334" s="55" t="s">
        <v>3095</v>
      </c>
      <c r="W334" s="55" t="s">
        <v>4613</v>
      </c>
      <c r="X334" s="55" t="s">
        <v>3095</v>
      </c>
      <c r="Y334" s="55" t="s">
        <v>3095</v>
      </c>
      <c r="Z334" s="55" t="s">
        <v>3156</v>
      </c>
      <c r="AA334" s="55" t="s">
        <v>3157</v>
      </c>
      <c r="AB334" s="55" t="s">
        <v>3095</v>
      </c>
      <c r="AC334" s="55" t="s">
        <v>3103</v>
      </c>
      <c r="AD334" s="55" t="s">
        <v>4684</v>
      </c>
      <c r="AE334" s="55" t="s">
        <v>3095</v>
      </c>
      <c r="AF334" s="55" t="s">
        <v>3095</v>
      </c>
      <c r="AG334" s="55" t="s">
        <v>3095</v>
      </c>
      <c r="AH334" s="55" t="s">
        <v>3095</v>
      </c>
      <c r="AI334" s="55" t="s">
        <v>3095</v>
      </c>
      <c r="AJ334" s="55" t="s">
        <v>3095</v>
      </c>
      <c r="AK334" s="55" t="s">
        <v>3095</v>
      </c>
      <c r="AL334" s="55" t="s">
        <v>3095</v>
      </c>
      <c r="AM334" s="55" t="s">
        <v>3095</v>
      </c>
    </row>
    <row r="335" ht="45.0" customHeight="1">
      <c r="A335" s="55" t="s">
        <v>1451</v>
      </c>
      <c r="B335" s="55" t="s">
        <v>4685</v>
      </c>
      <c r="C335" s="55" t="str">
        <f>IMAGE("https://raw.githubusercontent.com/ltdimages/images/refs/heads/main/Coordinate0081_00.png")</f>
        <v/>
      </c>
      <c r="D335" s="55" t="str">
        <f>IMAGE("https://raw.githubusercontent.com/ltdimages/images/refs/heads/main/Coordinate0081_01.png")</f>
        <v/>
      </c>
      <c r="E335" s="55" t="str">
        <f>IMAGE("https://raw.githubusercontent.com/ltdimages/images/refs/heads/main/Coordinate0081_02.png")</f>
        <v/>
      </c>
      <c r="F335" s="55" t="str">
        <f>IMAGE("https://raw.githubusercontent.com/ltdimages/images/refs/heads/main/Coordinate0081_03.png")</f>
        <v/>
      </c>
      <c r="G335" s="55" t="str">
        <f>IMAGE("https://raw.githubusercontent.com/ltdimages/images/refs/heads/main/Coordinate0081_04.png")</f>
        <v/>
      </c>
      <c r="H335" s="55" t="str">
        <f>IMAGE("https://raw.githubusercontent.com/ltdimages/images/refs/heads/main/Coordinate0081_05.png")</f>
        <v/>
      </c>
      <c r="I335" s="56" t="str">
        <f>IMAGE("https://raw.githubusercontent.com/ltdimages/images/refs/heads/main/Coordinate0081_06.png")</f>
        <v/>
      </c>
      <c r="J335" s="55" t="str">
        <f>IMAGE("https://raw.githubusercontent.com/ltdimages/images/refs/heads/main/Coordinate0081_07.png")</f>
        <v/>
      </c>
      <c r="K335" s="20" t="s">
        <v>4686</v>
      </c>
      <c r="L335" s="20" t="s">
        <v>4231</v>
      </c>
      <c r="M335" s="55" t="s">
        <v>3131</v>
      </c>
      <c r="N335" s="55" t="s">
        <v>3123</v>
      </c>
      <c r="O335" s="55" t="s">
        <v>45</v>
      </c>
      <c r="P335" s="55" t="s">
        <v>45</v>
      </c>
      <c r="Q335" s="55" t="s">
        <v>45</v>
      </c>
      <c r="R335" s="55" t="s">
        <v>45</v>
      </c>
      <c r="S335" s="55" t="s">
        <v>45</v>
      </c>
      <c r="T335" s="55" t="s">
        <v>45</v>
      </c>
      <c r="U335" s="55" t="s">
        <v>3095</v>
      </c>
      <c r="V335" s="55" t="s">
        <v>4687</v>
      </c>
      <c r="W335" s="55" t="s">
        <v>3095</v>
      </c>
      <c r="X335" s="55" t="s">
        <v>4314</v>
      </c>
      <c r="Y335" s="55" t="s">
        <v>3095</v>
      </c>
      <c r="Z335" s="55" t="s">
        <v>3095</v>
      </c>
      <c r="AA335" s="55" t="s">
        <v>4239</v>
      </c>
      <c r="AB335" s="55" t="s">
        <v>3095</v>
      </c>
      <c r="AC335" s="55" t="s">
        <v>3110</v>
      </c>
      <c r="AD335" s="55" t="s">
        <v>4688</v>
      </c>
      <c r="AE335" s="55" t="s">
        <v>3095</v>
      </c>
      <c r="AF335" s="55" t="s">
        <v>3095</v>
      </c>
      <c r="AG335" s="55" t="s">
        <v>3095</v>
      </c>
      <c r="AH335" s="55" t="s">
        <v>3095</v>
      </c>
      <c r="AI335" s="55" t="s">
        <v>3095</v>
      </c>
      <c r="AJ335" s="55" t="s">
        <v>3095</v>
      </c>
      <c r="AK335" s="55" t="s">
        <v>3095</v>
      </c>
      <c r="AL335" s="55" t="s">
        <v>3095</v>
      </c>
      <c r="AM335" s="55" t="s">
        <v>3095</v>
      </c>
    </row>
    <row r="336" ht="45.0" customHeight="1">
      <c r="A336" s="55" t="s">
        <v>1455</v>
      </c>
      <c r="B336" s="55" t="s">
        <v>4689</v>
      </c>
      <c r="C336" s="55" t="str">
        <f>IMAGE("https://raw.githubusercontent.com/ltdimages/images/refs/heads/main/Coordinate0035_00.png")</f>
        <v/>
      </c>
      <c r="D336" s="55" t="str">
        <f>IMAGE("https://raw.githubusercontent.com/ltdimages/images/refs/heads/main/Coordinate0035_01.png")</f>
        <v/>
      </c>
      <c r="E336" s="55" t="str">
        <f>IMAGE("https://raw.githubusercontent.com/ltdimages/images/refs/heads/main/Coordinate0035_02.png")</f>
        <v/>
      </c>
      <c r="F336" s="55" t="str">
        <f>IMAGE("https://raw.githubusercontent.com/ltdimages/images/refs/heads/main/Coordinate0035_03.png")</f>
        <v/>
      </c>
      <c r="G336" s="55" t="str">
        <f>IMAGE("https://raw.githubusercontent.com/ltdimages/images/refs/heads/main/Coordinate0035_04.png")</f>
        <v/>
      </c>
      <c r="H336" s="55" t="s">
        <v>3095</v>
      </c>
      <c r="I336" s="56" t="s">
        <v>3095</v>
      </c>
      <c r="J336" s="55" t="s">
        <v>3095</v>
      </c>
      <c r="K336" s="20" t="s">
        <v>4638</v>
      </c>
      <c r="L336" s="20" t="s">
        <v>4231</v>
      </c>
      <c r="M336" s="55" t="s">
        <v>3131</v>
      </c>
      <c r="N336" s="55" t="s">
        <v>3099</v>
      </c>
      <c r="O336" s="55" t="s">
        <v>45</v>
      </c>
      <c r="P336" s="55" t="s">
        <v>45</v>
      </c>
      <c r="Q336" s="55" t="s">
        <v>45</v>
      </c>
      <c r="R336" s="55" t="s">
        <v>45</v>
      </c>
      <c r="S336" s="55" t="s">
        <v>45</v>
      </c>
      <c r="T336" s="55" t="s">
        <v>45</v>
      </c>
      <c r="U336" s="55" t="s">
        <v>3622</v>
      </c>
      <c r="V336" s="55" t="s">
        <v>3095</v>
      </c>
      <c r="W336" s="55" t="s">
        <v>4274</v>
      </c>
      <c r="X336" s="55" t="s">
        <v>3095</v>
      </c>
      <c r="Y336" s="55" t="s">
        <v>3095</v>
      </c>
      <c r="Z336" s="55" t="s">
        <v>3118</v>
      </c>
      <c r="AA336" s="55" t="s">
        <v>3211</v>
      </c>
      <c r="AB336" s="55" t="s">
        <v>3095</v>
      </c>
      <c r="AC336" s="55" t="s">
        <v>3103</v>
      </c>
      <c r="AD336" s="55" t="s">
        <v>4690</v>
      </c>
      <c r="AE336" s="55" t="s">
        <v>3095</v>
      </c>
      <c r="AF336" s="55" t="s">
        <v>3095</v>
      </c>
      <c r="AG336" s="55" t="s">
        <v>3095</v>
      </c>
      <c r="AH336" s="55" t="s">
        <v>3095</v>
      </c>
      <c r="AI336" s="55" t="s">
        <v>3095</v>
      </c>
      <c r="AJ336" s="55" t="s">
        <v>3095</v>
      </c>
      <c r="AK336" s="55" t="s">
        <v>3095</v>
      </c>
      <c r="AL336" s="55" t="s">
        <v>3095</v>
      </c>
      <c r="AM336" s="55" t="s">
        <v>3095</v>
      </c>
    </row>
    <row r="337" ht="45.0" customHeight="1">
      <c r="A337" s="55" t="s">
        <v>1459</v>
      </c>
      <c r="B337" s="55" t="s">
        <v>4691</v>
      </c>
      <c r="C337" s="55" t="str">
        <f>IMAGE("https://raw.githubusercontent.com/ltdimages/images/refs/heads/main/Coordinate0036_00.png")</f>
        <v/>
      </c>
      <c r="D337" s="55" t="str">
        <f>IMAGE("https://raw.githubusercontent.com/ltdimages/images/refs/heads/main/Coordinate0036_01.png")</f>
        <v/>
      </c>
      <c r="E337" s="55" t="str">
        <f>IMAGE("https://raw.githubusercontent.com/ltdimages/images/refs/heads/main/Coordinate0036_02.png")</f>
        <v/>
      </c>
      <c r="F337" s="55" t="str">
        <f>IMAGE("https://raw.githubusercontent.com/ltdimages/images/refs/heads/main/Coordinate0036_03.png")</f>
        <v/>
      </c>
      <c r="G337" s="55" t="str">
        <f>IMAGE("https://raw.githubusercontent.com/ltdimages/images/refs/heads/main/Coordinate0036_04.png")</f>
        <v/>
      </c>
      <c r="H337" s="55" t="str">
        <f>IMAGE("https://raw.githubusercontent.com/ltdimages/images/refs/heads/main/Coordinate0036_05.png")</f>
        <v/>
      </c>
      <c r="I337" s="56" t="str">
        <f>IMAGE("https://raw.githubusercontent.com/ltdimages/images/refs/heads/main/Coordinate0036_06.png")</f>
        <v/>
      </c>
      <c r="J337" s="55" t="str">
        <f>IMAGE("https://raw.githubusercontent.com/ltdimages/images/refs/heads/main/Coordinate0036_07.png")</f>
        <v/>
      </c>
      <c r="K337" s="20" t="s">
        <v>4692</v>
      </c>
      <c r="L337" s="20" t="s">
        <v>4231</v>
      </c>
      <c r="M337" s="55" t="s">
        <v>3131</v>
      </c>
      <c r="N337" s="55" t="s">
        <v>3099</v>
      </c>
      <c r="O337" s="55" t="s">
        <v>45</v>
      </c>
      <c r="P337" s="55" t="s">
        <v>45</v>
      </c>
      <c r="Q337" s="55" t="s">
        <v>45</v>
      </c>
      <c r="R337" s="55" t="s">
        <v>45</v>
      </c>
      <c r="S337" s="55" t="s">
        <v>45</v>
      </c>
      <c r="T337" s="55" t="s">
        <v>45</v>
      </c>
      <c r="U337" s="55" t="s">
        <v>4693</v>
      </c>
      <c r="V337" s="55" t="s">
        <v>3095</v>
      </c>
      <c r="W337" s="55" t="s">
        <v>4395</v>
      </c>
      <c r="X337" s="55" t="s">
        <v>3095</v>
      </c>
      <c r="Y337" s="55" t="s">
        <v>3095</v>
      </c>
      <c r="Z337" s="55" t="s">
        <v>3708</v>
      </c>
      <c r="AA337" s="55" t="s">
        <v>3217</v>
      </c>
      <c r="AB337" s="55" t="s">
        <v>3095</v>
      </c>
      <c r="AC337" s="55" t="s">
        <v>3103</v>
      </c>
      <c r="AD337" s="55" t="s">
        <v>4694</v>
      </c>
      <c r="AE337" s="55" t="s">
        <v>3095</v>
      </c>
      <c r="AF337" s="55" t="s">
        <v>3095</v>
      </c>
      <c r="AG337" s="55" t="s">
        <v>3095</v>
      </c>
      <c r="AH337" s="55" t="s">
        <v>3095</v>
      </c>
      <c r="AI337" s="55" t="s">
        <v>3095</v>
      </c>
      <c r="AJ337" s="55" t="s">
        <v>3095</v>
      </c>
      <c r="AK337" s="55" t="s">
        <v>3095</v>
      </c>
      <c r="AL337" s="55" t="s">
        <v>3095</v>
      </c>
      <c r="AM337" s="55" t="s">
        <v>3095</v>
      </c>
    </row>
    <row r="338" ht="45.0" customHeight="1">
      <c r="A338" s="55" t="s">
        <v>1463</v>
      </c>
      <c r="B338" s="55" t="s">
        <v>4695</v>
      </c>
      <c r="C338" s="55" t="str">
        <f>IMAGE("https://raw.githubusercontent.com/ltdimages/images/refs/heads/main/Coordinate0073_00.png")</f>
        <v/>
      </c>
      <c r="D338" s="55" t="str">
        <f>IMAGE("https://raw.githubusercontent.com/ltdimages/images/refs/heads/main/Coordinate0073_01.png")</f>
        <v/>
      </c>
      <c r="E338" s="55" t="str">
        <f>IMAGE("https://raw.githubusercontent.com/ltdimages/images/refs/heads/main/Coordinate0073_02.png")</f>
        <v/>
      </c>
      <c r="F338" s="55" t="str">
        <f>IMAGE("https://raw.githubusercontent.com/ltdimages/images/refs/heads/main/Coordinate0073_03.png")</f>
        <v/>
      </c>
      <c r="G338" s="55" t="str">
        <f>IMAGE("https://raw.githubusercontent.com/ltdimages/images/refs/heads/main/Coordinate0073_04.png")</f>
        <v/>
      </c>
      <c r="H338" s="55" t="str">
        <f>IMAGE("https://raw.githubusercontent.com/ltdimages/images/refs/heads/main/Coordinate0073_05.png")</f>
        <v/>
      </c>
      <c r="I338" s="56" t="s">
        <v>3095</v>
      </c>
      <c r="J338" s="55" t="s">
        <v>3095</v>
      </c>
      <c r="K338" s="20" t="s">
        <v>4183</v>
      </c>
      <c r="L338" s="20" t="s">
        <v>4231</v>
      </c>
      <c r="M338" s="55" t="s">
        <v>3131</v>
      </c>
      <c r="N338" s="55" t="s">
        <v>3123</v>
      </c>
      <c r="O338" s="55" t="s">
        <v>45</v>
      </c>
      <c r="P338" s="55" t="s">
        <v>45</v>
      </c>
      <c r="Q338" s="55" t="s">
        <v>45</v>
      </c>
      <c r="R338" s="55" t="s">
        <v>45</v>
      </c>
      <c r="S338" s="55" t="s">
        <v>45</v>
      </c>
      <c r="T338" s="55" t="s">
        <v>45</v>
      </c>
      <c r="U338" s="55" t="s">
        <v>3095</v>
      </c>
      <c r="V338" s="55" t="s">
        <v>4696</v>
      </c>
      <c r="W338" s="55" t="s">
        <v>3095</v>
      </c>
      <c r="X338" s="55" t="s">
        <v>4697</v>
      </c>
      <c r="Y338" s="55" t="s">
        <v>3095</v>
      </c>
      <c r="Z338" s="55" t="s">
        <v>3095</v>
      </c>
      <c r="AA338" s="55" t="s">
        <v>4660</v>
      </c>
      <c r="AB338" s="55" t="s">
        <v>3095</v>
      </c>
      <c r="AC338" s="55" t="s">
        <v>3110</v>
      </c>
      <c r="AD338" s="55" t="s">
        <v>4698</v>
      </c>
      <c r="AE338" s="55" t="s">
        <v>3095</v>
      </c>
      <c r="AF338" s="55" t="s">
        <v>3095</v>
      </c>
      <c r="AG338" s="55" t="s">
        <v>3095</v>
      </c>
      <c r="AH338" s="55" t="s">
        <v>3095</v>
      </c>
      <c r="AI338" s="55" t="s">
        <v>3095</v>
      </c>
      <c r="AJ338" s="55" t="s">
        <v>3095</v>
      </c>
      <c r="AK338" s="55" t="s">
        <v>3095</v>
      </c>
      <c r="AL338" s="55" t="s">
        <v>3095</v>
      </c>
      <c r="AM338" s="55" t="s">
        <v>3095</v>
      </c>
    </row>
    <row r="339" ht="45.0" customHeight="1">
      <c r="A339" s="55" t="s">
        <v>1467</v>
      </c>
      <c r="B339" s="55" t="s">
        <v>4699</v>
      </c>
      <c r="C339" s="55" t="str">
        <f>IMAGE("https://raw.githubusercontent.com/ltdimages/images/refs/heads/main/Coordinate0014_00.png")</f>
        <v/>
      </c>
      <c r="D339" s="55" t="str">
        <f>IMAGE("https://raw.githubusercontent.com/ltdimages/images/refs/heads/main/Coordinate0014_01.png")</f>
        <v/>
      </c>
      <c r="E339" s="55" t="str">
        <f>IMAGE("https://raw.githubusercontent.com/ltdimages/images/refs/heads/main/Coordinate0014_02.png")</f>
        <v/>
      </c>
      <c r="F339" s="55" t="str">
        <f>IMAGE("https://raw.githubusercontent.com/ltdimages/images/refs/heads/main/Coordinate0014_03.png")</f>
        <v/>
      </c>
      <c r="G339" s="55" t="str">
        <f>IMAGE("https://raw.githubusercontent.com/ltdimages/images/refs/heads/main/Coordinate0014_04.png")</f>
        <v/>
      </c>
      <c r="H339" s="55" t="str">
        <f>IMAGE("https://raw.githubusercontent.com/ltdimages/images/refs/heads/main/Coordinate0014_05.png")</f>
        <v/>
      </c>
      <c r="I339" s="56" t="s">
        <v>3095</v>
      </c>
      <c r="J339" s="55" t="s">
        <v>3095</v>
      </c>
      <c r="K339" s="20" t="s">
        <v>4700</v>
      </c>
      <c r="L339" s="20" t="s">
        <v>4231</v>
      </c>
      <c r="M339" s="55" t="s">
        <v>3098</v>
      </c>
      <c r="N339" s="55" t="s">
        <v>3099</v>
      </c>
      <c r="O339" s="55" t="s">
        <v>45</v>
      </c>
      <c r="P339" s="55" t="s">
        <v>45</v>
      </c>
      <c r="Q339" s="55" t="s">
        <v>45</v>
      </c>
      <c r="R339" s="55" t="s">
        <v>45</v>
      </c>
      <c r="S339" s="55" t="s">
        <v>45</v>
      </c>
      <c r="T339" s="55" t="s">
        <v>45</v>
      </c>
      <c r="U339" s="55" t="s">
        <v>4284</v>
      </c>
      <c r="V339" s="55" t="s">
        <v>3095</v>
      </c>
      <c r="W339" s="55" t="s">
        <v>4001</v>
      </c>
      <c r="X339" s="55" t="s">
        <v>3095</v>
      </c>
      <c r="Y339" s="55" t="s">
        <v>3095</v>
      </c>
      <c r="Z339" s="55" t="s">
        <v>3164</v>
      </c>
      <c r="AA339" s="55" t="s">
        <v>4315</v>
      </c>
      <c r="AB339" s="55" t="s">
        <v>3095</v>
      </c>
      <c r="AC339" s="55" t="s">
        <v>3103</v>
      </c>
      <c r="AD339" s="55" t="s">
        <v>4701</v>
      </c>
      <c r="AE339" s="55" t="s">
        <v>3095</v>
      </c>
      <c r="AF339" s="55" t="s">
        <v>3095</v>
      </c>
      <c r="AG339" s="55" t="s">
        <v>3095</v>
      </c>
      <c r="AH339" s="55" t="s">
        <v>3095</v>
      </c>
      <c r="AI339" s="55" t="s">
        <v>3095</v>
      </c>
      <c r="AJ339" s="55" t="s">
        <v>3095</v>
      </c>
      <c r="AK339" s="55" t="s">
        <v>3095</v>
      </c>
      <c r="AL339" s="55" t="s">
        <v>3095</v>
      </c>
      <c r="AM339" s="55" t="s">
        <v>3095</v>
      </c>
    </row>
    <row r="340" ht="45.0" customHeight="1">
      <c r="A340" s="55" t="s">
        <v>1471</v>
      </c>
      <c r="B340" s="55" t="s">
        <v>4702</v>
      </c>
      <c r="C340" s="55" t="str">
        <f>IMAGE("https://raw.githubusercontent.com/ltdimages/images/refs/heads/main/Coordinate0078_00.png")</f>
        <v/>
      </c>
      <c r="D340" s="55" t="str">
        <f>IMAGE("https://raw.githubusercontent.com/ltdimages/images/refs/heads/main/Coordinate0078_01.png")</f>
        <v/>
      </c>
      <c r="E340" s="55" t="str">
        <f>IMAGE("https://raw.githubusercontent.com/ltdimages/images/refs/heads/main/Coordinate0078_02.png")</f>
        <v/>
      </c>
      <c r="F340" s="55" t="s">
        <v>3095</v>
      </c>
      <c r="G340" s="55" t="s">
        <v>3095</v>
      </c>
      <c r="H340" s="55" t="s">
        <v>3095</v>
      </c>
      <c r="I340" s="56" t="s">
        <v>3095</v>
      </c>
      <c r="J340" s="55" t="s">
        <v>3095</v>
      </c>
      <c r="K340" s="20" t="s">
        <v>4703</v>
      </c>
      <c r="L340" s="20" t="s">
        <v>4231</v>
      </c>
      <c r="M340" s="55" t="s">
        <v>3131</v>
      </c>
      <c r="N340" s="55" t="s">
        <v>3099</v>
      </c>
      <c r="O340" s="55" t="s">
        <v>45</v>
      </c>
      <c r="P340" s="55" t="s">
        <v>45</v>
      </c>
      <c r="Q340" s="55" t="s">
        <v>45</v>
      </c>
      <c r="R340" s="55" t="s">
        <v>45</v>
      </c>
      <c r="S340" s="55" t="s">
        <v>45</v>
      </c>
      <c r="T340" s="55" t="s">
        <v>45</v>
      </c>
      <c r="U340" s="55" t="s">
        <v>4704</v>
      </c>
      <c r="V340" s="55" t="s">
        <v>3095</v>
      </c>
      <c r="W340" s="55" t="s">
        <v>4705</v>
      </c>
      <c r="X340" s="55" t="s">
        <v>3095</v>
      </c>
      <c r="Y340" s="55" t="s">
        <v>4706</v>
      </c>
      <c r="Z340" s="55" t="s">
        <v>4250</v>
      </c>
      <c r="AA340" s="55" t="s">
        <v>4297</v>
      </c>
      <c r="AB340" s="55" t="s">
        <v>3095</v>
      </c>
      <c r="AC340" s="55" t="s">
        <v>3103</v>
      </c>
      <c r="AD340" s="55" t="s">
        <v>4707</v>
      </c>
      <c r="AE340" s="55" t="s">
        <v>3095</v>
      </c>
      <c r="AF340" s="55" t="s">
        <v>3095</v>
      </c>
      <c r="AG340" s="55" t="s">
        <v>3095</v>
      </c>
      <c r="AH340" s="55" t="s">
        <v>3095</v>
      </c>
      <c r="AI340" s="55" t="s">
        <v>3095</v>
      </c>
      <c r="AJ340" s="55" t="s">
        <v>3095</v>
      </c>
      <c r="AK340" s="55" t="s">
        <v>3095</v>
      </c>
      <c r="AL340" s="55" t="s">
        <v>3095</v>
      </c>
      <c r="AM340" s="55" t="s">
        <v>3095</v>
      </c>
    </row>
    <row r="341" ht="45.0" customHeight="1">
      <c r="A341" s="55" t="s">
        <v>1475</v>
      </c>
      <c r="B341" s="55" t="s">
        <v>4708</v>
      </c>
      <c r="C341" s="55" t="str">
        <f>IMAGE("https://raw.githubusercontent.com/ltdimages/images/refs/heads/main/Coordinate0059_00.png")</f>
        <v/>
      </c>
      <c r="D341" s="55" t="str">
        <f>IMAGE("https://raw.githubusercontent.com/ltdimages/images/refs/heads/main/Coordinate0059_01.png")</f>
        <v/>
      </c>
      <c r="E341" s="55" t="str">
        <f>IMAGE("https://raw.githubusercontent.com/ltdimages/images/refs/heads/main/Coordinate0059_02.png")</f>
        <v/>
      </c>
      <c r="F341" s="55" t="str">
        <f>IMAGE("https://raw.githubusercontent.com/ltdimages/images/refs/heads/main/Coordinate0059_03.png")</f>
        <v/>
      </c>
      <c r="G341" s="55" t="str">
        <f>IMAGE("https://raw.githubusercontent.com/ltdimages/images/refs/heads/main/Coordinate0059_04.png")</f>
        <v/>
      </c>
      <c r="H341" s="55" t="s">
        <v>3095</v>
      </c>
      <c r="I341" s="56" t="s">
        <v>3095</v>
      </c>
      <c r="J341" s="55" t="s">
        <v>3095</v>
      </c>
      <c r="K341" s="20" t="s">
        <v>4709</v>
      </c>
      <c r="L341" s="20" t="s">
        <v>4231</v>
      </c>
      <c r="M341" s="55" t="s">
        <v>3131</v>
      </c>
      <c r="N341" s="55" t="s">
        <v>3099</v>
      </c>
      <c r="O341" s="55" t="s">
        <v>45</v>
      </c>
      <c r="P341" s="55" t="s">
        <v>45</v>
      </c>
      <c r="Q341" s="55" t="s">
        <v>45</v>
      </c>
      <c r="R341" s="55" t="s">
        <v>45</v>
      </c>
      <c r="S341" s="55" t="s">
        <v>45</v>
      </c>
      <c r="T341" s="55" t="s">
        <v>45</v>
      </c>
      <c r="U341" s="55" t="s">
        <v>4710</v>
      </c>
      <c r="V341" s="55" t="s">
        <v>3095</v>
      </c>
      <c r="W341" s="55" t="s">
        <v>4711</v>
      </c>
      <c r="X341" s="55" t="s">
        <v>4712</v>
      </c>
      <c r="Y341" s="55" t="s">
        <v>3095</v>
      </c>
      <c r="Z341" s="55" t="s">
        <v>4355</v>
      </c>
      <c r="AA341" s="55" t="s">
        <v>4315</v>
      </c>
      <c r="AB341" s="55" t="s">
        <v>3095</v>
      </c>
      <c r="AC341" s="55" t="s">
        <v>3103</v>
      </c>
      <c r="AD341" s="55" t="s">
        <v>4713</v>
      </c>
      <c r="AE341" s="55" t="s">
        <v>3095</v>
      </c>
      <c r="AF341" s="55" t="s">
        <v>3095</v>
      </c>
      <c r="AG341" s="55" t="s">
        <v>3095</v>
      </c>
      <c r="AH341" s="55" t="s">
        <v>3095</v>
      </c>
      <c r="AI341" s="55" t="s">
        <v>3095</v>
      </c>
      <c r="AJ341" s="55" t="s">
        <v>3095</v>
      </c>
      <c r="AK341" s="55" t="s">
        <v>3095</v>
      </c>
      <c r="AL341" s="55" t="s">
        <v>3095</v>
      </c>
      <c r="AM341" s="55" t="s">
        <v>3095</v>
      </c>
    </row>
    <row r="342" ht="45.0" customHeight="1">
      <c r="A342" s="55" t="s">
        <v>1479</v>
      </c>
      <c r="B342" s="55" t="s">
        <v>4714</v>
      </c>
      <c r="C342" s="55" t="str">
        <f>IMAGE("https://raw.githubusercontent.com/ltdimages/images/refs/heads/main/Coordinate0294_00.png")</f>
        <v/>
      </c>
      <c r="D342" s="55" t="str">
        <f>IMAGE("https://raw.githubusercontent.com/ltdimages/images/refs/heads/main/Coordinate0294_01.png")</f>
        <v/>
      </c>
      <c r="E342" s="55" t="str">
        <f>IMAGE("https://raw.githubusercontent.com/ltdimages/images/refs/heads/main/Coordinate0294_02.png")</f>
        <v/>
      </c>
      <c r="F342" s="55" t="str">
        <f>IMAGE("https://raw.githubusercontent.com/ltdimages/images/refs/heads/main/Coordinate0294_03.png")</f>
        <v/>
      </c>
      <c r="G342" s="55" t="str">
        <f>IMAGE("https://raw.githubusercontent.com/ltdimages/images/refs/heads/main/Coordinate0294_04.png")</f>
        <v/>
      </c>
      <c r="H342" s="55" t="str">
        <f>IMAGE("https://raw.githubusercontent.com/ltdimages/images/refs/heads/main/Coordinate0294_05.png")</f>
        <v/>
      </c>
      <c r="I342" s="56" t="s">
        <v>3095</v>
      </c>
      <c r="J342" s="55" t="s">
        <v>3095</v>
      </c>
      <c r="K342" s="20" t="s">
        <v>4452</v>
      </c>
      <c r="L342" s="20" t="s">
        <v>4231</v>
      </c>
      <c r="M342" s="55" t="s">
        <v>3131</v>
      </c>
      <c r="N342" s="55" t="s">
        <v>3099</v>
      </c>
      <c r="O342" s="55" t="s">
        <v>45</v>
      </c>
      <c r="P342" s="55" t="s">
        <v>45</v>
      </c>
      <c r="Q342" s="55" t="s">
        <v>45</v>
      </c>
      <c r="R342" s="55" t="s">
        <v>45</v>
      </c>
      <c r="S342" s="55" t="s">
        <v>45</v>
      </c>
      <c r="T342" s="55" t="s">
        <v>45</v>
      </c>
      <c r="U342" s="55" t="s">
        <v>3095</v>
      </c>
      <c r="V342" s="55" t="s">
        <v>4715</v>
      </c>
      <c r="W342" s="55" t="s">
        <v>3095</v>
      </c>
      <c r="X342" s="55" t="s">
        <v>3095</v>
      </c>
      <c r="Y342" s="55" t="s">
        <v>3095</v>
      </c>
      <c r="Z342" s="55" t="s">
        <v>4381</v>
      </c>
      <c r="AA342" s="55" t="s">
        <v>4716</v>
      </c>
      <c r="AB342" s="55" t="s">
        <v>3095</v>
      </c>
      <c r="AC342" s="55" t="s">
        <v>3110</v>
      </c>
      <c r="AD342" s="55" t="s">
        <v>4717</v>
      </c>
      <c r="AE342" s="55" t="s">
        <v>3095</v>
      </c>
      <c r="AF342" s="55" t="s">
        <v>3095</v>
      </c>
      <c r="AG342" s="55" t="s">
        <v>3095</v>
      </c>
      <c r="AH342" s="55" t="s">
        <v>3095</v>
      </c>
      <c r="AI342" s="55" t="s">
        <v>3095</v>
      </c>
      <c r="AJ342" s="55" t="s">
        <v>3095</v>
      </c>
      <c r="AK342" s="55" t="s">
        <v>3095</v>
      </c>
      <c r="AL342" s="55" t="s">
        <v>3095</v>
      </c>
      <c r="AM342" s="55" t="s">
        <v>3095</v>
      </c>
    </row>
    <row r="343" ht="45.0" customHeight="1">
      <c r="A343" s="55" t="s">
        <v>1483</v>
      </c>
      <c r="B343" s="55" t="s">
        <v>4718</v>
      </c>
      <c r="C343" s="55" t="str">
        <f>IMAGE("https://raw.githubusercontent.com/ltdimages/images/refs/heads/main/Coordinate0101_00.png")</f>
        <v/>
      </c>
      <c r="D343" s="55" t="str">
        <f>IMAGE("https://raw.githubusercontent.com/ltdimages/images/refs/heads/main/Coordinate0101_01.png")</f>
        <v/>
      </c>
      <c r="E343" s="55" t="str">
        <f>IMAGE("https://raw.githubusercontent.com/ltdimages/images/refs/heads/main/Coordinate0101_02.png")</f>
        <v/>
      </c>
      <c r="F343" s="55" t="str">
        <f>IMAGE("https://raw.githubusercontent.com/ltdimages/images/refs/heads/main/Coordinate0101_03.png")</f>
        <v/>
      </c>
      <c r="G343" s="55" t="str">
        <f>IMAGE("https://raw.githubusercontent.com/ltdimages/images/refs/heads/main/Coordinate0101_04.png")</f>
        <v/>
      </c>
      <c r="H343" s="55" t="str">
        <f>IMAGE("https://raw.githubusercontent.com/ltdimages/images/refs/heads/main/Coordinate0101_05.png")</f>
        <v/>
      </c>
      <c r="I343" s="56" t="s">
        <v>3095</v>
      </c>
      <c r="J343" s="55" t="s">
        <v>3095</v>
      </c>
      <c r="K343" s="20" t="s">
        <v>4719</v>
      </c>
      <c r="L343" s="20" t="s">
        <v>4231</v>
      </c>
      <c r="M343" s="55" t="s">
        <v>3131</v>
      </c>
      <c r="N343" s="55" t="s">
        <v>3099</v>
      </c>
      <c r="O343" s="55" t="s">
        <v>45</v>
      </c>
      <c r="P343" s="55" t="s">
        <v>45</v>
      </c>
      <c r="Q343" s="55" t="s">
        <v>45</v>
      </c>
      <c r="R343" s="55" t="s">
        <v>45</v>
      </c>
      <c r="S343" s="55" t="s">
        <v>45</v>
      </c>
      <c r="T343" s="55" t="s">
        <v>45</v>
      </c>
      <c r="U343" s="55" t="s">
        <v>3095</v>
      </c>
      <c r="V343" s="55" t="s">
        <v>4720</v>
      </c>
      <c r="W343" s="55" t="s">
        <v>3095</v>
      </c>
      <c r="X343" s="55" t="s">
        <v>4721</v>
      </c>
      <c r="Y343" s="55" t="s">
        <v>3095</v>
      </c>
      <c r="Z343" s="55" t="s">
        <v>3164</v>
      </c>
      <c r="AA343" s="55" t="s">
        <v>4251</v>
      </c>
      <c r="AB343" s="55" t="s">
        <v>3095</v>
      </c>
      <c r="AC343" s="55" t="s">
        <v>3110</v>
      </c>
      <c r="AD343" s="55" t="s">
        <v>4722</v>
      </c>
      <c r="AE343" s="55" t="s">
        <v>3095</v>
      </c>
      <c r="AF343" s="55" t="s">
        <v>3095</v>
      </c>
      <c r="AG343" s="55" t="s">
        <v>3095</v>
      </c>
      <c r="AH343" s="55" t="s">
        <v>3095</v>
      </c>
      <c r="AI343" s="55" t="s">
        <v>3095</v>
      </c>
      <c r="AJ343" s="55" t="s">
        <v>3095</v>
      </c>
      <c r="AK343" s="55" t="s">
        <v>3095</v>
      </c>
      <c r="AL343" s="55" t="s">
        <v>3095</v>
      </c>
      <c r="AM343" s="55" t="s">
        <v>3095</v>
      </c>
    </row>
    <row r="344" ht="45.0" customHeight="1">
      <c r="A344" s="55" t="s">
        <v>1487</v>
      </c>
      <c r="B344" s="55" t="s">
        <v>4723</v>
      </c>
      <c r="C344" s="55" t="str">
        <f>IMAGE("https://raw.githubusercontent.com/ltdimages/images/refs/heads/main/Coordinate0169_00.png")</f>
        <v/>
      </c>
      <c r="D344" s="55" t="str">
        <f>IMAGE("https://raw.githubusercontent.com/ltdimages/images/refs/heads/main/Coordinate0169_01.png")</f>
        <v/>
      </c>
      <c r="E344" s="55" t="s">
        <v>3095</v>
      </c>
      <c r="F344" s="55" t="s">
        <v>3095</v>
      </c>
      <c r="G344" s="55" t="s">
        <v>3095</v>
      </c>
      <c r="H344" s="55" t="s">
        <v>3095</v>
      </c>
      <c r="I344" s="56" t="s">
        <v>3095</v>
      </c>
      <c r="J344" s="55" t="s">
        <v>3095</v>
      </c>
      <c r="K344" s="20" t="s">
        <v>4724</v>
      </c>
      <c r="L344" s="20" t="s">
        <v>4231</v>
      </c>
      <c r="M344" s="55" t="s">
        <v>3131</v>
      </c>
      <c r="N344" s="55" t="s">
        <v>3099</v>
      </c>
      <c r="O344" s="55" t="s">
        <v>45</v>
      </c>
      <c r="P344" s="55" t="s">
        <v>45</v>
      </c>
      <c r="Q344" s="55" t="s">
        <v>45</v>
      </c>
      <c r="R344" s="55" t="s">
        <v>45</v>
      </c>
      <c r="S344" s="55" t="s">
        <v>45</v>
      </c>
      <c r="T344" s="55" t="s">
        <v>45</v>
      </c>
      <c r="U344" s="55" t="s">
        <v>3095</v>
      </c>
      <c r="V344" s="55" t="s">
        <v>4725</v>
      </c>
      <c r="W344" s="55" t="s">
        <v>3095</v>
      </c>
      <c r="X344" s="55" t="s">
        <v>4726</v>
      </c>
      <c r="Y344" s="55" t="s">
        <v>3095</v>
      </c>
      <c r="Z344" s="55" t="s">
        <v>4250</v>
      </c>
      <c r="AA344" s="55" t="s">
        <v>4251</v>
      </c>
      <c r="AB344" s="55" t="s">
        <v>3095</v>
      </c>
      <c r="AC344" s="55" t="s">
        <v>3110</v>
      </c>
      <c r="AD344" s="55" t="s">
        <v>4727</v>
      </c>
      <c r="AE344" s="55" t="s">
        <v>3095</v>
      </c>
      <c r="AF344" s="55" t="s">
        <v>3095</v>
      </c>
      <c r="AG344" s="55" t="s">
        <v>3095</v>
      </c>
      <c r="AH344" s="55" t="s">
        <v>3095</v>
      </c>
      <c r="AI344" s="55" t="s">
        <v>3095</v>
      </c>
      <c r="AJ344" s="55" t="s">
        <v>3095</v>
      </c>
      <c r="AK344" s="55" t="s">
        <v>3095</v>
      </c>
      <c r="AL344" s="55" t="s">
        <v>3095</v>
      </c>
      <c r="AM344" s="55" t="s">
        <v>3095</v>
      </c>
    </row>
    <row r="345" ht="45.0" customHeight="1">
      <c r="A345" s="55" t="s">
        <v>1491</v>
      </c>
      <c r="B345" s="55" t="s">
        <v>4728</v>
      </c>
      <c r="C345" s="55" t="str">
        <f>IMAGE("https://raw.githubusercontent.com/ltdimages/images/refs/heads/main/Coordinate0091_00.png")</f>
        <v/>
      </c>
      <c r="D345" s="55" t="str">
        <f>IMAGE("https://raw.githubusercontent.com/ltdimages/images/refs/heads/main/Coordinate0091_01.png")</f>
        <v/>
      </c>
      <c r="E345" s="55" t="str">
        <f>IMAGE("https://raw.githubusercontent.com/ltdimages/images/refs/heads/main/Coordinate0091_02.png")</f>
        <v/>
      </c>
      <c r="F345" s="55" t="str">
        <f>IMAGE("https://raw.githubusercontent.com/ltdimages/images/refs/heads/main/Coordinate0091_03.png")</f>
        <v/>
      </c>
      <c r="G345" s="55" t="str">
        <f>IMAGE("https://raw.githubusercontent.com/ltdimages/images/refs/heads/main/Coordinate0091_04.png")</f>
        <v/>
      </c>
      <c r="H345" s="55" t="str">
        <f>IMAGE("https://raw.githubusercontent.com/ltdimages/images/refs/heads/main/Coordinate0091_05.png")</f>
        <v/>
      </c>
      <c r="I345" s="56" t="s">
        <v>3095</v>
      </c>
      <c r="J345" s="55" t="s">
        <v>3095</v>
      </c>
      <c r="K345" s="20" t="s">
        <v>4591</v>
      </c>
      <c r="L345" s="20" t="s">
        <v>4231</v>
      </c>
      <c r="M345" s="55" t="s">
        <v>3131</v>
      </c>
      <c r="N345" s="55" t="s">
        <v>3654</v>
      </c>
      <c r="O345" s="55" t="s">
        <v>45</v>
      </c>
      <c r="P345" s="55" t="s">
        <v>45</v>
      </c>
      <c r="Q345" s="55" t="s">
        <v>45</v>
      </c>
      <c r="R345" s="55" t="s">
        <v>49</v>
      </c>
      <c r="S345" s="55" t="s">
        <v>45</v>
      </c>
      <c r="T345" s="55" t="s">
        <v>45</v>
      </c>
      <c r="U345" s="55" t="s">
        <v>3095</v>
      </c>
      <c r="V345" s="55" t="s">
        <v>4729</v>
      </c>
      <c r="W345" s="55" t="s">
        <v>3095</v>
      </c>
      <c r="X345" s="55" t="s">
        <v>4730</v>
      </c>
      <c r="Y345" s="55" t="s">
        <v>3095</v>
      </c>
      <c r="Z345" s="55" t="s">
        <v>4731</v>
      </c>
      <c r="AA345" s="55" t="s">
        <v>4732</v>
      </c>
      <c r="AB345" s="55" t="s">
        <v>3095</v>
      </c>
      <c r="AC345" s="55" t="s">
        <v>3110</v>
      </c>
      <c r="AD345" s="55" t="s">
        <v>4733</v>
      </c>
      <c r="AE345" s="55" t="s">
        <v>3095</v>
      </c>
      <c r="AF345" s="55" t="s">
        <v>3095</v>
      </c>
      <c r="AG345" s="55" t="s">
        <v>3095</v>
      </c>
      <c r="AH345" s="55" t="s">
        <v>3095</v>
      </c>
      <c r="AI345" s="55" t="s">
        <v>3095</v>
      </c>
      <c r="AJ345" s="55" t="s">
        <v>3095</v>
      </c>
      <c r="AK345" s="55" t="s">
        <v>3095</v>
      </c>
      <c r="AL345" s="55" t="s">
        <v>3095</v>
      </c>
      <c r="AM345" s="55" t="s">
        <v>3095</v>
      </c>
    </row>
    <row r="346" ht="45.0" customHeight="1">
      <c r="A346" s="55" t="s">
        <v>1495</v>
      </c>
      <c r="B346" s="55" t="s">
        <v>4734</v>
      </c>
      <c r="C346" s="55" t="str">
        <f>IMAGE("https://raw.githubusercontent.com/ltdimages/images/refs/heads/main/Coordinate0140_00.png")</f>
        <v/>
      </c>
      <c r="D346" s="55" t="str">
        <f>IMAGE("https://raw.githubusercontent.com/ltdimages/images/refs/heads/main/Coordinate0140_01.png")</f>
        <v/>
      </c>
      <c r="E346" s="55" t="str">
        <f>IMAGE("https://raw.githubusercontent.com/ltdimages/images/refs/heads/main/Coordinate0140_02.png")</f>
        <v/>
      </c>
      <c r="F346" s="55" t="str">
        <f>IMAGE("https://raw.githubusercontent.com/ltdimages/images/refs/heads/main/Coordinate0140_03.png")</f>
        <v/>
      </c>
      <c r="G346" s="55" t="str">
        <f>IMAGE("https://raw.githubusercontent.com/ltdimages/images/refs/heads/main/Coordinate0140_04.png")</f>
        <v/>
      </c>
      <c r="H346" s="55" t="str">
        <f>IMAGE("https://raw.githubusercontent.com/ltdimages/images/refs/heads/main/Coordinate0140_05.png")</f>
        <v/>
      </c>
      <c r="I346" s="56" t="str">
        <f>IMAGE("https://raw.githubusercontent.com/ltdimages/images/refs/heads/main/Coordinate0140_06.png")</f>
        <v/>
      </c>
      <c r="J346" s="55" t="str">
        <f>IMAGE("https://raw.githubusercontent.com/ltdimages/images/refs/heads/main/Coordinate0140_07.png")</f>
        <v/>
      </c>
      <c r="K346" s="20" t="s">
        <v>4485</v>
      </c>
      <c r="L346" s="20" t="s">
        <v>4231</v>
      </c>
      <c r="M346" s="55" t="s">
        <v>3131</v>
      </c>
      <c r="N346" s="55" t="s">
        <v>3123</v>
      </c>
      <c r="O346" s="55" t="s">
        <v>45</v>
      </c>
      <c r="P346" s="55" t="s">
        <v>45</v>
      </c>
      <c r="Q346" s="55" t="s">
        <v>45</v>
      </c>
      <c r="R346" s="55" t="s">
        <v>45</v>
      </c>
      <c r="S346" s="55" t="s">
        <v>45</v>
      </c>
      <c r="T346" s="55" t="s">
        <v>45</v>
      </c>
      <c r="U346" s="55" t="s">
        <v>3095</v>
      </c>
      <c r="V346" s="55" t="s">
        <v>4735</v>
      </c>
      <c r="W346" s="55" t="s">
        <v>3095</v>
      </c>
      <c r="X346" s="55" t="s">
        <v>4270</v>
      </c>
      <c r="Y346" s="55" t="s">
        <v>3095</v>
      </c>
      <c r="Z346" s="55" t="s">
        <v>3095</v>
      </c>
      <c r="AA346" s="55" t="s">
        <v>3135</v>
      </c>
      <c r="AB346" s="55" t="s">
        <v>3095</v>
      </c>
      <c r="AC346" s="55" t="s">
        <v>3110</v>
      </c>
      <c r="AD346" s="55" t="s">
        <v>4736</v>
      </c>
      <c r="AE346" s="55" t="s">
        <v>3095</v>
      </c>
      <c r="AF346" s="55" t="s">
        <v>3095</v>
      </c>
      <c r="AG346" s="55" t="s">
        <v>3095</v>
      </c>
      <c r="AH346" s="55" t="s">
        <v>3095</v>
      </c>
      <c r="AI346" s="55" t="s">
        <v>3095</v>
      </c>
      <c r="AJ346" s="55" t="s">
        <v>3095</v>
      </c>
      <c r="AK346" s="55" t="s">
        <v>3095</v>
      </c>
      <c r="AL346" s="55" t="s">
        <v>3095</v>
      </c>
      <c r="AM346" s="55" t="s">
        <v>3095</v>
      </c>
    </row>
    <row r="347" ht="45.0" customHeight="1">
      <c r="A347" s="55" t="s">
        <v>1499</v>
      </c>
      <c r="B347" s="55" t="s">
        <v>4737</v>
      </c>
      <c r="C347" s="55" t="str">
        <f>IMAGE("https://raw.githubusercontent.com/ltdimages/images/refs/heads/main/Coordinate0144_00.png")</f>
        <v/>
      </c>
      <c r="D347" s="55" t="str">
        <f>IMAGE("https://raw.githubusercontent.com/ltdimages/images/refs/heads/main/Coordinate0144_01.png")</f>
        <v/>
      </c>
      <c r="E347" s="55" t="str">
        <f>IMAGE("https://raw.githubusercontent.com/ltdimages/images/refs/heads/main/Coordinate0144_02.png")</f>
        <v/>
      </c>
      <c r="F347" s="55" t="str">
        <f>IMAGE("https://raw.githubusercontent.com/ltdimages/images/refs/heads/main/Coordinate0144_03.png")</f>
        <v/>
      </c>
      <c r="G347" s="55" t="str">
        <f>IMAGE("https://raw.githubusercontent.com/ltdimages/images/refs/heads/main/Coordinate0144_04.png")</f>
        <v/>
      </c>
      <c r="H347" s="55" t="str">
        <f>IMAGE("https://raw.githubusercontent.com/ltdimages/images/refs/heads/main/Coordinate0144_05.png")</f>
        <v/>
      </c>
      <c r="I347" s="56" t="str">
        <f>IMAGE("https://raw.githubusercontent.com/ltdimages/images/refs/heads/main/Coordinate0144_06.png")</f>
        <v/>
      </c>
      <c r="J347" s="55" t="str">
        <f>IMAGE("https://raw.githubusercontent.com/ltdimages/images/refs/heads/main/Coordinate0144_07.png")</f>
        <v/>
      </c>
      <c r="K347" s="20" t="s">
        <v>4738</v>
      </c>
      <c r="L347" s="20" t="s">
        <v>4231</v>
      </c>
      <c r="M347" s="55" t="s">
        <v>3098</v>
      </c>
      <c r="N347" s="55" t="s">
        <v>3123</v>
      </c>
      <c r="O347" s="55" t="s">
        <v>45</v>
      </c>
      <c r="P347" s="55" t="s">
        <v>45</v>
      </c>
      <c r="Q347" s="55" t="s">
        <v>45</v>
      </c>
      <c r="R347" s="55" t="s">
        <v>45</v>
      </c>
      <c r="S347" s="55" t="s">
        <v>45</v>
      </c>
      <c r="T347" s="55" t="s">
        <v>45</v>
      </c>
      <c r="U347" s="55" t="s">
        <v>4739</v>
      </c>
      <c r="V347" s="55" t="s">
        <v>3095</v>
      </c>
      <c r="W347" s="55" t="s">
        <v>3254</v>
      </c>
      <c r="X347" s="55" t="s">
        <v>3095</v>
      </c>
      <c r="Y347" s="55" t="s">
        <v>4740</v>
      </c>
      <c r="Z347" s="55" t="s">
        <v>3095</v>
      </c>
      <c r="AA347" s="55" t="s">
        <v>4261</v>
      </c>
      <c r="AB347" s="55" t="s">
        <v>3095</v>
      </c>
      <c r="AC347" s="55" t="s">
        <v>3103</v>
      </c>
      <c r="AD347" s="55" t="s">
        <v>4741</v>
      </c>
      <c r="AE347" s="55" t="s">
        <v>3095</v>
      </c>
      <c r="AF347" s="55" t="s">
        <v>3095</v>
      </c>
      <c r="AG347" s="55" t="s">
        <v>3095</v>
      </c>
      <c r="AH347" s="55" t="s">
        <v>3095</v>
      </c>
      <c r="AI347" s="55" t="s">
        <v>3095</v>
      </c>
      <c r="AJ347" s="55" t="s">
        <v>3095</v>
      </c>
      <c r="AK347" s="55" t="s">
        <v>3095</v>
      </c>
      <c r="AL347" s="55" t="s">
        <v>3095</v>
      </c>
      <c r="AM347" s="55" t="s">
        <v>3095</v>
      </c>
    </row>
    <row r="348" ht="45.0" customHeight="1">
      <c r="A348" s="55" t="s">
        <v>3095</v>
      </c>
      <c r="B348" s="55" t="s">
        <v>4742</v>
      </c>
      <c r="C348" s="55" t="str">
        <f>IMAGE("https://raw.githubusercontent.com/ltdimages/images/refs/heads/main/Coordinate0000_00.png")</f>
        <v/>
      </c>
      <c r="D348" s="55" t="str">
        <f>IMAGE("https://raw.githubusercontent.com/ltdimages/images/refs/heads/main/Coordinate0000_01.png")</f>
        <v/>
      </c>
      <c r="E348" s="55" t="str">
        <f>IMAGE("https://raw.githubusercontent.com/ltdimages/images/refs/heads/main/Coordinate0000_02.png")</f>
        <v/>
      </c>
      <c r="F348" s="55" t="str">
        <f>IMAGE("https://raw.githubusercontent.com/ltdimages/images/refs/heads/main/Coordinate0000_03.png")</f>
        <v/>
      </c>
      <c r="G348" s="55" t="str">
        <f>IMAGE("https://raw.githubusercontent.com/ltdimages/images/refs/heads/main/Coordinate0000_04.png")</f>
        <v/>
      </c>
      <c r="H348" s="55" t="str">
        <f>IMAGE("https://raw.githubusercontent.com/ltdimages/images/refs/heads/main/Coordinate0000_05.png")</f>
        <v/>
      </c>
      <c r="I348" s="55" t="str">
        <f>IMAGE("https://raw.githubusercontent.com/ltdimages/images/refs/heads/main/Coordinate0000_06.png")</f>
        <v/>
      </c>
      <c r="J348" s="55" t="str">
        <f>IMAGE("https://raw.githubusercontent.com/ltdimages/images/refs/heads/main/Coordinate0000_07.png")</f>
        <v/>
      </c>
      <c r="K348" s="20" t="s">
        <v>4743</v>
      </c>
      <c r="L348" s="20" t="s">
        <v>3097</v>
      </c>
      <c r="M348" s="55" t="s">
        <v>3098</v>
      </c>
      <c r="N348" s="55" t="s">
        <v>3099</v>
      </c>
      <c r="O348" s="55" t="s">
        <v>45</v>
      </c>
      <c r="P348" s="55" t="s">
        <v>45</v>
      </c>
      <c r="Q348" s="55" t="s">
        <v>45</v>
      </c>
      <c r="R348" s="55" t="s">
        <v>45</v>
      </c>
      <c r="S348" s="55" t="s">
        <v>45</v>
      </c>
      <c r="T348" s="55" t="s">
        <v>49</v>
      </c>
      <c r="U348" s="55" t="s">
        <v>4744</v>
      </c>
      <c r="V348" s="55" t="s">
        <v>3095</v>
      </c>
      <c r="W348" s="55" t="s">
        <v>4745</v>
      </c>
      <c r="X348" s="55" t="s">
        <v>3095</v>
      </c>
      <c r="Y348" s="55" t="s">
        <v>3095</v>
      </c>
      <c r="Z348" s="55" t="s">
        <v>4746</v>
      </c>
      <c r="AA348" s="55" t="s">
        <v>4747</v>
      </c>
      <c r="AB348" s="55" t="s">
        <v>3095</v>
      </c>
      <c r="AC348" s="55" t="s">
        <v>3103</v>
      </c>
      <c r="AD348" s="55" t="s">
        <v>4748</v>
      </c>
      <c r="AE348" s="55" t="str">
        <f>IMAGE("https://raw.githubusercontent.com/ltdimages/images/refs/heads/main/Coordinate0000_08.png")</f>
        <v/>
      </c>
      <c r="AF348" s="55" t="str">
        <f>IMAGE("https://raw.githubusercontent.com/ltdimages/images/refs/heads/main/Coordinate0000_09.png")</f>
        <v/>
      </c>
      <c r="AG348" s="55" t="str">
        <f>IMAGE("https://raw.githubusercontent.com/ltdimages/images/refs/heads/main/Coordinate0000_10.png")</f>
        <v/>
      </c>
      <c r="AH348" s="55" t="str">
        <f>IMAGE("https://raw.githubusercontent.com/ltdimages/images/refs/heads/main/Coordinate0000_11.png")</f>
        <v/>
      </c>
      <c r="AI348" s="55" t="str">
        <f>IMAGE("https://raw.githubusercontent.com/ltdimages/images/refs/heads/main/Coordinate0000_12.png")</f>
        <v/>
      </c>
      <c r="AJ348" s="55" t="str">
        <f>IMAGE("https://raw.githubusercontent.com/ltdimages/images/refs/heads/main/Coordinate0000_13.png")</f>
        <v/>
      </c>
      <c r="AK348" s="55" t="str">
        <f>IMAGE("https://raw.githubusercontent.com/ltdimages/images/refs/heads/main/Coordinate0000_14.png")</f>
        <v/>
      </c>
      <c r="AL348" s="55" t="str">
        <f>IMAGE("https://raw.githubusercontent.com/ltdimages/images/refs/heads/main/Coordinate0000_15.png")</f>
        <v/>
      </c>
      <c r="AM348" s="55" t="str">
        <f>IMAGE("https://raw.githubusercontent.com/ltdimages/images/refs/heads/main/Coordinate0000_16.png")</f>
        <v/>
      </c>
    </row>
  </sheetData>
  <autoFilter ref="$A$1:$AM$348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88"/>
    <col customWidth="1" min="2" max="2" width="18.0"/>
    <col customWidth="1" min="3" max="10" width="7.63"/>
    <col customWidth="1" min="11" max="11" width="15.13"/>
    <col customWidth="1" min="12" max="12" width="13.63"/>
    <col customWidth="1" min="13" max="13" width="9.5"/>
    <col customWidth="1" min="14" max="14" width="13.63"/>
    <col customWidth="1" min="15" max="15" width="8.63"/>
    <col customWidth="1" min="16" max="16" width="8.5"/>
    <col customWidth="1" min="17" max="17" width="12.63"/>
    <col customWidth="1" min="18" max="18" width="9.75"/>
    <col customWidth="1" min="19" max="19" width="15.13"/>
    <col customWidth="1" min="20" max="20" width="11.38"/>
    <col customWidth="1" min="21" max="21" width="8.38"/>
    <col customWidth="1" min="22" max="22" width="9.38"/>
    <col customWidth="1" min="23" max="23" width="31.0"/>
    <col customWidth="1" min="24" max="32" width="7.63"/>
  </cols>
  <sheetData>
    <row r="1" ht="31.5" customHeight="1">
      <c r="A1" s="58" t="s">
        <v>23</v>
      </c>
      <c r="B1" s="59" t="s">
        <v>25</v>
      </c>
      <c r="C1" s="60" t="s">
        <v>3059</v>
      </c>
      <c r="D1" s="60" t="s">
        <v>3060</v>
      </c>
      <c r="E1" s="60" t="s">
        <v>3061</v>
      </c>
      <c r="F1" s="60" t="s">
        <v>3062</v>
      </c>
      <c r="G1" s="60" t="s">
        <v>3063</v>
      </c>
      <c r="H1" s="60" t="s">
        <v>3064</v>
      </c>
      <c r="I1" s="60" t="s">
        <v>3065</v>
      </c>
      <c r="J1" s="60" t="s">
        <v>3066</v>
      </c>
      <c r="K1" s="19" t="s">
        <v>1993</v>
      </c>
      <c r="L1" s="19" t="s">
        <v>29</v>
      </c>
      <c r="M1" s="19" t="s">
        <v>3067</v>
      </c>
      <c r="N1" s="19" t="s">
        <v>3069</v>
      </c>
      <c r="O1" s="19" t="s">
        <v>3070</v>
      </c>
      <c r="P1" s="19" t="s">
        <v>3071</v>
      </c>
      <c r="Q1" s="19" t="s">
        <v>3072</v>
      </c>
      <c r="R1" s="19" t="s">
        <v>3073</v>
      </c>
      <c r="S1" s="19" t="s">
        <v>3075</v>
      </c>
      <c r="T1" s="19" t="s">
        <v>4749</v>
      </c>
      <c r="U1" s="19" t="s">
        <v>4750</v>
      </c>
      <c r="V1" s="19" t="s">
        <v>4751</v>
      </c>
      <c r="W1" s="19" t="s">
        <v>40</v>
      </c>
      <c r="X1" s="60" t="s">
        <v>3085</v>
      </c>
      <c r="Y1" s="61" t="s">
        <v>3086</v>
      </c>
      <c r="Z1" s="61" t="s">
        <v>3087</v>
      </c>
      <c r="AA1" s="61" t="s">
        <v>3088</v>
      </c>
      <c r="AB1" s="61" t="s">
        <v>3089</v>
      </c>
      <c r="AC1" s="61" t="s">
        <v>3090</v>
      </c>
      <c r="AD1" s="61" t="s">
        <v>3091</v>
      </c>
      <c r="AE1" s="61" t="s">
        <v>3092</v>
      </c>
      <c r="AF1" s="61" t="s">
        <v>3093</v>
      </c>
    </row>
    <row r="2" ht="45.0" customHeight="1">
      <c r="A2" s="55" t="s">
        <v>41</v>
      </c>
      <c r="B2" s="62" t="s">
        <v>3100</v>
      </c>
      <c r="C2" s="22" t="str">
        <f>IMAGE("https://raw.githubusercontent.com/ltdimages/images/refs/heads/main/ClothTopsOuterLongAbc_00.png")</f>
        <v/>
      </c>
      <c r="D2" s="22" t="str">
        <f>IMAGE("https://raw.githubusercontent.com/ltdimages/images/refs/heads/main/ClothTopsOuterLongAbc_01.png")</f>
        <v/>
      </c>
      <c r="E2" s="22" t="str">
        <f>IMAGE("https://raw.githubusercontent.com/ltdimages/images/refs/heads/main/ClothTopsOuterLongAbc_02.png")</f>
        <v/>
      </c>
      <c r="F2" s="22" t="str">
        <f>IMAGE("https://raw.githubusercontent.com/ltdimages/images/refs/heads/main/ClothTopsOuterLongAbc_03.png")</f>
        <v/>
      </c>
      <c r="G2" s="22" t="str">
        <f>IMAGE("https://raw.githubusercontent.com/ltdimages/images/refs/heads/main/ClothTopsOuterLongAbc_04.png")</f>
        <v/>
      </c>
      <c r="H2" s="22" t="str">
        <f>IMAGE("https://raw.githubusercontent.com/ltdimages/images/refs/heads/main/ClothTopsOuterLongAbc_05.png")</f>
        <v/>
      </c>
      <c r="I2" s="22" t="s">
        <v>3095</v>
      </c>
      <c r="J2" s="22" t="s">
        <v>3095</v>
      </c>
      <c r="K2" s="63" t="s">
        <v>3103</v>
      </c>
      <c r="L2" s="23">
        <v>12.0</v>
      </c>
      <c r="M2" s="22" t="s">
        <v>3097</v>
      </c>
      <c r="N2" s="22" t="s">
        <v>3099</v>
      </c>
      <c r="O2" s="22" t="s">
        <v>45</v>
      </c>
      <c r="P2" s="22" t="s">
        <v>45</v>
      </c>
      <c r="Q2" s="22" t="s">
        <v>45</v>
      </c>
      <c r="R2" s="22" t="s">
        <v>45</v>
      </c>
      <c r="S2" s="22" t="s">
        <v>45</v>
      </c>
      <c r="T2" s="22" t="s">
        <v>2002</v>
      </c>
      <c r="U2" s="22" t="s">
        <v>45</v>
      </c>
      <c r="V2" s="22" t="s">
        <v>45</v>
      </c>
      <c r="W2" s="22" t="s">
        <v>4752</v>
      </c>
      <c r="X2" s="22" t="s">
        <v>3095</v>
      </c>
      <c r="Y2" s="22" t="s">
        <v>3095</v>
      </c>
      <c r="Z2" s="22" t="s">
        <v>3095</v>
      </c>
      <c r="AA2" s="22" t="s">
        <v>3095</v>
      </c>
      <c r="AB2" s="22" t="s">
        <v>3095</v>
      </c>
      <c r="AC2" s="22" t="s">
        <v>3095</v>
      </c>
      <c r="AD2" s="22" t="s">
        <v>3095</v>
      </c>
      <c r="AE2" s="22" t="s">
        <v>3095</v>
      </c>
      <c r="AF2" s="22" t="s">
        <v>3095</v>
      </c>
    </row>
    <row r="3" ht="45.0" customHeight="1">
      <c r="A3" s="55" t="s">
        <v>52</v>
      </c>
      <c r="B3" s="62" t="s">
        <v>4753</v>
      </c>
      <c r="C3" s="22" t="str">
        <f>IMAGE("https://raw.githubusercontent.com/ltdimages/images/refs/heads/main/ClothTopsYshirtHalfLinePolo_00.png")</f>
        <v/>
      </c>
      <c r="D3" s="22" t="str">
        <f>IMAGE("https://raw.githubusercontent.com/ltdimages/images/refs/heads/main/ClothTopsYshirtHalfLinePolo_01.png")</f>
        <v/>
      </c>
      <c r="E3" s="22" t="str">
        <f>IMAGE("https://raw.githubusercontent.com/ltdimages/images/refs/heads/main/ClothTopsYshirtHalfLinePolo_02.png")</f>
        <v/>
      </c>
      <c r="F3" s="22" t="str">
        <f>IMAGE("https://raw.githubusercontent.com/ltdimages/images/refs/heads/main/ClothTopsYshirtHalfLinePolo_03.png")</f>
        <v/>
      </c>
      <c r="G3" s="22" t="str">
        <f>IMAGE("https://raw.githubusercontent.com/ltdimages/images/refs/heads/main/ClothTopsYshirtHalfLinePolo_04.png")</f>
        <v/>
      </c>
      <c r="H3" s="22" t="str">
        <f>IMAGE("https://raw.githubusercontent.com/ltdimages/images/refs/heads/main/ClothTopsYshirtHalfLinePolo_05.png")</f>
        <v/>
      </c>
      <c r="I3" s="22" t="str">
        <f>IMAGE("https://raw.githubusercontent.com/ltdimages/images/refs/heads/main/ClothTopsYshirtHalfLinePolo_06.png")</f>
        <v/>
      </c>
      <c r="J3" s="22" t="str">
        <f>IMAGE("https://raw.githubusercontent.com/ltdimages/images/refs/heads/main/ClothTopsYshirtHalfLinePolo_07.png")</f>
        <v/>
      </c>
      <c r="K3" s="63" t="s">
        <v>3103</v>
      </c>
      <c r="L3" s="23">
        <v>11.0</v>
      </c>
      <c r="M3" s="22" t="s">
        <v>3097</v>
      </c>
      <c r="N3" s="22" t="s">
        <v>3099</v>
      </c>
      <c r="O3" s="22" t="s">
        <v>45</v>
      </c>
      <c r="P3" s="22" t="s">
        <v>45</v>
      </c>
      <c r="Q3" s="22" t="s">
        <v>45</v>
      </c>
      <c r="R3" s="22" t="s">
        <v>45</v>
      </c>
      <c r="S3" s="22" t="s">
        <v>45</v>
      </c>
      <c r="T3" s="22" t="s">
        <v>2002</v>
      </c>
      <c r="U3" s="22" t="s">
        <v>45</v>
      </c>
      <c r="V3" s="22" t="s">
        <v>45</v>
      </c>
      <c r="W3" s="22" t="s">
        <v>4754</v>
      </c>
      <c r="X3" s="22" t="s">
        <v>3095</v>
      </c>
      <c r="Y3" s="22" t="s">
        <v>3095</v>
      </c>
      <c r="Z3" s="22" t="s">
        <v>3095</v>
      </c>
      <c r="AA3" s="22" t="s">
        <v>3095</v>
      </c>
      <c r="AB3" s="22" t="s">
        <v>3095</v>
      </c>
      <c r="AC3" s="22" t="s">
        <v>3095</v>
      </c>
      <c r="AD3" s="22" t="s">
        <v>3095</v>
      </c>
      <c r="AE3" s="22" t="s">
        <v>3095</v>
      </c>
      <c r="AF3" s="22" t="s">
        <v>3095</v>
      </c>
    </row>
    <row r="4" ht="45.0" customHeight="1">
      <c r="A4" s="55" t="s">
        <v>60</v>
      </c>
      <c r="B4" s="62" t="s">
        <v>4232</v>
      </c>
      <c r="C4" s="22" t="str">
        <f>IMAGE("https://raw.githubusercontent.com/ltdimages/images/refs/heads/main/ClothTopsOuterLongAnimalBlouson_00.png")</f>
        <v/>
      </c>
      <c r="D4" s="22" t="str">
        <f>IMAGE("https://raw.githubusercontent.com/ltdimages/images/refs/heads/main/ClothTopsOuterLongAnimalBlouson_01.png")</f>
        <v/>
      </c>
      <c r="E4" s="22" t="str">
        <f>IMAGE("https://raw.githubusercontent.com/ltdimages/images/refs/heads/main/ClothTopsOuterLongAnimalBlouson_02.png")</f>
        <v/>
      </c>
      <c r="F4" s="22" t="str">
        <f>IMAGE("https://raw.githubusercontent.com/ltdimages/images/refs/heads/main/ClothTopsOuterLongAnimalBlouson_03.png")</f>
        <v/>
      </c>
      <c r="G4" s="22" t="str">
        <f>IMAGE("https://raw.githubusercontent.com/ltdimages/images/refs/heads/main/ClothTopsOuterLongAnimalBlouson_04.png")</f>
        <v/>
      </c>
      <c r="H4" s="22" t="str">
        <f>IMAGE("https://raw.githubusercontent.com/ltdimages/images/refs/heads/main/ClothTopsOuterLongAnimalBlouson_05.png")</f>
        <v/>
      </c>
      <c r="I4" s="22" t="s">
        <v>3095</v>
      </c>
      <c r="J4" s="22" t="s">
        <v>3095</v>
      </c>
      <c r="K4" s="63" t="s">
        <v>3103</v>
      </c>
      <c r="L4" s="23">
        <v>13.0</v>
      </c>
      <c r="M4" s="22" t="s">
        <v>3097</v>
      </c>
      <c r="N4" s="22" t="s">
        <v>3114</v>
      </c>
      <c r="O4" s="22" t="s">
        <v>45</v>
      </c>
      <c r="P4" s="22" t="s">
        <v>45</v>
      </c>
      <c r="Q4" s="22" t="s">
        <v>45</v>
      </c>
      <c r="R4" s="22" t="s">
        <v>45</v>
      </c>
      <c r="S4" s="22" t="s">
        <v>45</v>
      </c>
      <c r="T4" s="22" t="s">
        <v>2002</v>
      </c>
      <c r="U4" s="22" t="s">
        <v>45</v>
      </c>
      <c r="V4" s="22" t="s">
        <v>45</v>
      </c>
      <c r="W4" s="22" t="s">
        <v>4755</v>
      </c>
      <c r="X4" s="22" t="s">
        <v>3095</v>
      </c>
      <c r="Y4" s="22" t="s">
        <v>3095</v>
      </c>
      <c r="Z4" s="22" t="s">
        <v>3095</v>
      </c>
      <c r="AA4" s="22" t="s">
        <v>3095</v>
      </c>
      <c r="AB4" s="22" t="s">
        <v>3095</v>
      </c>
      <c r="AC4" s="22" t="s">
        <v>3095</v>
      </c>
      <c r="AD4" s="22" t="s">
        <v>3095</v>
      </c>
      <c r="AE4" s="22" t="s">
        <v>3095</v>
      </c>
      <c r="AF4" s="22" t="s">
        <v>3095</v>
      </c>
    </row>
    <row r="5" ht="45.0" customHeight="1">
      <c r="A5" s="55" t="s">
        <v>65</v>
      </c>
      <c r="B5" s="62" t="s">
        <v>4756</v>
      </c>
      <c r="C5" s="22" t="str">
        <f>IMAGE("https://raw.githubusercontent.com/ltdimages/images/refs/heads/main/ClothTopsTshirtHalfAnimal_00.png")</f>
        <v/>
      </c>
      <c r="D5" s="22" t="str">
        <f>IMAGE("https://raw.githubusercontent.com/ltdimages/images/refs/heads/main/ClothTopsTshirtHalfAnimal_01.png")</f>
        <v/>
      </c>
      <c r="E5" s="22" t="str">
        <f>IMAGE("https://raw.githubusercontent.com/ltdimages/images/refs/heads/main/ClothTopsTshirtHalfAnimal_02.png")</f>
        <v/>
      </c>
      <c r="F5" s="22" t="str">
        <f>IMAGE("https://raw.githubusercontent.com/ltdimages/images/refs/heads/main/ClothTopsTshirtHalfAnimal_03.png")</f>
        <v/>
      </c>
      <c r="G5" s="22" t="str">
        <f>IMAGE("https://raw.githubusercontent.com/ltdimages/images/refs/heads/main/ClothTopsTshirtHalfAnimal_04.png")</f>
        <v/>
      </c>
      <c r="H5" s="22" t="str">
        <f>IMAGE("https://raw.githubusercontent.com/ltdimages/images/refs/heads/main/ClothTopsTshirtHalfAnimal_05.png")</f>
        <v/>
      </c>
      <c r="I5" s="22" t="str">
        <f>IMAGE("https://raw.githubusercontent.com/ltdimages/images/refs/heads/main/ClothTopsTshirtHalfAnimal_06.png")</f>
        <v/>
      </c>
      <c r="J5" s="22" t="str">
        <f>IMAGE("https://raw.githubusercontent.com/ltdimages/images/refs/heads/main/ClothTopsTshirtHalfAnimal_07.png")</f>
        <v/>
      </c>
      <c r="K5" s="63" t="s">
        <v>3103</v>
      </c>
      <c r="L5" s="23">
        <v>14.0</v>
      </c>
      <c r="M5" s="22" t="s">
        <v>3097</v>
      </c>
      <c r="N5" s="22" t="s">
        <v>3099</v>
      </c>
      <c r="O5" s="22" t="s">
        <v>45</v>
      </c>
      <c r="P5" s="22" t="s">
        <v>45</v>
      </c>
      <c r="Q5" s="22" t="s">
        <v>45</v>
      </c>
      <c r="R5" s="22" t="s">
        <v>45</v>
      </c>
      <c r="S5" s="22" t="s">
        <v>45</v>
      </c>
      <c r="T5" s="22" t="s">
        <v>2002</v>
      </c>
      <c r="U5" s="22" t="s">
        <v>45</v>
      </c>
      <c r="V5" s="22" t="s">
        <v>45</v>
      </c>
      <c r="W5" s="22" t="s">
        <v>4757</v>
      </c>
      <c r="X5" s="22" t="s">
        <v>3095</v>
      </c>
      <c r="Y5" s="22" t="s">
        <v>3095</v>
      </c>
      <c r="Z5" s="22" t="s">
        <v>3095</v>
      </c>
      <c r="AA5" s="22" t="s">
        <v>3095</v>
      </c>
      <c r="AB5" s="22" t="s">
        <v>3095</v>
      </c>
      <c r="AC5" s="22" t="s">
        <v>3095</v>
      </c>
      <c r="AD5" s="22" t="s">
        <v>3095</v>
      </c>
      <c r="AE5" s="22" t="s">
        <v>3095</v>
      </c>
      <c r="AF5" s="22" t="s">
        <v>3095</v>
      </c>
    </row>
    <row r="6" ht="45.0" customHeight="1">
      <c r="A6" s="55" t="s">
        <v>70</v>
      </c>
      <c r="B6" s="62" t="s">
        <v>4758</v>
      </c>
      <c r="C6" s="22" t="str">
        <f>IMAGE("https://raw.githubusercontent.com/ltdimages/images/refs/heads/main/ClothTopsOuterLongAnorak_00.png")</f>
        <v/>
      </c>
      <c r="D6" s="22" t="str">
        <f>IMAGE("https://raw.githubusercontent.com/ltdimages/images/refs/heads/main/ClothTopsOuterLongAnorak_01.png")</f>
        <v/>
      </c>
      <c r="E6" s="22" t="str">
        <f>IMAGE("https://raw.githubusercontent.com/ltdimages/images/refs/heads/main/ClothTopsOuterLongAnorak_02.png")</f>
        <v/>
      </c>
      <c r="F6" s="22" t="str">
        <f>IMAGE("https://raw.githubusercontent.com/ltdimages/images/refs/heads/main/ClothTopsOuterLongAnorak_03.png")</f>
        <v/>
      </c>
      <c r="G6" s="22" t="str">
        <f>IMAGE("https://raw.githubusercontent.com/ltdimages/images/refs/heads/main/ClothTopsOuterLongAnorak_04.png")</f>
        <v/>
      </c>
      <c r="H6" s="22" t="str">
        <f>IMAGE("https://raw.githubusercontent.com/ltdimages/images/refs/heads/main/ClothTopsOuterLongAnorak_05.png")</f>
        <v/>
      </c>
      <c r="I6" s="22" t="str">
        <f>IMAGE("https://raw.githubusercontent.com/ltdimages/images/refs/heads/main/ClothTopsOuterLongAnorak_06.png")</f>
        <v/>
      </c>
      <c r="J6" s="22" t="str">
        <f>IMAGE("https://raw.githubusercontent.com/ltdimages/images/refs/heads/main/ClothTopsOuterLongAnorak_07.png")</f>
        <v/>
      </c>
      <c r="K6" s="63" t="s">
        <v>3103</v>
      </c>
      <c r="L6" s="23">
        <v>13.0</v>
      </c>
      <c r="M6" s="22" t="s">
        <v>3097</v>
      </c>
      <c r="N6" s="22" t="s">
        <v>3099</v>
      </c>
      <c r="O6" s="22" t="s">
        <v>45</v>
      </c>
      <c r="P6" s="22" t="s">
        <v>45</v>
      </c>
      <c r="Q6" s="22" t="s">
        <v>45</v>
      </c>
      <c r="R6" s="22" t="s">
        <v>45</v>
      </c>
      <c r="S6" s="22" t="s">
        <v>45</v>
      </c>
      <c r="T6" s="22" t="s">
        <v>2002</v>
      </c>
      <c r="U6" s="22" t="s">
        <v>45</v>
      </c>
      <c r="V6" s="22" t="s">
        <v>45</v>
      </c>
      <c r="W6" s="22" t="s">
        <v>4759</v>
      </c>
      <c r="X6" s="22" t="s">
        <v>3095</v>
      </c>
      <c r="Y6" s="22" t="s">
        <v>3095</v>
      </c>
      <c r="Z6" s="22" t="s">
        <v>3095</v>
      </c>
      <c r="AA6" s="22" t="s">
        <v>3095</v>
      </c>
      <c r="AB6" s="22" t="s">
        <v>3095</v>
      </c>
      <c r="AC6" s="22" t="s">
        <v>3095</v>
      </c>
      <c r="AD6" s="22" t="s">
        <v>3095</v>
      </c>
      <c r="AE6" s="22" t="s">
        <v>3095</v>
      </c>
      <c r="AF6" s="22" t="s">
        <v>3095</v>
      </c>
    </row>
    <row r="7" ht="45.0" customHeight="1">
      <c r="A7" s="55" t="s">
        <v>74</v>
      </c>
      <c r="B7" s="62" t="s">
        <v>3147</v>
      </c>
      <c r="C7" s="22" t="str">
        <f>IMAGE("https://raw.githubusercontent.com/ltdimages/images/refs/heads/main/ClothTopsCoatLongAogam_00.png")</f>
        <v/>
      </c>
      <c r="D7" s="22" t="str">
        <f>IMAGE("https://raw.githubusercontent.com/ltdimages/images/refs/heads/main/ClothTopsCoatLongAogam_01.png")</f>
        <v/>
      </c>
      <c r="E7" s="22" t="str">
        <f>IMAGE("https://raw.githubusercontent.com/ltdimages/images/refs/heads/main/ClothTopsCoatLongAogam_02.png")</f>
        <v/>
      </c>
      <c r="F7" s="22" t="str">
        <f>IMAGE("https://raw.githubusercontent.com/ltdimages/images/refs/heads/main/ClothTopsCoatLongAogam_03.png")</f>
        <v/>
      </c>
      <c r="G7" s="22" t="str">
        <f>IMAGE("https://raw.githubusercontent.com/ltdimages/images/refs/heads/main/ClothTopsCoatLongAogam_04.png")</f>
        <v/>
      </c>
      <c r="H7" s="22" t="str">
        <f>IMAGE("https://raw.githubusercontent.com/ltdimages/images/refs/heads/main/ClothTopsCoatLongAogam_05.png")</f>
        <v/>
      </c>
      <c r="I7" s="22" t="str">
        <f>IMAGE("https://raw.githubusercontent.com/ltdimages/images/refs/heads/main/ClothTopsCoatLongAogam_06.png")</f>
        <v/>
      </c>
      <c r="J7" s="22" t="str">
        <f>IMAGE("https://raw.githubusercontent.com/ltdimages/images/refs/heads/main/ClothTopsCoatLongAogam_07.png")</f>
        <v/>
      </c>
      <c r="K7" s="63" t="s">
        <v>3103</v>
      </c>
      <c r="L7" s="23">
        <v>24.0</v>
      </c>
      <c r="M7" s="22" t="s">
        <v>3097</v>
      </c>
      <c r="N7" s="22" t="s">
        <v>3099</v>
      </c>
      <c r="O7" s="22" t="s">
        <v>45</v>
      </c>
      <c r="P7" s="22" t="s">
        <v>45</v>
      </c>
      <c r="Q7" s="22" t="s">
        <v>45</v>
      </c>
      <c r="R7" s="22" t="s">
        <v>45</v>
      </c>
      <c r="S7" s="22" t="s">
        <v>45</v>
      </c>
      <c r="T7" s="22" t="s">
        <v>2002</v>
      </c>
      <c r="U7" s="22" t="s">
        <v>45</v>
      </c>
      <c r="V7" s="22" t="s">
        <v>45</v>
      </c>
      <c r="W7" s="22" t="s">
        <v>4760</v>
      </c>
      <c r="X7" s="22" t="s">
        <v>3095</v>
      </c>
      <c r="Y7" s="22" t="s">
        <v>3095</v>
      </c>
      <c r="Z7" s="22" t="s">
        <v>3095</v>
      </c>
      <c r="AA7" s="22" t="s">
        <v>3095</v>
      </c>
      <c r="AB7" s="22" t="s">
        <v>3095</v>
      </c>
      <c r="AC7" s="22" t="s">
        <v>3095</v>
      </c>
      <c r="AD7" s="22" t="s">
        <v>3095</v>
      </c>
      <c r="AE7" s="22" t="s">
        <v>3095</v>
      </c>
      <c r="AF7" s="22" t="s">
        <v>3095</v>
      </c>
    </row>
    <row r="8" ht="45.0" customHeight="1">
      <c r="A8" s="55" t="s">
        <v>78</v>
      </c>
      <c r="B8" s="62" t="s">
        <v>4048</v>
      </c>
      <c r="C8" s="22" t="str">
        <f>IMAGE("https://raw.githubusercontent.com/ltdimages/images/refs/heads/main/ClothTopsCoatLongApron_00.png")</f>
        <v/>
      </c>
      <c r="D8" s="22" t="str">
        <f>IMAGE("https://raw.githubusercontent.com/ltdimages/images/refs/heads/main/ClothTopsCoatLongApron_01.png")</f>
        <v/>
      </c>
      <c r="E8" s="22" t="str">
        <f>IMAGE("https://raw.githubusercontent.com/ltdimages/images/refs/heads/main/ClothTopsCoatLongApron_02.png")</f>
        <v/>
      </c>
      <c r="F8" s="22" t="str">
        <f>IMAGE("https://raw.githubusercontent.com/ltdimages/images/refs/heads/main/ClothTopsCoatLongApron_03.png")</f>
        <v/>
      </c>
      <c r="G8" s="22" t="str">
        <f>IMAGE("https://raw.githubusercontent.com/ltdimages/images/refs/heads/main/ClothTopsCoatLongApron_04.png")</f>
        <v/>
      </c>
      <c r="H8" s="22" t="str">
        <f>IMAGE("https://raw.githubusercontent.com/ltdimages/images/refs/heads/main/ClothTopsCoatLongApron_05.png")</f>
        <v/>
      </c>
      <c r="I8" s="22" t="str">
        <f>IMAGE("https://raw.githubusercontent.com/ltdimages/images/refs/heads/main/ClothTopsCoatLongApron_06.png")</f>
        <v/>
      </c>
      <c r="J8" s="22" t="str">
        <f>IMAGE("https://raw.githubusercontent.com/ltdimages/images/refs/heads/main/ClothTopsCoatLongApron_07.png")</f>
        <v/>
      </c>
      <c r="K8" s="63" t="s">
        <v>3103</v>
      </c>
      <c r="L8" s="23">
        <v>11.0</v>
      </c>
      <c r="M8" s="22" t="s">
        <v>3097</v>
      </c>
      <c r="N8" s="22" t="s">
        <v>3099</v>
      </c>
      <c r="O8" s="22" t="s">
        <v>45</v>
      </c>
      <c r="P8" s="22" t="s">
        <v>45</v>
      </c>
      <c r="Q8" s="22" t="s">
        <v>45</v>
      </c>
      <c r="R8" s="22" t="s">
        <v>45</v>
      </c>
      <c r="S8" s="22" t="s">
        <v>45</v>
      </c>
      <c r="T8" s="22" t="s">
        <v>2002</v>
      </c>
      <c r="U8" s="22" t="s">
        <v>45</v>
      </c>
      <c r="V8" s="22" t="s">
        <v>45</v>
      </c>
      <c r="W8" s="22" t="s">
        <v>4761</v>
      </c>
      <c r="X8" s="22" t="s">
        <v>3095</v>
      </c>
      <c r="Y8" s="22" t="s">
        <v>3095</v>
      </c>
      <c r="Z8" s="22" t="s">
        <v>3095</v>
      </c>
      <c r="AA8" s="22" t="s">
        <v>3095</v>
      </c>
      <c r="AB8" s="22" t="s">
        <v>3095</v>
      </c>
      <c r="AC8" s="22" t="s">
        <v>3095</v>
      </c>
      <c r="AD8" s="22" t="s">
        <v>3095</v>
      </c>
      <c r="AE8" s="22" t="s">
        <v>3095</v>
      </c>
      <c r="AF8" s="22" t="s">
        <v>3095</v>
      </c>
    </row>
    <row r="9" ht="45.0" customHeight="1">
      <c r="A9" s="55" t="s">
        <v>83</v>
      </c>
      <c r="B9" s="62" t="s">
        <v>4762</v>
      </c>
      <c r="C9" s="22" t="str">
        <f>IMAGE("https://raw.githubusercontent.com/ltdimages/images/refs/heads/main/ClothTopsOuterLongAran_00.png")</f>
        <v/>
      </c>
      <c r="D9" s="22" t="str">
        <f>IMAGE("https://raw.githubusercontent.com/ltdimages/images/refs/heads/main/ClothTopsOuterLongAran_01.png")</f>
        <v/>
      </c>
      <c r="E9" s="22" t="str">
        <f>IMAGE("https://raw.githubusercontent.com/ltdimages/images/refs/heads/main/ClothTopsOuterLongAran_02.png")</f>
        <v/>
      </c>
      <c r="F9" s="22" t="str">
        <f>IMAGE("https://raw.githubusercontent.com/ltdimages/images/refs/heads/main/ClothTopsOuterLongAran_03.png")</f>
        <v/>
      </c>
      <c r="G9" s="22" t="str">
        <f>IMAGE("https://raw.githubusercontent.com/ltdimages/images/refs/heads/main/ClothTopsOuterLongAran_04.png")</f>
        <v/>
      </c>
      <c r="H9" s="22" t="str">
        <f>IMAGE("https://raw.githubusercontent.com/ltdimages/images/refs/heads/main/ClothTopsOuterLongAran_05.png")</f>
        <v/>
      </c>
      <c r="I9" s="22" t="str">
        <f>IMAGE("https://raw.githubusercontent.com/ltdimages/images/refs/heads/main/ClothTopsOuterLongAran_06.png")</f>
        <v/>
      </c>
      <c r="J9" s="22" t="str">
        <f>IMAGE("https://raw.githubusercontent.com/ltdimages/images/refs/heads/main/ClothTopsOuterLongAran_07.png")</f>
        <v/>
      </c>
      <c r="K9" s="63" t="s">
        <v>3103</v>
      </c>
      <c r="L9" s="23">
        <v>11.0</v>
      </c>
      <c r="M9" s="22" t="s">
        <v>3097</v>
      </c>
      <c r="N9" s="22" t="s">
        <v>3114</v>
      </c>
      <c r="O9" s="22" t="s">
        <v>45</v>
      </c>
      <c r="P9" s="22" t="s">
        <v>45</v>
      </c>
      <c r="Q9" s="22" t="s">
        <v>45</v>
      </c>
      <c r="R9" s="22" t="s">
        <v>45</v>
      </c>
      <c r="S9" s="22" t="s">
        <v>45</v>
      </c>
      <c r="T9" s="22" t="s">
        <v>2002</v>
      </c>
      <c r="U9" s="22" t="s">
        <v>45</v>
      </c>
      <c r="V9" s="22" t="s">
        <v>45</v>
      </c>
      <c r="W9" s="22" t="s">
        <v>4763</v>
      </c>
      <c r="X9" s="22" t="s">
        <v>3095</v>
      </c>
      <c r="Y9" s="22" t="s">
        <v>3095</v>
      </c>
      <c r="Z9" s="22" t="s">
        <v>3095</v>
      </c>
      <c r="AA9" s="22" t="s">
        <v>3095</v>
      </c>
      <c r="AB9" s="22" t="s">
        <v>3095</v>
      </c>
      <c r="AC9" s="22" t="s">
        <v>3095</v>
      </c>
      <c r="AD9" s="22" t="s">
        <v>3095</v>
      </c>
      <c r="AE9" s="22" t="s">
        <v>3095</v>
      </c>
      <c r="AF9" s="22" t="s">
        <v>3095</v>
      </c>
    </row>
    <row r="10" ht="45.0" customHeight="1">
      <c r="A10" s="55" t="s">
        <v>89</v>
      </c>
      <c r="B10" s="62" t="s">
        <v>3154</v>
      </c>
      <c r="C10" s="22" t="str">
        <f>IMAGE("https://raw.githubusercontent.com/ltdimages/images/refs/heads/main/ClothTopsYshirtLongArgyleVest_00.png")</f>
        <v/>
      </c>
      <c r="D10" s="22" t="str">
        <f>IMAGE("https://raw.githubusercontent.com/ltdimages/images/refs/heads/main/ClothTopsYshirtLongArgyleVest_01.png")</f>
        <v/>
      </c>
      <c r="E10" s="22" t="str">
        <f>IMAGE("https://raw.githubusercontent.com/ltdimages/images/refs/heads/main/ClothTopsYshirtLongArgyleVest_02.png")</f>
        <v/>
      </c>
      <c r="F10" s="22" t="str">
        <f>IMAGE("https://raw.githubusercontent.com/ltdimages/images/refs/heads/main/ClothTopsYshirtLongArgyleVest_03.png")</f>
        <v/>
      </c>
      <c r="G10" s="22" t="str">
        <f>IMAGE("https://raw.githubusercontent.com/ltdimages/images/refs/heads/main/ClothTopsYshirtLongArgyleVest_04.png")</f>
        <v/>
      </c>
      <c r="H10" s="22" t="str">
        <f>IMAGE("https://raw.githubusercontent.com/ltdimages/images/refs/heads/main/ClothTopsYshirtLongArgyleVest_05.png")</f>
        <v/>
      </c>
      <c r="I10" s="22" t="str">
        <f>IMAGE("https://raw.githubusercontent.com/ltdimages/images/refs/heads/main/ClothTopsYshirtLongArgyleVest_06.png")</f>
        <v/>
      </c>
      <c r="J10" s="22" t="str">
        <f>IMAGE("https://raw.githubusercontent.com/ltdimages/images/refs/heads/main/ClothTopsYshirtLongArgyleVest_07.png")</f>
        <v/>
      </c>
      <c r="K10" s="63" t="s">
        <v>3103</v>
      </c>
      <c r="L10" s="23">
        <v>11.0</v>
      </c>
      <c r="M10" s="22" t="s">
        <v>3097</v>
      </c>
      <c r="N10" s="22" t="s">
        <v>3099</v>
      </c>
      <c r="O10" s="22" t="s">
        <v>45</v>
      </c>
      <c r="P10" s="22" t="s">
        <v>45</v>
      </c>
      <c r="Q10" s="22" t="s">
        <v>45</v>
      </c>
      <c r="R10" s="22" t="s">
        <v>45</v>
      </c>
      <c r="S10" s="22" t="s">
        <v>45</v>
      </c>
      <c r="T10" s="22" t="s">
        <v>2002</v>
      </c>
      <c r="U10" s="22" t="s">
        <v>45</v>
      </c>
      <c r="V10" s="22" t="s">
        <v>45</v>
      </c>
      <c r="W10" s="22" t="s">
        <v>4764</v>
      </c>
      <c r="X10" s="22" t="s">
        <v>3095</v>
      </c>
      <c r="Y10" s="22" t="s">
        <v>3095</v>
      </c>
      <c r="Z10" s="22" t="s">
        <v>3095</v>
      </c>
      <c r="AA10" s="22" t="s">
        <v>3095</v>
      </c>
      <c r="AB10" s="22" t="s">
        <v>3095</v>
      </c>
      <c r="AC10" s="22" t="s">
        <v>3095</v>
      </c>
      <c r="AD10" s="22" t="s">
        <v>3095</v>
      </c>
      <c r="AE10" s="22" t="s">
        <v>3095</v>
      </c>
      <c r="AF10" s="22" t="s">
        <v>3095</v>
      </c>
    </row>
    <row r="11" ht="45.0" customHeight="1">
      <c r="A11" s="55" t="s">
        <v>94</v>
      </c>
      <c r="B11" s="62" t="s">
        <v>3161</v>
      </c>
      <c r="C11" s="22" t="str">
        <f>IMAGE("https://raw.githubusercontent.com/ltdimages/images/refs/heads/main/ClothTopsCoatLongNoble_00.png")</f>
        <v/>
      </c>
      <c r="D11" s="22" t="str">
        <f>IMAGE("https://raw.githubusercontent.com/ltdimages/images/refs/heads/main/ClothTopsCoatLongNoble_01.png")</f>
        <v/>
      </c>
      <c r="E11" s="22" t="str">
        <f>IMAGE("https://raw.githubusercontent.com/ltdimages/images/refs/heads/main/ClothTopsCoatLongNoble_02.png")</f>
        <v/>
      </c>
      <c r="F11" s="22" t="str">
        <f>IMAGE("https://raw.githubusercontent.com/ltdimages/images/refs/heads/main/ClothTopsCoatLongNoble_03.png")</f>
        <v/>
      </c>
      <c r="G11" s="22" t="str">
        <f>IMAGE("https://raw.githubusercontent.com/ltdimages/images/refs/heads/main/ClothTopsCoatLongNoble_04.png")</f>
        <v/>
      </c>
      <c r="H11" s="22" t="str">
        <f>IMAGE("https://raw.githubusercontent.com/ltdimages/images/refs/heads/main/ClothTopsCoatLongNoble_05.png")</f>
        <v/>
      </c>
      <c r="I11" s="22" t="str">
        <f>IMAGE("https://raw.githubusercontent.com/ltdimages/images/refs/heads/main/ClothTopsCoatLongNoble_06.png")</f>
        <v/>
      </c>
      <c r="J11" s="22" t="str">
        <f>IMAGE("https://raw.githubusercontent.com/ltdimages/images/refs/heads/main/ClothTopsCoatLongNoble_07.png")</f>
        <v/>
      </c>
      <c r="K11" s="63" t="s">
        <v>3103</v>
      </c>
      <c r="L11" s="23">
        <v>1000.0</v>
      </c>
      <c r="M11" s="22" t="s">
        <v>3097</v>
      </c>
      <c r="N11" s="22" t="s">
        <v>3099</v>
      </c>
      <c r="O11" s="22" t="s">
        <v>45</v>
      </c>
      <c r="P11" s="22" t="s">
        <v>45</v>
      </c>
      <c r="Q11" s="22" t="s">
        <v>45</v>
      </c>
      <c r="R11" s="22" t="s">
        <v>49</v>
      </c>
      <c r="S11" s="22" t="s">
        <v>45</v>
      </c>
      <c r="T11" s="22" t="s">
        <v>2002</v>
      </c>
      <c r="U11" s="22" t="s">
        <v>45</v>
      </c>
      <c r="V11" s="22" t="s">
        <v>45</v>
      </c>
      <c r="W11" s="22" t="s">
        <v>4765</v>
      </c>
      <c r="X11" s="22" t="s">
        <v>3095</v>
      </c>
      <c r="Y11" s="22" t="s">
        <v>3095</v>
      </c>
      <c r="Z11" s="22" t="s">
        <v>3095</v>
      </c>
      <c r="AA11" s="22" t="s">
        <v>3095</v>
      </c>
      <c r="AB11" s="22" t="s">
        <v>3095</v>
      </c>
      <c r="AC11" s="22" t="s">
        <v>3095</v>
      </c>
      <c r="AD11" s="22" t="s">
        <v>3095</v>
      </c>
      <c r="AE11" s="22" t="s">
        <v>3095</v>
      </c>
      <c r="AF11" s="22" t="s">
        <v>3095</v>
      </c>
    </row>
    <row r="12" ht="45.0" customHeight="1">
      <c r="A12" s="55" t="s">
        <v>98</v>
      </c>
      <c r="B12" s="62" t="s">
        <v>3115</v>
      </c>
      <c r="C12" s="22" t="str">
        <f>IMAGE("https://raw.githubusercontent.com/ltdimages/images/refs/heads/main/ClothTopsCoatLongAsymmetry_00.png")</f>
        <v/>
      </c>
      <c r="D12" s="22" t="s">
        <v>3095</v>
      </c>
      <c r="E12" s="22" t="s">
        <v>3095</v>
      </c>
      <c r="F12" s="22" t="s">
        <v>3095</v>
      </c>
      <c r="G12" s="22" t="s">
        <v>3095</v>
      </c>
      <c r="H12" s="22" t="s">
        <v>3095</v>
      </c>
      <c r="I12" s="22" t="s">
        <v>3095</v>
      </c>
      <c r="J12" s="22" t="s">
        <v>3095</v>
      </c>
      <c r="K12" s="63" t="s">
        <v>3103</v>
      </c>
      <c r="L12" s="23">
        <v>25.0</v>
      </c>
      <c r="M12" s="22" t="s">
        <v>3097</v>
      </c>
      <c r="N12" s="22" t="s">
        <v>3114</v>
      </c>
      <c r="O12" s="22" t="s">
        <v>45</v>
      </c>
      <c r="P12" s="22" t="s">
        <v>45</v>
      </c>
      <c r="Q12" s="22" t="s">
        <v>45</v>
      </c>
      <c r="R12" s="22" t="s">
        <v>45</v>
      </c>
      <c r="S12" s="22" t="s">
        <v>45</v>
      </c>
      <c r="T12" s="22" t="s">
        <v>2002</v>
      </c>
      <c r="U12" s="22" t="s">
        <v>45</v>
      </c>
      <c r="V12" s="22" t="s">
        <v>45</v>
      </c>
      <c r="W12" s="22" t="s">
        <v>4766</v>
      </c>
      <c r="X12" s="22" t="s">
        <v>3095</v>
      </c>
      <c r="Y12" s="22" t="s">
        <v>3095</v>
      </c>
      <c r="Z12" s="22" t="s">
        <v>3095</v>
      </c>
      <c r="AA12" s="22" t="s">
        <v>3095</v>
      </c>
      <c r="AB12" s="22" t="s">
        <v>3095</v>
      </c>
      <c r="AC12" s="22" t="s">
        <v>3095</v>
      </c>
      <c r="AD12" s="22" t="s">
        <v>3095</v>
      </c>
      <c r="AE12" s="22" t="s">
        <v>3095</v>
      </c>
      <c r="AF12" s="22" t="s">
        <v>3095</v>
      </c>
    </row>
    <row r="13" ht="45.0" customHeight="1">
      <c r="A13" s="55" t="s">
        <v>104</v>
      </c>
      <c r="B13" s="62" t="s">
        <v>3174</v>
      </c>
      <c r="C13" s="22" t="str">
        <f>IMAGE("https://raw.githubusercontent.com/ltdimages/images/refs/heads/main/ClothTopsYshirtLongB3_00.png")</f>
        <v/>
      </c>
      <c r="D13" s="22" t="str">
        <f>IMAGE("https://raw.githubusercontent.com/ltdimages/images/refs/heads/main/ClothTopsYshirtLongB3_01.png")</f>
        <v/>
      </c>
      <c r="E13" s="22" t="str">
        <f>IMAGE("https://raw.githubusercontent.com/ltdimages/images/refs/heads/main/ClothTopsYshirtLongB3_02.png")</f>
        <v/>
      </c>
      <c r="F13" s="22" t="s">
        <v>3095</v>
      </c>
      <c r="G13" s="22" t="s">
        <v>3095</v>
      </c>
      <c r="H13" s="22" t="s">
        <v>3095</v>
      </c>
      <c r="I13" s="22" t="s">
        <v>3095</v>
      </c>
      <c r="J13" s="22" t="s">
        <v>3095</v>
      </c>
      <c r="K13" s="63" t="s">
        <v>3103</v>
      </c>
      <c r="L13" s="23">
        <v>16.0</v>
      </c>
      <c r="M13" s="22" t="s">
        <v>3097</v>
      </c>
      <c r="N13" s="22" t="s">
        <v>3114</v>
      </c>
      <c r="O13" s="22" t="s">
        <v>45</v>
      </c>
      <c r="P13" s="22" t="s">
        <v>45</v>
      </c>
      <c r="Q13" s="22" t="s">
        <v>45</v>
      </c>
      <c r="R13" s="22" t="s">
        <v>45</v>
      </c>
      <c r="S13" s="22" t="s">
        <v>45</v>
      </c>
      <c r="T13" s="22" t="s">
        <v>2002</v>
      </c>
      <c r="U13" s="22" t="s">
        <v>45</v>
      </c>
      <c r="V13" s="22" t="s">
        <v>45</v>
      </c>
      <c r="W13" s="22" t="s">
        <v>4767</v>
      </c>
      <c r="X13" s="22" t="s">
        <v>3095</v>
      </c>
      <c r="Y13" s="22" t="s">
        <v>3095</v>
      </c>
      <c r="Z13" s="22" t="s">
        <v>3095</v>
      </c>
      <c r="AA13" s="22" t="s">
        <v>3095</v>
      </c>
      <c r="AB13" s="22" t="s">
        <v>3095</v>
      </c>
      <c r="AC13" s="22" t="s">
        <v>3095</v>
      </c>
      <c r="AD13" s="22" t="s">
        <v>3095</v>
      </c>
      <c r="AE13" s="22" t="s">
        <v>3095</v>
      </c>
      <c r="AF13" s="22" t="s">
        <v>3095</v>
      </c>
    </row>
    <row r="14" ht="45.0" customHeight="1">
      <c r="A14" s="55" t="s">
        <v>109</v>
      </c>
      <c r="B14" s="62" t="s">
        <v>4768</v>
      </c>
      <c r="C14" s="22" t="str">
        <f>IMAGE("https://raw.githubusercontent.com/ltdimages/images/refs/heads/main/ClothTopsCoatLongBorder_00.png")</f>
        <v/>
      </c>
      <c r="D14" s="22" t="str">
        <f>IMAGE("https://raw.githubusercontent.com/ltdimages/images/refs/heads/main/ClothTopsCoatLongBorder_01.png")</f>
        <v/>
      </c>
      <c r="E14" s="22" t="str">
        <f>IMAGE("https://raw.githubusercontent.com/ltdimages/images/refs/heads/main/ClothTopsCoatLongBorder_02.png")</f>
        <v/>
      </c>
      <c r="F14" s="22" t="str">
        <f>IMAGE("https://raw.githubusercontent.com/ltdimages/images/refs/heads/main/ClothTopsCoatLongBorder_03.png")</f>
        <v/>
      </c>
      <c r="G14" s="22" t="str">
        <f>IMAGE("https://raw.githubusercontent.com/ltdimages/images/refs/heads/main/ClothTopsCoatLongBorder_04.png")</f>
        <v/>
      </c>
      <c r="H14" s="22" t="str">
        <f>IMAGE("https://raw.githubusercontent.com/ltdimages/images/refs/heads/main/ClothTopsCoatLongBorder_05.png")</f>
        <v/>
      </c>
      <c r="I14" s="22" t="str">
        <f>IMAGE("https://raw.githubusercontent.com/ltdimages/images/refs/heads/main/ClothTopsCoatLongBorder_06.png")</f>
        <v/>
      </c>
      <c r="J14" s="22" t="str">
        <f>IMAGE("https://raw.githubusercontent.com/ltdimages/images/refs/heads/main/ClothTopsCoatLongBorder_07.png")</f>
        <v/>
      </c>
      <c r="K14" s="63" t="s">
        <v>3103</v>
      </c>
      <c r="L14" s="23">
        <v>11.8</v>
      </c>
      <c r="M14" s="22" t="s">
        <v>3097</v>
      </c>
      <c r="N14" s="22" t="s">
        <v>3099</v>
      </c>
      <c r="O14" s="22" t="s">
        <v>45</v>
      </c>
      <c r="P14" s="22" t="s">
        <v>45</v>
      </c>
      <c r="Q14" s="22" t="s">
        <v>45</v>
      </c>
      <c r="R14" s="22" t="s">
        <v>45</v>
      </c>
      <c r="S14" s="22" t="s">
        <v>45</v>
      </c>
      <c r="T14" s="22" t="s">
        <v>2002</v>
      </c>
      <c r="U14" s="22" t="s">
        <v>45</v>
      </c>
      <c r="V14" s="22" t="s">
        <v>45</v>
      </c>
      <c r="W14" s="22" t="s">
        <v>4769</v>
      </c>
      <c r="X14" s="22" t="s">
        <v>3095</v>
      </c>
      <c r="Y14" s="22" t="s">
        <v>3095</v>
      </c>
      <c r="Z14" s="22" t="s">
        <v>3095</v>
      </c>
      <c r="AA14" s="22" t="s">
        <v>3095</v>
      </c>
      <c r="AB14" s="22" t="s">
        <v>3095</v>
      </c>
      <c r="AC14" s="22" t="s">
        <v>3095</v>
      </c>
      <c r="AD14" s="22" t="s">
        <v>3095</v>
      </c>
      <c r="AE14" s="22" t="s">
        <v>3095</v>
      </c>
      <c r="AF14" s="22" t="s">
        <v>3095</v>
      </c>
    </row>
    <row r="15" ht="45.0" customHeight="1">
      <c r="A15" s="55" t="s">
        <v>115</v>
      </c>
      <c r="B15" s="62" t="s">
        <v>4770</v>
      </c>
      <c r="C15" s="22" t="str">
        <f>IMAGE("https://raw.githubusercontent.com/ltdimages/images/refs/heads/main/ClothTopsCoatLongSoutienCollar_00.png")</f>
        <v/>
      </c>
      <c r="D15" s="22" t="str">
        <f>IMAGE("https://raw.githubusercontent.com/ltdimages/images/refs/heads/main/ClothTopsCoatLongSoutienCollar_01.png")</f>
        <v/>
      </c>
      <c r="E15" s="22" t="str">
        <f>IMAGE("https://raw.githubusercontent.com/ltdimages/images/refs/heads/main/ClothTopsCoatLongSoutienCollar_02.png")</f>
        <v/>
      </c>
      <c r="F15" s="22" t="str">
        <f>IMAGE("https://raw.githubusercontent.com/ltdimages/images/refs/heads/main/ClothTopsCoatLongSoutienCollar_03.png")</f>
        <v/>
      </c>
      <c r="G15" s="22" t="str">
        <f>IMAGE("https://raw.githubusercontent.com/ltdimages/images/refs/heads/main/ClothTopsCoatLongSoutienCollar_04.png")</f>
        <v/>
      </c>
      <c r="H15" s="22" t="str">
        <f>IMAGE("https://raw.githubusercontent.com/ltdimages/images/refs/heads/main/ClothTopsCoatLongSoutienCollar_05.png")</f>
        <v/>
      </c>
      <c r="I15" s="22" t="s">
        <v>3095</v>
      </c>
      <c r="J15" s="22" t="s">
        <v>3095</v>
      </c>
      <c r="K15" s="63" t="s">
        <v>3103</v>
      </c>
      <c r="L15" s="23">
        <v>18.0</v>
      </c>
      <c r="M15" s="22" t="s">
        <v>3097</v>
      </c>
      <c r="N15" s="22" t="s">
        <v>3099</v>
      </c>
      <c r="O15" s="22" t="s">
        <v>45</v>
      </c>
      <c r="P15" s="22" t="s">
        <v>45</v>
      </c>
      <c r="Q15" s="22" t="s">
        <v>45</v>
      </c>
      <c r="R15" s="22" t="s">
        <v>45</v>
      </c>
      <c r="S15" s="22" t="s">
        <v>45</v>
      </c>
      <c r="T15" s="22" t="s">
        <v>2002</v>
      </c>
      <c r="U15" s="22" t="s">
        <v>45</v>
      </c>
      <c r="V15" s="22" t="s">
        <v>45</v>
      </c>
      <c r="W15" s="22" t="s">
        <v>4771</v>
      </c>
      <c r="X15" s="22" t="s">
        <v>3095</v>
      </c>
      <c r="Y15" s="22" t="s">
        <v>3095</v>
      </c>
      <c r="Z15" s="22" t="s">
        <v>3095</v>
      </c>
      <c r="AA15" s="22" t="s">
        <v>3095</v>
      </c>
      <c r="AB15" s="22" t="s">
        <v>3095</v>
      </c>
      <c r="AC15" s="22" t="s">
        <v>3095</v>
      </c>
      <c r="AD15" s="22" t="s">
        <v>3095</v>
      </c>
      <c r="AE15" s="22" t="s">
        <v>3095</v>
      </c>
      <c r="AF15" s="22" t="s">
        <v>3095</v>
      </c>
    </row>
    <row r="16" ht="45.0" customHeight="1">
      <c r="A16" s="55" t="s">
        <v>119</v>
      </c>
      <c r="B16" s="62" t="s">
        <v>4772</v>
      </c>
      <c r="C16" s="22" t="str">
        <f>IMAGE("https://raw.githubusercontent.com/ltdimages/images/refs/heads/main/ClothTopsTshirtHalfBaseball_00.png")</f>
        <v/>
      </c>
      <c r="D16" s="22" t="str">
        <f>IMAGE("https://raw.githubusercontent.com/ltdimages/images/refs/heads/main/ClothTopsTshirtHalfBaseball_01.png")</f>
        <v/>
      </c>
      <c r="E16" s="22" t="str">
        <f>IMAGE("https://raw.githubusercontent.com/ltdimages/images/refs/heads/main/ClothTopsTshirtHalfBaseball_02.png")</f>
        <v/>
      </c>
      <c r="F16" s="22" t="str">
        <f>IMAGE("https://raw.githubusercontent.com/ltdimages/images/refs/heads/main/ClothTopsTshirtHalfBaseball_03.png")</f>
        <v/>
      </c>
      <c r="G16" s="22" t="str">
        <f>IMAGE("https://raw.githubusercontent.com/ltdimages/images/refs/heads/main/ClothTopsTshirtHalfBaseball_04.png")</f>
        <v/>
      </c>
      <c r="H16" s="22" t="str">
        <f>IMAGE("https://raw.githubusercontent.com/ltdimages/images/refs/heads/main/ClothTopsTshirtHalfBaseball_05.png")</f>
        <v/>
      </c>
      <c r="I16" s="22" t="str">
        <f>IMAGE("https://raw.githubusercontent.com/ltdimages/images/refs/heads/main/ClothTopsTshirtHalfBaseball_06.png")</f>
        <v/>
      </c>
      <c r="J16" s="22" t="str">
        <f>IMAGE("https://raw.githubusercontent.com/ltdimages/images/refs/heads/main/ClothTopsTshirtHalfBaseball_07.png")</f>
        <v/>
      </c>
      <c r="K16" s="63" t="s">
        <v>3103</v>
      </c>
      <c r="L16" s="23">
        <v>16.0</v>
      </c>
      <c r="M16" s="22" t="s">
        <v>3097</v>
      </c>
      <c r="N16" s="22" t="s">
        <v>3099</v>
      </c>
      <c r="O16" s="22" t="s">
        <v>45</v>
      </c>
      <c r="P16" s="22" t="s">
        <v>45</v>
      </c>
      <c r="Q16" s="22" t="s">
        <v>45</v>
      </c>
      <c r="R16" s="22" t="s">
        <v>45</v>
      </c>
      <c r="S16" s="22" t="s">
        <v>45</v>
      </c>
      <c r="T16" s="22" t="s">
        <v>2002</v>
      </c>
      <c r="U16" s="22" t="s">
        <v>45</v>
      </c>
      <c r="V16" s="22" t="s">
        <v>45</v>
      </c>
      <c r="W16" s="22" t="s">
        <v>4773</v>
      </c>
      <c r="X16" s="22" t="s">
        <v>3095</v>
      </c>
      <c r="Y16" s="22" t="s">
        <v>3095</v>
      </c>
      <c r="Z16" s="22" t="s">
        <v>3095</v>
      </c>
      <c r="AA16" s="22" t="s">
        <v>3095</v>
      </c>
      <c r="AB16" s="22" t="s">
        <v>3095</v>
      </c>
      <c r="AC16" s="22" t="s">
        <v>3095</v>
      </c>
      <c r="AD16" s="22" t="s">
        <v>3095</v>
      </c>
      <c r="AE16" s="22" t="s">
        <v>3095</v>
      </c>
      <c r="AF16" s="22" t="s">
        <v>3095</v>
      </c>
    </row>
    <row r="17" ht="45.0" customHeight="1">
      <c r="A17" s="55" t="s">
        <v>124</v>
      </c>
      <c r="B17" s="62" t="s">
        <v>3205</v>
      </c>
      <c r="C17" s="22" t="str">
        <f>IMAGE("https://raw.githubusercontent.com/ltdimages/images/refs/heads/main/ClothTopsYshirtLongSimple_00.png")</f>
        <v/>
      </c>
      <c r="D17" s="22" t="str">
        <f>IMAGE("https://raw.githubusercontent.com/ltdimages/images/refs/heads/main/ClothTopsYshirtLongSimple_01.png")</f>
        <v/>
      </c>
      <c r="E17" s="22" t="str">
        <f>IMAGE("https://raw.githubusercontent.com/ltdimages/images/refs/heads/main/ClothTopsYshirtLongSimple_02.png")</f>
        <v/>
      </c>
      <c r="F17" s="22" t="str">
        <f>IMAGE("https://raw.githubusercontent.com/ltdimages/images/refs/heads/main/ClothTopsYshirtLongSimple_03.png")</f>
        <v/>
      </c>
      <c r="G17" s="22" t="str">
        <f>IMAGE("https://raw.githubusercontent.com/ltdimages/images/refs/heads/main/ClothTopsYshirtLongSimple_04.png")</f>
        <v/>
      </c>
      <c r="H17" s="22" t="str">
        <f>IMAGE("https://raw.githubusercontent.com/ltdimages/images/refs/heads/main/ClothTopsYshirtLongSimple_05.png")</f>
        <v/>
      </c>
      <c r="I17" s="22" t="s">
        <v>3095</v>
      </c>
      <c r="J17" s="22" t="s">
        <v>3095</v>
      </c>
      <c r="K17" s="63" t="s">
        <v>3103</v>
      </c>
      <c r="L17" s="23">
        <v>11.0</v>
      </c>
      <c r="M17" s="22" t="s">
        <v>3097</v>
      </c>
      <c r="N17" s="22" t="s">
        <v>3099</v>
      </c>
      <c r="O17" s="22" t="s">
        <v>45</v>
      </c>
      <c r="P17" s="22" t="s">
        <v>45</v>
      </c>
      <c r="Q17" s="22" t="s">
        <v>45</v>
      </c>
      <c r="R17" s="22" t="s">
        <v>45</v>
      </c>
      <c r="S17" s="22" t="s">
        <v>45</v>
      </c>
      <c r="T17" s="22" t="s">
        <v>2002</v>
      </c>
      <c r="U17" s="22" t="s">
        <v>45</v>
      </c>
      <c r="V17" s="22" t="s">
        <v>45</v>
      </c>
      <c r="W17" s="22" t="s">
        <v>4774</v>
      </c>
      <c r="X17" s="22" t="s">
        <v>3095</v>
      </c>
      <c r="Y17" s="22" t="s">
        <v>3095</v>
      </c>
      <c r="Z17" s="22" t="s">
        <v>3095</v>
      </c>
      <c r="AA17" s="22" t="s">
        <v>3095</v>
      </c>
      <c r="AB17" s="22" t="s">
        <v>3095</v>
      </c>
      <c r="AC17" s="22" t="s">
        <v>3095</v>
      </c>
      <c r="AD17" s="22" t="s">
        <v>3095</v>
      </c>
      <c r="AE17" s="22" t="s">
        <v>3095</v>
      </c>
      <c r="AF17" s="22" t="s">
        <v>3095</v>
      </c>
    </row>
    <row r="18" ht="45.0" customHeight="1">
      <c r="A18" s="55" t="s">
        <v>129</v>
      </c>
      <c r="B18" s="62" t="s">
        <v>4486</v>
      </c>
      <c r="C18" s="22" t="str">
        <f>IMAGE("https://raw.githubusercontent.com/ltdimages/images/refs/heads/main/ClothTopsTshirtLongSimple_00.png")</f>
        <v/>
      </c>
      <c r="D18" s="22" t="str">
        <f>IMAGE("https://raw.githubusercontent.com/ltdimages/images/refs/heads/main/ClothTopsTshirtLongSimple_01.png")</f>
        <v/>
      </c>
      <c r="E18" s="22" t="str">
        <f>IMAGE("https://raw.githubusercontent.com/ltdimages/images/refs/heads/main/ClothTopsTshirtLongSimple_02.png")</f>
        <v/>
      </c>
      <c r="F18" s="22" t="str">
        <f>IMAGE("https://raw.githubusercontent.com/ltdimages/images/refs/heads/main/ClothTopsTshirtLongSimple_03.png")</f>
        <v/>
      </c>
      <c r="G18" s="22" t="str">
        <f>IMAGE("https://raw.githubusercontent.com/ltdimages/images/refs/heads/main/ClothTopsTshirtLongSimple_04.png")</f>
        <v/>
      </c>
      <c r="H18" s="22" t="str">
        <f>IMAGE("https://raw.githubusercontent.com/ltdimages/images/refs/heads/main/ClothTopsTshirtLongSimple_05.png")</f>
        <v/>
      </c>
      <c r="I18" s="22" t="str">
        <f>IMAGE("https://raw.githubusercontent.com/ltdimages/images/refs/heads/main/ClothTopsTshirtLongSimple_06.png")</f>
        <v/>
      </c>
      <c r="J18" s="22" t="str">
        <f>IMAGE("https://raw.githubusercontent.com/ltdimages/images/refs/heads/main/ClothTopsTshirtLongSimple_07.png")</f>
        <v/>
      </c>
      <c r="K18" s="63" t="s">
        <v>3103</v>
      </c>
      <c r="L18" s="23">
        <v>11.0</v>
      </c>
      <c r="M18" s="22" t="s">
        <v>3097</v>
      </c>
      <c r="N18" s="22" t="s">
        <v>3099</v>
      </c>
      <c r="O18" s="22" t="s">
        <v>45</v>
      </c>
      <c r="P18" s="22" t="s">
        <v>45</v>
      </c>
      <c r="Q18" s="22" t="s">
        <v>45</v>
      </c>
      <c r="R18" s="22" t="s">
        <v>45</v>
      </c>
      <c r="S18" s="22" t="s">
        <v>45</v>
      </c>
      <c r="T18" s="22" t="s">
        <v>2002</v>
      </c>
      <c r="U18" s="22" t="s">
        <v>45</v>
      </c>
      <c r="V18" s="22" t="s">
        <v>45</v>
      </c>
      <c r="W18" s="22" t="s">
        <v>4775</v>
      </c>
      <c r="X18" s="22" t="s">
        <v>3095</v>
      </c>
      <c r="Y18" s="22" t="s">
        <v>3095</v>
      </c>
      <c r="Z18" s="22" t="s">
        <v>3095</v>
      </c>
      <c r="AA18" s="22" t="s">
        <v>3095</v>
      </c>
      <c r="AB18" s="22" t="s">
        <v>3095</v>
      </c>
      <c r="AC18" s="22" t="s">
        <v>3095</v>
      </c>
      <c r="AD18" s="22" t="s">
        <v>3095</v>
      </c>
      <c r="AE18" s="22" t="s">
        <v>3095</v>
      </c>
      <c r="AF18" s="22" t="s">
        <v>3095</v>
      </c>
    </row>
    <row r="19" ht="45.0" customHeight="1">
      <c r="A19" s="55" t="s">
        <v>134</v>
      </c>
      <c r="B19" s="62" t="s">
        <v>3210</v>
      </c>
      <c r="C19" s="22" t="str">
        <f>IMAGE("https://raw.githubusercontent.com/ltdimages/images/refs/heads/main/ClothTopsOuterLongParka_00.png")</f>
        <v/>
      </c>
      <c r="D19" s="22" t="str">
        <f>IMAGE("https://raw.githubusercontent.com/ltdimages/images/refs/heads/main/ClothTopsOuterLongParka_01.png")</f>
        <v/>
      </c>
      <c r="E19" s="22" t="str">
        <f>IMAGE("https://raw.githubusercontent.com/ltdimages/images/refs/heads/main/ClothTopsOuterLongParka_02.png")</f>
        <v/>
      </c>
      <c r="F19" s="22" t="str">
        <f>IMAGE("https://raw.githubusercontent.com/ltdimages/images/refs/heads/main/ClothTopsOuterLongParka_03.png")</f>
        <v/>
      </c>
      <c r="G19" s="22" t="str">
        <f>IMAGE("https://raw.githubusercontent.com/ltdimages/images/refs/heads/main/ClothTopsOuterLongParka_04.png")</f>
        <v/>
      </c>
      <c r="H19" s="22" t="str">
        <f>IMAGE("https://raw.githubusercontent.com/ltdimages/images/refs/heads/main/ClothTopsOuterLongParka_05.png")</f>
        <v/>
      </c>
      <c r="I19" s="22" t="str">
        <f>IMAGE("https://raw.githubusercontent.com/ltdimages/images/refs/heads/main/ClothTopsOuterLongParka_06.png")</f>
        <v/>
      </c>
      <c r="J19" s="22" t="str">
        <f>IMAGE("https://raw.githubusercontent.com/ltdimages/images/refs/heads/main/ClothTopsOuterLongParka_07.png")</f>
        <v/>
      </c>
      <c r="K19" s="63" t="s">
        <v>3103</v>
      </c>
      <c r="L19" s="23">
        <v>10.0</v>
      </c>
      <c r="M19" s="22" t="s">
        <v>3097</v>
      </c>
      <c r="N19" s="22" t="s">
        <v>3099</v>
      </c>
      <c r="O19" s="22" t="s">
        <v>45</v>
      </c>
      <c r="P19" s="22" t="s">
        <v>45</v>
      </c>
      <c r="Q19" s="22" t="s">
        <v>45</v>
      </c>
      <c r="R19" s="22" t="s">
        <v>45</v>
      </c>
      <c r="S19" s="22" t="s">
        <v>45</v>
      </c>
      <c r="T19" s="22" t="s">
        <v>2002</v>
      </c>
      <c r="U19" s="22" t="s">
        <v>45</v>
      </c>
      <c r="V19" s="22" t="s">
        <v>45</v>
      </c>
      <c r="W19" s="22" t="s">
        <v>4776</v>
      </c>
      <c r="X19" s="22" t="s">
        <v>3095</v>
      </c>
      <c r="Y19" s="22" t="s">
        <v>3095</v>
      </c>
      <c r="Z19" s="22" t="s">
        <v>3095</v>
      </c>
      <c r="AA19" s="22" t="s">
        <v>3095</v>
      </c>
      <c r="AB19" s="22" t="s">
        <v>3095</v>
      </c>
      <c r="AC19" s="22" t="s">
        <v>3095</v>
      </c>
      <c r="AD19" s="22" t="s">
        <v>3095</v>
      </c>
      <c r="AE19" s="22" t="s">
        <v>3095</v>
      </c>
      <c r="AF19" s="22" t="s">
        <v>3095</v>
      </c>
    </row>
    <row r="20" ht="45.0" customHeight="1">
      <c r="A20" s="55" t="s">
        <v>138</v>
      </c>
      <c r="B20" s="62" t="s">
        <v>3276</v>
      </c>
      <c r="C20" s="22" t="str">
        <f>IMAGE("https://raw.githubusercontent.com/ltdimages/images/refs/heads/main/ClothTopsYshirtHalfSimple_00.png")</f>
        <v/>
      </c>
      <c r="D20" s="22" t="str">
        <f>IMAGE("https://raw.githubusercontent.com/ltdimages/images/refs/heads/main/ClothTopsYshirtHalfSimple_01.png")</f>
        <v/>
      </c>
      <c r="E20" s="22" t="str">
        <f>IMAGE("https://raw.githubusercontent.com/ltdimages/images/refs/heads/main/ClothTopsYshirtHalfSimple_02.png")</f>
        <v/>
      </c>
      <c r="F20" s="22" t="str">
        <f>IMAGE("https://raw.githubusercontent.com/ltdimages/images/refs/heads/main/ClothTopsYshirtHalfSimple_03.png")</f>
        <v/>
      </c>
      <c r="G20" s="22" t="str">
        <f>IMAGE("https://raw.githubusercontent.com/ltdimages/images/refs/heads/main/ClothTopsYshirtHalfSimple_04.png")</f>
        <v/>
      </c>
      <c r="H20" s="22" t="str">
        <f>IMAGE("https://raw.githubusercontent.com/ltdimages/images/refs/heads/main/ClothTopsYshirtHalfSimple_05.png")</f>
        <v/>
      </c>
      <c r="I20" s="22" t="s">
        <v>3095</v>
      </c>
      <c r="J20" s="22" t="s">
        <v>3095</v>
      </c>
      <c r="K20" s="63" t="s">
        <v>3103</v>
      </c>
      <c r="L20" s="23">
        <v>10.5</v>
      </c>
      <c r="M20" s="22" t="s">
        <v>3097</v>
      </c>
      <c r="N20" s="22" t="s">
        <v>3099</v>
      </c>
      <c r="O20" s="22" t="s">
        <v>45</v>
      </c>
      <c r="P20" s="22" t="s">
        <v>45</v>
      </c>
      <c r="Q20" s="22" t="s">
        <v>45</v>
      </c>
      <c r="R20" s="22" t="s">
        <v>45</v>
      </c>
      <c r="S20" s="22" t="s">
        <v>45</v>
      </c>
      <c r="T20" s="22" t="s">
        <v>2002</v>
      </c>
      <c r="U20" s="22" t="s">
        <v>45</v>
      </c>
      <c r="V20" s="22" t="s">
        <v>45</v>
      </c>
      <c r="W20" s="22" t="s">
        <v>4777</v>
      </c>
      <c r="X20" s="22" t="s">
        <v>3095</v>
      </c>
      <c r="Y20" s="22" t="s">
        <v>3095</v>
      </c>
      <c r="Z20" s="22" t="s">
        <v>3095</v>
      </c>
      <c r="AA20" s="22" t="s">
        <v>3095</v>
      </c>
      <c r="AB20" s="22" t="s">
        <v>3095</v>
      </c>
      <c r="AC20" s="22" t="s">
        <v>3095</v>
      </c>
      <c r="AD20" s="22" t="s">
        <v>3095</v>
      </c>
      <c r="AE20" s="22" t="s">
        <v>3095</v>
      </c>
      <c r="AF20" s="22" t="s">
        <v>3095</v>
      </c>
    </row>
    <row r="21" ht="45.0" customHeight="1">
      <c r="A21" s="55" t="s">
        <v>142</v>
      </c>
      <c r="B21" s="62" t="s">
        <v>3215</v>
      </c>
      <c r="C21" s="22" t="str">
        <f>IMAGE("https://raw.githubusercontent.com/ltdimages/images/refs/heads/main/ClothTopsOuterLongSimpleSweater_00.png")</f>
        <v/>
      </c>
      <c r="D21" s="22" t="str">
        <f>IMAGE("https://raw.githubusercontent.com/ltdimages/images/refs/heads/main/ClothTopsOuterLongSimpleSweater_01.png")</f>
        <v/>
      </c>
      <c r="E21" s="22" t="str">
        <f>IMAGE("https://raw.githubusercontent.com/ltdimages/images/refs/heads/main/ClothTopsOuterLongSimpleSweater_02.png")</f>
        <v/>
      </c>
      <c r="F21" s="22" t="str">
        <f>IMAGE("https://raw.githubusercontent.com/ltdimages/images/refs/heads/main/ClothTopsOuterLongSimpleSweater_03.png")</f>
        <v/>
      </c>
      <c r="G21" s="22" t="str">
        <f>IMAGE("https://raw.githubusercontent.com/ltdimages/images/refs/heads/main/ClothTopsOuterLongSimpleSweater_04.png")</f>
        <v/>
      </c>
      <c r="H21" s="22" t="str">
        <f>IMAGE("https://raw.githubusercontent.com/ltdimages/images/refs/heads/main/ClothTopsOuterLongSimpleSweater_05.png")</f>
        <v/>
      </c>
      <c r="I21" s="22" t="str">
        <f>IMAGE("https://raw.githubusercontent.com/ltdimages/images/refs/heads/main/ClothTopsOuterLongSimpleSweater_06.png")</f>
        <v/>
      </c>
      <c r="J21" s="22" t="str">
        <f>IMAGE("https://raw.githubusercontent.com/ltdimages/images/refs/heads/main/ClothTopsOuterLongSimpleSweater_07.png")</f>
        <v/>
      </c>
      <c r="K21" s="63" t="s">
        <v>3103</v>
      </c>
      <c r="L21" s="23">
        <v>10.0</v>
      </c>
      <c r="M21" s="22" t="s">
        <v>3097</v>
      </c>
      <c r="N21" s="22" t="s">
        <v>3099</v>
      </c>
      <c r="O21" s="22" t="s">
        <v>45</v>
      </c>
      <c r="P21" s="22" t="s">
        <v>45</v>
      </c>
      <c r="Q21" s="22" t="s">
        <v>45</v>
      </c>
      <c r="R21" s="22" t="s">
        <v>45</v>
      </c>
      <c r="S21" s="22" t="s">
        <v>45</v>
      </c>
      <c r="T21" s="22" t="s">
        <v>2002</v>
      </c>
      <c r="U21" s="22" t="s">
        <v>45</v>
      </c>
      <c r="V21" s="22" t="s">
        <v>45</v>
      </c>
      <c r="W21" s="22" t="s">
        <v>4778</v>
      </c>
      <c r="X21" s="22" t="s">
        <v>3095</v>
      </c>
      <c r="Y21" s="22" t="s">
        <v>3095</v>
      </c>
      <c r="Z21" s="22" t="s">
        <v>3095</v>
      </c>
      <c r="AA21" s="22" t="s">
        <v>3095</v>
      </c>
      <c r="AB21" s="22" t="s">
        <v>3095</v>
      </c>
      <c r="AC21" s="22" t="s">
        <v>3095</v>
      </c>
      <c r="AD21" s="22" t="s">
        <v>3095</v>
      </c>
      <c r="AE21" s="22" t="s">
        <v>3095</v>
      </c>
      <c r="AF21" s="22" t="s">
        <v>3095</v>
      </c>
    </row>
    <row r="22" ht="45.0" customHeight="1">
      <c r="A22" s="55" t="s">
        <v>147</v>
      </c>
      <c r="B22" s="62" t="s">
        <v>3221</v>
      </c>
      <c r="C22" s="22" t="str">
        <f>IMAGE("https://raw.githubusercontent.com/ltdimages/images/refs/heads/main/ClothTopsTshirtHalfSimple_00.png")</f>
        <v/>
      </c>
      <c r="D22" s="22" t="str">
        <f>IMAGE("https://raw.githubusercontent.com/ltdimages/images/refs/heads/main/ClothTopsTshirtHalfSimple_01.png")</f>
        <v/>
      </c>
      <c r="E22" s="22" t="str">
        <f>IMAGE("https://raw.githubusercontent.com/ltdimages/images/refs/heads/main/ClothTopsTshirtHalfSimple_02.png")</f>
        <v/>
      </c>
      <c r="F22" s="22" t="str">
        <f>IMAGE("https://raw.githubusercontent.com/ltdimages/images/refs/heads/main/ClothTopsTshirtHalfSimple_03.png")</f>
        <v/>
      </c>
      <c r="G22" s="22" t="str">
        <f>IMAGE("https://raw.githubusercontent.com/ltdimages/images/refs/heads/main/ClothTopsTshirtHalfSimple_04.png")</f>
        <v/>
      </c>
      <c r="H22" s="22" t="str">
        <f>IMAGE("https://raw.githubusercontent.com/ltdimages/images/refs/heads/main/ClothTopsTshirtHalfSimple_05.png")</f>
        <v/>
      </c>
      <c r="I22" s="22" t="str">
        <f>IMAGE("https://raw.githubusercontent.com/ltdimages/images/refs/heads/main/ClothTopsTshirtHalfSimple_06.png")</f>
        <v/>
      </c>
      <c r="J22" s="22" t="str">
        <f>IMAGE("https://raw.githubusercontent.com/ltdimages/images/refs/heads/main/ClothTopsTshirtHalfSimple_07.png")</f>
        <v/>
      </c>
      <c r="K22" s="63" t="s">
        <v>3103</v>
      </c>
      <c r="L22" s="23">
        <v>10.0</v>
      </c>
      <c r="M22" s="22" t="s">
        <v>3097</v>
      </c>
      <c r="N22" s="22" t="s">
        <v>3099</v>
      </c>
      <c r="O22" s="22" t="s">
        <v>45</v>
      </c>
      <c r="P22" s="22" t="s">
        <v>45</v>
      </c>
      <c r="Q22" s="22" t="s">
        <v>45</v>
      </c>
      <c r="R22" s="22" t="s">
        <v>45</v>
      </c>
      <c r="S22" s="22" t="s">
        <v>45</v>
      </c>
      <c r="T22" s="22" t="s">
        <v>2002</v>
      </c>
      <c r="U22" s="22" t="s">
        <v>45</v>
      </c>
      <c r="V22" s="22" t="s">
        <v>45</v>
      </c>
      <c r="W22" s="22" t="s">
        <v>4779</v>
      </c>
      <c r="X22" s="22" t="s">
        <v>3095</v>
      </c>
      <c r="Y22" s="22" t="s">
        <v>3095</v>
      </c>
      <c r="Z22" s="22" t="s">
        <v>3095</v>
      </c>
      <c r="AA22" s="22" t="s">
        <v>3095</v>
      </c>
      <c r="AB22" s="22" t="s">
        <v>3095</v>
      </c>
      <c r="AC22" s="22" t="s">
        <v>3095</v>
      </c>
      <c r="AD22" s="22" t="s">
        <v>3095</v>
      </c>
      <c r="AE22" s="22" t="s">
        <v>3095</v>
      </c>
      <c r="AF22" s="22" t="s">
        <v>3095</v>
      </c>
    </row>
    <row r="23" ht="45.0" customHeight="1">
      <c r="A23" s="55" t="s">
        <v>152</v>
      </c>
      <c r="B23" s="62" t="s">
        <v>3226</v>
      </c>
      <c r="C23" s="22" t="str">
        <f>IMAGE("https://raw.githubusercontent.com/ltdimages/images/refs/heads/main/ClothTopsYshirtLongHighNeck_00.png")</f>
        <v/>
      </c>
      <c r="D23" s="22" t="str">
        <f>IMAGE("https://raw.githubusercontent.com/ltdimages/images/refs/heads/main/ClothTopsYshirtLongHighNeck_01.png")</f>
        <v/>
      </c>
      <c r="E23" s="22" t="str">
        <f>IMAGE("https://raw.githubusercontent.com/ltdimages/images/refs/heads/main/ClothTopsYshirtLongHighNeck_02.png")</f>
        <v/>
      </c>
      <c r="F23" s="22" t="str">
        <f>IMAGE("https://raw.githubusercontent.com/ltdimages/images/refs/heads/main/ClothTopsYshirtLongHighNeck_03.png")</f>
        <v/>
      </c>
      <c r="G23" s="22" t="str">
        <f>IMAGE("https://raw.githubusercontent.com/ltdimages/images/refs/heads/main/ClothTopsYshirtLongHighNeck_04.png")</f>
        <v/>
      </c>
      <c r="H23" s="22" t="str">
        <f>IMAGE("https://raw.githubusercontent.com/ltdimages/images/refs/heads/main/ClothTopsYshirtLongHighNeck_05.png")</f>
        <v/>
      </c>
      <c r="I23" s="22" t="str">
        <f>IMAGE("https://raw.githubusercontent.com/ltdimages/images/refs/heads/main/ClothTopsYshirtLongHighNeck_06.png")</f>
        <v/>
      </c>
      <c r="J23" s="22" t="str">
        <f>IMAGE("https://raw.githubusercontent.com/ltdimages/images/refs/heads/main/ClothTopsYshirtLongHighNeck_07.png")</f>
        <v/>
      </c>
      <c r="K23" s="63" t="s">
        <v>3103</v>
      </c>
      <c r="L23" s="23">
        <v>11.0</v>
      </c>
      <c r="M23" s="22" t="s">
        <v>3097</v>
      </c>
      <c r="N23" s="22" t="s">
        <v>3099</v>
      </c>
      <c r="O23" s="22" t="s">
        <v>45</v>
      </c>
      <c r="P23" s="22" t="s">
        <v>45</v>
      </c>
      <c r="Q23" s="22" t="s">
        <v>45</v>
      </c>
      <c r="R23" s="22" t="s">
        <v>45</v>
      </c>
      <c r="S23" s="22" t="s">
        <v>45</v>
      </c>
      <c r="T23" s="22" t="s">
        <v>2002</v>
      </c>
      <c r="U23" s="22" t="s">
        <v>45</v>
      </c>
      <c r="V23" s="22" t="s">
        <v>45</v>
      </c>
      <c r="W23" s="22" t="s">
        <v>4780</v>
      </c>
      <c r="X23" s="22" t="s">
        <v>3095</v>
      </c>
      <c r="Y23" s="22" t="s">
        <v>3095</v>
      </c>
      <c r="Z23" s="22" t="s">
        <v>3095</v>
      </c>
      <c r="AA23" s="22" t="s">
        <v>3095</v>
      </c>
      <c r="AB23" s="22" t="s">
        <v>3095</v>
      </c>
      <c r="AC23" s="22" t="s">
        <v>3095</v>
      </c>
      <c r="AD23" s="22" t="s">
        <v>3095</v>
      </c>
      <c r="AE23" s="22" t="s">
        <v>3095</v>
      </c>
      <c r="AF23" s="22" t="s">
        <v>3095</v>
      </c>
    </row>
    <row r="24" ht="45.0" customHeight="1">
      <c r="A24" s="55" t="s">
        <v>156</v>
      </c>
      <c r="B24" s="62" t="s">
        <v>4781</v>
      </c>
      <c r="C24" s="22" t="str">
        <f>IMAGE("https://raw.githubusercontent.com/ltdimages/images/refs/heads/main/ClothTopsYshirtLongSimpleVest_00.png")</f>
        <v/>
      </c>
      <c r="D24" s="22" t="str">
        <f>IMAGE("https://raw.githubusercontent.com/ltdimages/images/refs/heads/main/ClothTopsYshirtLongSimpleVest_01.png")</f>
        <v/>
      </c>
      <c r="E24" s="22" t="str">
        <f>IMAGE("https://raw.githubusercontent.com/ltdimages/images/refs/heads/main/ClothTopsYshirtLongSimpleVest_02.png")</f>
        <v/>
      </c>
      <c r="F24" s="22" t="str">
        <f>IMAGE("https://raw.githubusercontent.com/ltdimages/images/refs/heads/main/ClothTopsYshirtLongSimpleVest_03.png")</f>
        <v/>
      </c>
      <c r="G24" s="22" t="str">
        <f>IMAGE("https://raw.githubusercontent.com/ltdimages/images/refs/heads/main/ClothTopsYshirtLongSimpleVest_04.png")</f>
        <v/>
      </c>
      <c r="H24" s="22" t="str">
        <f>IMAGE("https://raw.githubusercontent.com/ltdimages/images/refs/heads/main/ClothTopsYshirtLongSimpleVest_05.png")</f>
        <v/>
      </c>
      <c r="I24" s="22" t="str">
        <f>IMAGE("https://raw.githubusercontent.com/ltdimages/images/refs/heads/main/ClothTopsYshirtLongSimpleVest_06.png")</f>
        <v/>
      </c>
      <c r="J24" s="22" t="str">
        <f>IMAGE("https://raw.githubusercontent.com/ltdimages/images/refs/heads/main/ClothTopsYshirtLongSimpleVest_07.png")</f>
        <v/>
      </c>
      <c r="K24" s="63" t="s">
        <v>3103</v>
      </c>
      <c r="L24" s="23">
        <v>12.0</v>
      </c>
      <c r="M24" s="22" t="s">
        <v>3097</v>
      </c>
      <c r="N24" s="22" t="s">
        <v>3099</v>
      </c>
      <c r="O24" s="22" t="s">
        <v>45</v>
      </c>
      <c r="P24" s="22" t="s">
        <v>45</v>
      </c>
      <c r="Q24" s="22" t="s">
        <v>45</v>
      </c>
      <c r="R24" s="22" t="s">
        <v>45</v>
      </c>
      <c r="S24" s="22" t="s">
        <v>45</v>
      </c>
      <c r="T24" s="22" t="s">
        <v>2002</v>
      </c>
      <c r="U24" s="22" t="s">
        <v>45</v>
      </c>
      <c r="V24" s="22" t="s">
        <v>45</v>
      </c>
      <c r="W24" s="22" t="s">
        <v>4782</v>
      </c>
      <c r="X24" s="22" t="s">
        <v>3095</v>
      </c>
      <c r="Y24" s="22" t="s">
        <v>3095</v>
      </c>
      <c r="Z24" s="22" t="s">
        <v>3095</v>
      </c>
      <c r="AA24" s="22" t="s">
        <v>3095</v>
      </c>
      <c r="AB24" s="22" t="s">
        <v>3095</v>
      </c>
      <c r="AC24" s="22" t="s">
        <v>3095</v>
      </c>
      <c r="AD24" s="22" t="s">
        <v>3095</v>
      </c>
      <c r="AE24" s="22" t="s">
        <v>3095</v>
      </c>
      <c r="AF24" s="22" t="s">
        <v>3095</v>
      </c>
    </row>
    <row r="25" ht="45.0" customHeight="1">
      <c r="A25" s="55" t="s">
        <v>161</v>
      </c>
      <c r="B25" s="62" t="s">
        <v>3230</v>
      </c>
      <c r="C25" s="22" t="str">
        <f>IMAGE("https://raw.githubusercontent.com/ltdimages/images/refs/heads/main/ClothTopsTshirtSleevelessBasketball_00.png")</f>
        <v/>
      </c>
      <c r="D25" s="22" t="str">
        <f>IMAGE("https://raw.githubusercontent.com/ltdimages/images/refs/heads/main/ClothTopsTshirtSleevelessBasketball_01.png")</f>
        <v/>
      </c>
      <c r="E25" s="22" t="str">
        <f>IMAGE("https://raw.githubusercontent.com/ltdimages/images/refs/heads/main/ClothTopsTshirtSleevelessBasketball_02.png")</f>
        <v/>
      </c>
      <c r="F25" s="22" t="str">
        <f>IMAGE("https://raw.githubusercontent.com/ltdimages/images/refs/heads/main/ClothTopsTshirtSleevelessBasketball_03.png")</f>
        <v/>
      </c>
      <c r="G25" s="22" t="str">
        <f>IMAGE("https://raw.githubusercontent.com/ltdimages/images/refs/heads/main/ClothTopsTshirtSleevelessBasketball_04.png")</f>
        <v/>
      </c>
      <c r="H25" s="22" t="str">
        <f>IMAGE("https://raw.githubusercontent.com/ltdimages/images/refs/heads/main/ClothTopsTshirtSleevelessBasketball_05.png")</f>
        <v/>
      </c>
      <c r="I25" s="22" t="str">
        <f>IMAGE("https://raw.githubusercontent.com/ltdimages/images/refs/heads/main/ClothTopsTshirtSleevelessBasketball_06.png")</f>
        <v/>
      </c>
      <c r="J25" s="22" t="str">
        <f>IMAGE("https://raw.githubusercontent.com/ltdimages/images/refs/heads/main/ClothTopsTshirtSleevelessBasketball_07.png")</f>
        <v/>
      </c>
      <c r="K25" s="63" t="s">
        <v>3103</v>
      </c>
      <c r="L25" s="23">
        <v>15.0</v>
      </c>
      <c r="M25" s="22" t="s">
        <v>3097</v>
      </c>
      <c r="N25" s="22" t="s">
        <v>3099</v>
      </c>
      <c r="O25" s="22" t="s">
        <v>45</v>
      </c>
      <c r="P25" s="22" t="s">
        <v>45</v>
      </c>
      <c r="Q25" s="22" t="s">
        <v>45</v>
      </c>
      <c r="R25" s="22" t="s">
        <v>45</v>
      </c>
      <c r="S25" s="22" t="s">
        <v>45</v>
      </c>
      <c r="T25" s="22" t="s">
        <v>2002</v>
      </c>
      <c r="U25" s="22" t="s">
        <v>45</v>
      </c>
      <c r="V25" s="22" t="s">
        <v>45</v>
      </c>
      <c r="W25" s="22" t="s">
        <v>4783</v>
      </c>
      <c r="X25" s="22" t="s">
        <v>3095</v>
      </c>
      <c r="Y25" s="22" t="s">
        <v>3095</v>
      </c>
      <c r="Z25" s="22" t="s">
        <v>3095</v>
      </c>
      <c r="AA25" s="22" t="s">
        <v>3095</v>
      </c>
      <c r="AB25" s="22" t="s">
        <v>3095</v>
      </c>
      <c r="AC25" s="22" t="s">
        <v>3095</v>
      </c>
      <c r="AD25" s="22" t="s">
        <v>3095</v>
      </c>
      <c r="AE25" s="22" t="s">
        <v>3095</v>
      </c>
      <c r="AF25" s="22" t="s">
        <v>3095</v>
      </c>
    </row>
    <row r="26" ht="45.0" customHeight="1">
      <c r="A26" s="55" t="s">
        <v>165</v>
      </c>
      <c r="B26" s="62" t="s">
        <v>3294</v>
      </c>
      <c r="C26" s="22" t="str">
        <f>IMAGE("https://raw.githubusercontent.com/ltdimages/images/refs/heads/main/ClothTopsTshirtHalfBigNumber_00.png")</f>
        <v/>
      </c>
      <c r="D26" s="22" t="str">
        <f>IMAGE("https://raw.githubusercontent.com/ltdimages/images/refs/heads/main/ClothTopsTshirtHalfBigNumber_01.png")</f>
        <v/>
      </c>
      <c r="E26" s="22" t="str">
        <f>IMAGE("https://raw.githubusercontent.com/ltdimages/images/refs/heads/main/ClothTopsTshirtHalfBigNumber_02.png")</f>
        <v/>
      </c>
      <c r="F26" s="22" t="str">
        <f>IMAGE("https://raw.githubusercontent.com/ltdimages/images/refs/heads/main/ClothTopsTshirtHalfBigNumber_03.png")</f>
        <v/>
      </c>
      <c r="G26" s="22" t="str">
        <f>IMAGE("https://raw.githubusercontent.com/ltdimages/images/refs/heads/main/ClothTopsTshirtHalfBigNumber_04.png")</f>
        <v/>
      </c>
      <c r="H26" s="22" t="str">
        <f>IMAGE("https://raw.githubusercontent.com/ltdimages/images/refs/heads/main/ClothTopsTshirtHalfBigNumber_05.png")</f>
        <v/>
      </c>
      <c r="I26" s="22" t="str">
        <f>IMAGE("https://raw.githubusercontent.com/ltdimages/images/refs/heads/main/ClothTopsTshirtHalfBigNumber_06.png")</f>
        <v/>
      </c>
      <c r="J26" s="22" t="str">
        <f>IMAGE("https://raw.githubusercontent.com/ltdimages/images/refs/heads/main/ClothTopsTshirtHalfBigNumber_07.png")</f>
        <v/>
      </c>
      <c r="K26" s="63" t="s">
        <v>3103</v>
      </c>
      <c r="L26" s="23">
        <v>11.5</v>
      </c>
      <c r="M26" s="22" t="s">
        <v>3097</v>
      </c>
      <c r="N26" s="22" t="s">
        <v>3099</v>
      </c>
      <c r="O26" s="22" t="s">
        <v>45</v>
      </c>
      <c r="P26" s="22" t="s">
        <v>45</v>
      </c>
      <c r="Q26" s="22" t="s">
        <v>45</v>
      </c>
      <c r="R26" s="22" t="s">
        <v>45</v>
      </c>
      <c r="S26" s="22" t="s">
        <v>45</v>
      </c>
      <c r="T26" s="22" t="s">
        <v>2002</v>
      </c>
      <c r="U26" s="22" t="s">
        <v>45</v>
      </c>
      <c r="V26" s="22" t="s">
        <v>45</v>
      </c>
      <c r="W26" s="22" t="s">
        <v>4784</v>
      </c>
      <c r="X26" s="22" t="s">
        <v>3095</v>
      </c>
      <c r="Y26" s="22" t="s">
        <v>3095</v>
      </c>
      <c r="Z26" s="22" t="s">
        <v>3095</v>
      </c>
      <c r="AA26" s="22" t="s">
        <v>3095</v>
      </c>
      <c r="AB26" s="22" t="s">
        <v>3095</v>
      </c>
      <c r="AC26" s="22" t="s">
        <v>3095</v>
      </c>
      <c r="AD26" s="22" t="s">
        <v>3095</v>
      </c>
      <c r="AE26" s="22" t="s">
        <v>3095</v>
      </c>
      <c r="AF26" s="22" t="s">
        <v>3095</v>
      </c>
    </row>
    <row r="27" ht="45.0" customHeight="1">
      <c r="A27" s="55" t="s">
        <v>170</v>
      </c>
      <c r="B27" s="62" t="s">
        <v>3253</v>
      </c>
      <c r="C27" s="22" t="str">
        <f>IMAGE("https://raw.githubusercontent.com/ltdimages/images/refs/heads/main/ClothTopsTshirtLongRiders_00.png")</f>
        <v/>
      </c>
      <c r="D27" s="22" t="str">
        <f>IMAGE("https://raw.githubusercontent.com/ltdimages/images/refs/heads/main/ClothTopsTshirtLongRiders_01.png")</f>
        <v/>
      </c>
      <c r="E27" s="22" t="str">
        <f>IMAGE("https://raw.githubusercontent.com/ltdimages/images/refs/heads/main/ClothTopsTshirtLongRiders_02.png")</f>
        <v/>
      </c>
      <c r="F27" s="22" t="str">
        <f>IMAGE("https://raw.githubusercontent.com/ltdimages/images/refs/heads/main/ClothTopsTshirtLongRiders_03.png")</f>
        <v/>
      </c>
      <c r="G27" s="22" t="str">
        <f>IMAGE("https://raw.githubusercontent.com/ltdimages/images/refs/heads/main/ClothTopsTshirtLongRiders_04.png")</f>
        <v/>
      </c>
      <c r="H27" s="22" t="str">
        <f>IMAGE("https://raw.githubusercontent.com/ltdimages/images/refs/heads/main/ClothTopsTshirtLongRiders_05.png")</f>
        <v/>
      </c>
      <c r="I27" s="22" t="s">
        <v>3095</v>
      </c>
      <c r="J27" s="22" t="s">
        <v>3095</v>
      </c>
      <c r="K27" s="63" t="s">
        <v>3103</v>
      </c>
      <c r="L27" s="23">
        <v>20.0</v>
      </c>
      <c r="M27" s="22" t="s">
        <v>3097</v>
      </c>
      <c r="N27" s="22" t="s">
        <v>3099</v>
      </c>
      <c r="O27" s="22" t="s">
        <v>45</v>
      </c>
      <c r="P27" s="22" t="s">
        <v>45</v>
      </c>
      <c r="Q27" s="22" t="s">
        <v>45</v>
      </c>
      <c r="R27" s="22" t="s">
        <v>45</v>
      </c>
      <c r="S27" s="22" t="s">
        <v>45</v>
      </c>
      <c r="T27" s="22" t="s">
        <v>2002</v>
      </c>
      <c r="U27" s="22" t="s">
        <v>45</v>
      </c>
      <c r="V27" s="22" t="s">
        <v>45</v>
      </c>
      <c r="W27" s="22" t="s">
        <v>4785</v>
      </c>
      <c r="X27" s="22" t="s">
        <v>3095</v>
      </c>
      <c r="Y27" s="22" t="s">
        <v>3095</v>
      </c>
      <c r="Z27" s="22" t="s">
        <v>3095</v>
      </c>
      <c r="AA27" s="22" t="s">
        <v>3095</v>
      </c>
      <c r="AB27" s="22" t="s">
        <v>3095</v>
      </c>
      <c r="AC27" s="22" t="s">
        <v>3095</v>
      </c>
      <c r="AD27" s="22" t="s">
        <v>3095</v>
      </c>
      <c r="AE27" s="22" t="s">
        <v>3095</v>
      </c>
      <c r="AF27" s="22" t="s">
        <v>3095</v>
      </c>
    </row>
    <row r="28" ht="45.0" customHeight="1">
      <c r="A28" s="55" t="s">
        <v>175</v>
      </c>
      <c r="B28" s="62" t="s">
        <v>3263</v>
      </c>
      <c r="C28" s="22" t="str">
        <f>IMAGE("https://raw.githubusercontent.com/ltdimages/images/refs/heads/main/ClothTopsYshirtLongBlazerTie_00.png")</f>
        <v/>
      </c>
      <c r="D28" s="22" t="str">
        <f>IMAGE("https://raw.githubusercontent.com/ltdimages/images/refs/heads/main/ClothTopsYshirtLongBlazerTie_01.png")</f>
        <v/>
      </c>
      <c r="E28" s="22" t="str">
        <f>IMAGE("https://raw.githubusercontent.com/ltdimages/images/refs/heads/main/ClothTopsYshirtLongBlazerTie_02.png")</f>
        <v/>
      </c>
      <c r="F28" s="22" t="str">
        <f>IMAGE("https://raw.githubusercontent.com/ltdimages/images/refs/heads/main/ClothTopsYshirtLongBlazerTie_03.png")</f>
        <v/>
      </c>
      <c r="G28" s="22" t="str">
        <f>IMAGE("https://raw.githubusercontent.com/ltdimages/images/refs/heads/main/ClothTopsYshirtLongBlazerTie_04.png")</f>
        <v/>
      </c>
      <c r="H28" s="22" t="str">
        <f>IMAGE("https://raw.githubusercontent.com/ltdimages/images/refs/heads/main/ClothTopsYshirtLongBlazerTie_05.png")</f>
        <v/>
      </c>
      <c r="I28" s="22" t="s">
        <v>3095</v>
      </c>
      <c r="J28" s="22" t="s">
        <v>3095</v>
      </c>
      <c r="K28" s="63" t="s">
        <v>3103</v>
      </c>
      <c r="L28" s="23">
        <v>15.0</v>
      </c>
      <c r="M28" s="22" t="s">
        <v>3097</v>
      </c>
      <c r="N28" s="22" t="s">
        <v>3099</v>
      </c>
      <c r="O28" s="22" t="s">
        <v>45</v>
      </c>
      <c r="P28" s="22" t="s">
        <v>45</v>
      </c>
      <c r="Q28" s="22" t="s">
        <v>45</v>
      </c>
      <c r="R28" s="22" t="s">
        <v>45</v>
      </c>
      <c r="S28" s="22" t="s">
        <v>45</v>
      </c>
      <c r="T28" s="22" t="s">
        <v>2002</v>
      </c>
      <c r="U28" s="22" t="s">
        <v>45</v>
      </c>
      <c r="V28" s="22" t="s">
        <v>45</v>
      </c>
      <c r="W28" s="22" t="s">
        <v>4786</v>
      </c>
      <c r="X28" s="22" t="s">
        <v>3095</v>
      </c>
      <c r="Y28" s="22" t="s">
        <v>3095</v>
      </c>
      <c r="Z28" s="22" t="s">
        <v>3095</v>
      </c>
      <c r="AA28" s="22" t="s">
        <v>3095</v>
      </c>
      <c r="AB28" s="22" t="s">
        <v>3095</v>
      </c>
      <c r="AC28" s="22" t="s">
        <v>3095</v>
      </c>
      <c r="AD28" s="22" t="s">
        <v>3095</v>
      </c>
      <c r="AE28" s="22" t="s">
        <v>3095</v>
      </c>
      <c r="AF28" s="22" t="s">
        <v>3095</v>
      </c>
    </row>
    <row r="29" ht="45.0" customHeight="1">
      <c r="A29" s="55" t="s">
        <v>180</v>
      </c>
      <c r="B29" s="62" t="s">
        <v>4787</v>
      </c>
      <c r="C29" s="22" t="str">
        <f>IMAGE("https://raw.githubusercontent.com/ltdimages/images/refs/heads/main/ClothTopsYshirtLongBowtieBlouse_00.png")</f>
        <v/>
      </c>
      <c r="D29" s="22" t="str">
        <f>IMAGE("https://raw.githubusercontent.com/ltdimages/images/refs/heads/main/ClothTopsYshirtLongBowtieBlouse_01.png")</f>
        <v/>
      </c>
      <c r="E29" s="22" t="str">
        <f>IMAGE("https://raw.githubusercontent.com/ltdimages/images/refs/heads/main/ClothTopsYshirtLongBowtieBlouse_02.png")</f>
        <v/>
      </c>
      <c r="F29" s="22" t="str">
        <f>IMAGE("https://raw.githubusercontent.com/ltdimages/images/refs/heads/main/ClothTopsYshirtLongBowtieBlouse_03.png")</f>
        <v/>
      </c>
      <c r="G29" s="22" t="str">
        <f>IMAGE("https://raw.githubusercontent.com/ltdimages/images/refs/heads/main/ClothTopsYshirtLongBowtieBlouse_04.png")</f>
        <v/>
      </c>
      <c r="H29" s="22" t="str">
        <f>IMAGE("https://raw.githubusercontent.com/ltdimages/images/refs/heads/main/ClothTopsYshirtLongBowtieBlouse_05.png")</f>
        <v/>
      </c>
      <c r="I29" s="22" t="s">
        <v>3095</v>
      </c>
      <c r="J29" s="22" t="s">
        <v>3095</v>
      </c>
      <c r="K29" s="63" t="s">
        <v>3103</v>
      </c>
      <c r="L29" s="23">
        <v>13.0</v>
      </c>
      <c r="M29" s="22" t="s">
        <v>3097</v>
      </c>
      <c r="N29" s="22" t="s">
        <v>3099</v>
      </c>
      <c r="O29" s="22" t="s">
        <v>45</v>
      </c>
      <c r="P29" s="22" t="s">
        <v>45</v>
      </c>
      <c r="Q29" s="22" t="s">
        <v>45</v>
      </c>
      <c r="R29" s="22" t="s">
        <v>45</v>
      </c>
      <c r="S29" s="22" t="s">
        <v>45</v>
      </c>
      <c r="T29" s="22" t="s">
        <v>2002</v>
      </c>
      <c r="U29" s="22" t="s">
        <v>45</v>
      </c>
      <c r="V29" s="22" t="s">
        <v>45</v>
      </c>
      <c r="W29" s="22" t="s">
        <v>4788</v>
      </c>
      <c r="X29" s="22" t="s">
        <v>3095</v>
      </c>
      <c r="Y29" s="22" t="s">
        <v>3095</v>
      </c>
      <c r="Z29" s="22" t="s">
        <v>3095</v>
      </c>
      <c r="AA29" s="22" t="s">
        <v>3095</v>
      </c>
      <c r="AB29" s="22" t="s">
        <v>3095</v>
      </c>
      <c r="AC29" s="22" t="s">
        <v>3095</v>
      </c>
      <c r="AD29" s="22" t="s">
        <v>3095</v>
      </c>
      <c r="AE29" s="22" t="s">
        <v>3095</v>
      </c>
      <c r="AF29" s="22" t="s">
        <v>3095</v>
      </c>
    </row>
    <row r="30" ht="45.0" customHeight="1">
      <c r="A30" s="55" t="s">
        <v>185</v>
      </c>
      <c r="B30" s="62" t="s">
        <v>4198</v>
      </c>
      <c r="C30" s="22" t="str">
        <f>IMAGE("https://raw.githubusercontent.com/ltdimages/images/refs/heads/main/ClothTopsOuterLongBoaFleece_00.png")</f>
        <v/>
      </c>
      <c r="D30" s="22" t="str">
        <f>IMAGE("https://raw.githubusercontent.com/ltdimages/images/refs/heads/main/ClothTopsOuterLongBoaFleece_01.png")</f>
        <v/>
      </c>
      <c r="E30" s="22" t="str">
        <f>IMAGE("https://raw.githubusercontent.com/ltdimages/images/refs/heads/main/ClothTopsOuterLongBoaFleece_02.png")</f>
        <v/>
      </c>
      <c r="F30" s="22" t="str">
        <f>IMAGE("https://raw.githubusercontent.com/ltdimages/images/refs/heads/main/ClothTopsOuterLongBoaFleece_03.png")</f>
        <v/>
      </c>
      <c r="G30" s="22" t="str">
        <f>IMAGE("https://raw.githubusercontent.com/ltdimages/images/refs/heads/main/ClothTopsOuterLongBoaFleece_04.png")</f>
        <v/>
      </c>
      <c r="H30" s="22" t="str">
        <f>IMAGE("https://raw.githubusercontent.com/ltdimages/images/refs/heads/main/ClothTopsOuterLongBoaFleece_05.png")</f>
        <v/>
      </c>
      <c r="I30" s="22" t="str">
        <f>IMAGE("https://raw.githubusercontent.com/ltdimages/images/refs/heads/main/ClothTopsOuterLongBoaFleece_06.png")</f>
        <v/>
      </c>
      <c r="J30" s="22" t="str">
        <f>IMAGE("https://raw.githubusercontent.com/ltdimages/images/refs/heads/main/ClothTopsOuterLongBoaFleece_07.png")</f>
        <v/>
      </c>
      <c r="K30" s="63" t="s">
        <v>3103</v>
      </c>
      <c r="L30" s="23">
        <v>14.0</v>
      </c>
      <c r="M30" s="22" t="s">
        <v>3097</v>
      </c>
      <c r="N30" s="22" t="s">
        <v>3114</v>
      </c>
      <c r="O30" s="22" t="s">
        <v>45</v>
      </c>
      <c r="P30" s="22" t="s">
        <v>45</v>
      </c>
      <c r="Q30" s="22" t="s">
        <v>45</v>
      </c>
      <c r="R30" s="22" t="s">
        <v>45</v>
      </c>
      <c r="S30" s="22" t="s">
        <v>45</v>
      </c>
      <c r="T30" s="22" t="s">
        <v>2002</v>
      </c>
      <c r="U30" s="22" t="s">
        <v>45</v>
      </c>
      <c r="V30" s="22" t="s">
        <v>45</v>
      </c>
      <c r="W30" s="22" t="s">
        <v>4789</v>
      </c>
      <c r="X30" s="22" t="s">
        <v>3095</v>
      </c>
      <c r="Y30" s="22" t="s">
        <v>3095</v>
      </c>
      <c r="Z30" s="22" t="s">
        <v>3095</v>
      </c>
      <c r="AA30" s="22" t="s">
        <v>3095</v>
      </c>
      <c r="AB30" s="22" t="s">
        <v>3095</v>
      </c>
      <c r="AC30" s="22" t="s">
        <v>3095</v>
      </c>
      <c r="AD30" s="22" t="s">
        <v>3095</v>
      </c>
      <c r="AE30" s="22" t="s">
        <v>3095</v>
      </c>
      <c r="AF30" s="22" t="s">
        <v>3095</v>
      </c>
    </row>
    <row r="31" ht="45.0" customHeight="1">
      <c r="A31" s="55" t="s">
        <v>189</v>
      </c>
      <c r="B31" s="62" t="s">
        <v>3273</v>
      </c>
      <c r="C31" s="22" t="str">
        <f>IMAGE("https://raw.githubusercontent.com/ltdimages/images/refs/heads/main/ClothTopsOuterLongMA1_00.png")</f>
        <v/>
      </c>
      <c r="D31" s="22" t="str">
        <f>IMAGE("https://raw.githubusercontent.com/ltdimages/images/refs/heads/main/ClothTopsOuterLongMA1_01.png")</f>
        <v/>
      </c>
      <c r="E31" s="22" t="str">
        <f>IMAGE("https://raw.githubusercontent.com/ltdimages/images/refs/heads/main/ClothTopsOuterLongMA1_02.png")</f>
        <v/>
      </c>
      <c r="F31" s="22" t="s">
        <v>3095</v>
      </c>
      <c r="G31" s="22" t="s">
        <v>3095</v>
      </c>
      <c r="H31" s="22" t="s">
        <v>3095</v>
      </c>
      <c r="I31" s="22" t="s">
        <v>3095</v>
      </c>
      <c r="J31" s="22" t="s">
        <v>3095</v>
      </c>
      <c r="K31" s="63" t="s">
        <v>3103</v>
      </c>
      <c r="L31" s="23">
        <v>10.0</v>
      </c>
      <c r="M31" s="22" t="s">
        <v>3097</v>
      </c>
      <c r="N31" s="22" t="s">
        <v>3114</v>
      </c>
      <c r="O31" s="22" t="s">
        <v>45</v>
      </c>
      <c r="P31" s="22" t="s">
        <v>45</v>
      </c>
      <c r="Q31" s="22" t="s">
        <v>45</v>
      </c>
      <c r="R31" s="22" t="s">
        <v>45</v>
      </c>
      <c r="S31" s="22" t="s">
        <v>45</v>
      </c>
      <c r="T31" s="22" t="s">
        <v>2002</v>
      </c>
      <c r="U31" s="22" t="s">
        <v>45</v>
      </c>
      <c r="V31" s="22" t="s">
        <v>45</v>
      </c>
      <c r="W31" s="22" t="s">
        <v>4790</v>
      </c>
      <c r="X31" s="22" t="s">
        <v>3095</v>
      </c>
      <c r="Y31" s="22" t="s">
        <v>3095</v>
      </c>
      <c r="Z31" s="22" t="s">
        <v>3095</v>
      </c>
      <c r="AA31" s="22" t="s">
        <v>3095</v>
      </c>
      <c r="AB31" s="22" t="s">
        <v>3095</v>
      </c>
      <c r="AC31" s="22" t="s">
        <v>3095</v>
      </c>
      <c r="AD31" s="22" t="s">
        <v>3095</v>
      </c>
      <c r="AE31" s="22" t="s">
        <v>3095</v>
      </c>
      <c r="AF31" s="22" t="s">
        <v>3095</v>
      </c>
    </row>
    <row r="32" ht="45.0" customHeight="1">
      <c r="A32" s="55" t="s">
        <v>194</v>
      </c>
      <c r="B32" s="62" t="s">
        <v>4791</v>
      </c>
      <c r="C32" s="22" t="str">
        <f>IMAGE("https://raw.githubusercontent.com/ltdimages/images/refs/heads/main/ClothTopsTshirtHalfBoxLogo_00.png")</f>
        <v/>
      </c>
      <c r="D32" s="22" t="str">
        <f>IMAGE("https://raw.githubusercontent.com/ltdimages/images/refs/heads/main/ClothTopsTshirtHalfBoxLogo_01.png")</f>
        <v/>
      </c>
      <c r="E32" s="22" t="str">
        <f>IMAGE("https://raw.githubusercontent.com/ltdimages/images/refs/heads/main/ClothTopsTshirtHalfBoxLogo_02.png")</f>
        <v/>
      </c>
      <c r="F32" s="22" t="str">
        <f>IMAGE("https://raw.githubusercontent.com/ltdimages/images/refs/heads/main/ClothTopsTshirtHalfBoxLogo_03.png")</f>
        <v/>
      </c>
      <c r="G32" s="22" t="str">
        <f>IMAGE("https://raw.githubusercontent.com/ltdimages/images/refs/heads/main/ClothTopsTshirtHalfBoxLogo_04.png")</f>
        <v/>
      </c>
      <c r="H32" s="22" t="str">
        <f>IMAGE("https://raw.githubusercontent.com/ltdimages/images/refs/heads/main/ClothTopsTshirtHalfBoxLogo_05.png")</f>
        <v/>
      </c>
      <c r="I32" s="22" t="str">
        <f>IMAGE("https://raw.githubusercontent.com/ltdimages/images/refs/heads/main/ClothTopsTshirtHalfBoxLogo_06.png")</f>
        <v/>
      </c>
      <c r="J32" s="22" t="str">
        <f>IMAGE("https://raw.githubusercontent.com/ltdimages/images/refs/heads/main/ClothTopsTshirtHalfBoxLogo_07.png")</f>
        <v/>
      </c>
      <c r="K32" s="63" t="s">
        <v>3103</v>
      </c>
      <c r="L32" s="23">
        <v>15.0</v>
      </c>
      <c r="M32" s="22" t="s">
        <v>3097</v>
      </c>
      <c r="N32" s="22" t="s">
        <v>3099</v>
      </c>
      <c r="O32" s="22" t="s">
        <v>45</v>
      </c>
      <c r="P32" s="22" t="s">
        <v>45</v>
      </c>
      <c r="Q32" s="22" t="s">
        <v>45</v>
      </c>
      <c r="R32" s="22" t="s">
        <v>45</v>
      </c>
      <c r="S32" s="22" t="s">
        <v>45</v>
      </c>
      <c r="T32" s="22" t="s">
        <v>2002</v>
      </c>
      <c r="U32" s="22" t="s">
        <v>45</v>
      </c>
      <c r="V32" s="22" t="s">
        <v>45</v>
      </c>
      <c r="W32" s="22" t="s">
        <v>4792</v>
      </c>
      <c r="X32" s="22" t="s">
        <v>3095</v>
      </c>
      <c r="Y32" s="22" t="s">
        <v>3095</v>
      </c>
      <c r="Z32" s="22" t="s">
        <v>3095</v>
      </c>
      <c r="AA32" s="22" t="s">
        <v>3095</v>
      </c>
      <c r="AB32" s="22" t="s">
        <v>3095</v>
      </c>
      <c r="AC32" s="22" t="s">
        <v>3095</v>
      </c>
      <c r="AD32" s="22" t="s">
        <v>3095</v>
      </c>
      <c r="AE32" s="22" t="s">
        <v>3095</v>
      </c>
      <c r="AF32" s="22" t="s">
        <v>3095</v>
      </c>
    </row>
    <row r="33" ht="45.0" customHeight="1">
      <c r="A33" s="55" t="s">
        <v>198</v>
      </c>
      <c r="B33" s="62" t="s">
        <v>3281</v>
      </c>
      <c r="C33" s="22" t="str">
        <f>IMAGE("https://raw.githubusercontent.com/ltdimages/images/refs/heads/main/ClothTopsYshirtLongSuit_00.png")</f>
        <v/>
      </c>
      <c r="D33" s="22" t="str">
        <f>IMAGE("https://raw.githubusercontent.com/ltdimages/images/refs/heads/main/ClothTopsYshirtLongSuit_01.png")</f>
        <v/>
      </c>
      <c r="E33" s="22" t="str">
        <f>IMAGE("https://raw.githubusercontent.com/ltdimages/images/refs/heads/main/ClothTopsYshirtLongSuit_02.png")</f>
        <v/>
      </c>
      <c r="F33" s="22" t="str">
        <f>IMAGE("https://raw.githubusercontent.com/ltdimages/images/refs/heads/main/ClothTopsYshirtLongSuit_03.png")</f>
        <v/>
      </c>
      <c r="G33" s="22" t="str">
        <f>IMAGE("https://raw.githubusercontent.com/ltdimages/images/refs/heads/main/ClothTopsYshirtLongSuit_04.png")</f>
        <v/>
      </c>
      <c r="H33" s="22" t="s">
        <v>3095</v>
      </c>
      <c r="I33" s="22" t="s">
        <v>3095</v>
      </c>
      <c r="J33" s="22" t="s">
        <v>3095</v>
      </c>
      <c r="K33" s="63" t="s">
        <v>3103</v>
      </c>
      <c r="L33" s="23">
        <v>20.0</v>
      </c>
      <c r="M33" s="22" t="s">
        <v>3097</v>
      </c>
      <c r="N33" s="22" t="s">
        <v>3099</v>
      </c>
      <c r="O33" s="22" t="s">
        <v>45</v>
      </c>
      <c r="P33" s="22" t="s">
        <v>45</v>
      </c>
      <c r="Q33" s="22" t="s">
        <v>45</v>
      </c>
      <c r="R33" s="22" t="s">
        <v>45</v>
      </c>
      <c r="S33" s="22" t="s">
        <v>45</v>
      </c>
      <c r="T33" s="22" t="s">
        <v>2002</v>
      </c>
      <c r="U33" s="22" t="s">
        <v>45</v>
      </c>
      <c r="V33" s="22" t="s">
        <v>45</v>
      </c>
      <c r="W33" s="22" t="s">
        <v>4793</v>
      </c>
      <c r="X33" s="22" t="s">
        <v>3095</v>
      </c>
      <c r="Y33" s="22" t="s">
        <v>3095</v>
      </c>
      <c r="Z33" s="22" t="s">
        <v>3095</v>
      </c>
      <c r="AA33" s="22" t="s">
        <v>3095</v>
      </c>
      <c r="AB33" s="22" t="s">
        <v>3095</v>
      </c>
      <c r="AC33" s="22" t="s">
        <v>3095</v>
      </c>
      <c r="AD33" s="22" t="s">
        <v>3095</v>
      </c>
      <c r="AE33" s="22" t="s">
        <v>3095</v>
      </c>
      <c r="AF33" s="22" t="s">
        <v>3095</v>
      </c>
    </row>
    <row r="34" ht="45.0" customHeight="1">
      <c r="A34" s="55" t="s">
        <v>202</v>
      </c>
      <c r="B34" s="62" t="s">
        <v>4215</v>
      </c>
      <c r="C34" s="22" t="str">
        <f>IMAGE("https://raw.githubusercontent.com/ltdimages/images/refs/heads/main/ClothTopsOuterLongCamouflage_00.png")</f>
        <v/>
      </c>
      <c r="D34" s="22" t="str">
        <f>IMAGE("https://raw.githubusercontent.com/ltdimages/images/refs/heads/main/ClothTopsOuterLongCamouflage_01.png")</f>
        <v/>
      </c>
      <c r="E34" s="22" t="str">
        <f>IMAGE("https://raw.githubusercontent.com/ltdimages/images/refs/heads/main/ClothTopsOuterLongCamouflage_02.png")</f>
        <v/>
      </c>
      <c r="F34" s="22" t="s">
        <v>3095</v>
      </c>
      <c r="G34" s="22" t="s">
        <v>3095</v>
      </c>
      <c r="H34" s="22" t="s">
        <v>3095</v>
      </c>
      <c r="I34" s="22" t="s">
        <v>3095</v>
      </c>
      <c r="J34" s="22" t="s">
        <v>3095</v>
      </c>
      <c r="K34" s="63" t="s">
        <v>3103</v>
      </c>
      <c r="L34" s="23">
        <v>12.0</v>
      </c>
      <c r="M34" s="22" t="s">
        <v>3097</v>
      </c>
      <c r="N34" s="22" t="s">
        <v>3114</v>
      </c>
      <c r="O34" s="22" t="s">
        <v>45</v>
      </c>
      <c r="P34" s="22" t="s">
        <v>45</v>
      </c>
      <c r="Q34" s="22" t="s">
        <v>45</v>
      </c>
      <c r="R34" s="22" t="s">
        <v>45</v>
      </c>
      <c r="S34" s="22" t="s">
        <v>45</v>
      </c>
      <c r="T34" s="22" t="s">
        <v>2002</v>
      </c>
      <c r="U34" s="22" t="s">
        <v>45</v>
      </c>
      <c r="V34" s="22" t="s">
        <v>45</v>
      </c>
      <c r="W34" s="22" t="s">
        <v>4794</v>
      </c>
      <c r="X34" s="22" t="s">
        <v>3095</v>
      </c>
      <c r="Y34" s="22" t="s">
        <v>3095</v>
      </c>
      <c r="Z34" s="22" t="s">
        <v>3095</v>
      </c>
      <c r="AA34" s="22" t="s">
        <v>3095</v>
      </c>
      <c r="AB34" s="22" t="s">
        <v>3095</v>
      </c>
      <c r="AC34" s="22" t="s">
        <v>3095</v>
      </c>
      <c r="AD34" s="22" t="s">
        <v>3095</v>
      </c>
      <c r="AE34" s="22" t="s">
        <v>3095</v>
      </c>
      <c r="AF34" s="22" t="s">
        <v>3095</v>
      </c>
    </row>
    <row r="35" ht="45.0" customHeight="1">
      <c r="A35" s="55" t="s">
        <v>207</v>
      </c>
      <c r="B35" s="62" t="s">
        <v>3324</v>
      </c>
      <c r="C35" s="22" t="str">
        <f>IMAGE("https://raw.githubusercontent.com/ltdimages/images/refs/heads/main/ClothTopsCoatLongCook_00.png")</f>
        <v/>
      </c>
      <c r="D35" s="22" t="str">
        <f>IMAGE("https://raw.githubusercontent.com/ltdimages/images/refs/heads/main/ClothTopsCoatLongCook_01.png")</f>
        <v/>
      </c>
      <c r="E35" s="22" t="str">
        <f>IMAGE("https://raw.githubusercontent.com/ltdimages/images/refs/heads/main/ClothTopsCoatLongCook_02.png")</f>
        <v/>
      </c>
      <c r="F35" s="22" t="str">
        <f>IMAGE("https://raw.githubusercontent.com/ltdimages/images/refs/heads/main/ClothTopsCoatLongCook_03.png")</f>
        <v/>
      </c>
      <c r="G35" s="22" t="str">
        <f>IMAGE("https://raw.githubusercontent.com/ltdimages/images/refs/heads/main/ClothTopsCoatLongCook_04.png")</f>
        <v/>
      </c>
      <c r="H35" s="22" t="str">
        <f>IMAGE("https://raw.githubusercontent.com/ltdimages/images/refs/heads/main/ClothTopsCoatLongCook_05.png")</f>
        <v/>
      </c>
      <c r="I35" s="22" t="str">
        <f>IMAGE("https://raw.githubusercontent.com/ltdimages/images/refs/heads/main/ClothTopsCoatLongCook_06.png")</f>
        <v/>
      </c>
      <c r="J35" s="22" t="str">
        <f>IMAGE("https://raw.githubusercontent.com/ltdimages/images/refs/heads/main/ClothTopsCoatLongCook_07.png")</f>
        <v/>
      </c>
      <c r="K35" s="63" t="s">
        <v>3103</v>
      </c>
      <c r="L35" s="23">
        <v>12.5</v>
      </c>
      <c r="M35" s="22" t="s">
        <v>3097</v>
      </c>
      <c r="N35" s="22" t="s">
        <v>3099</v>
      </c>
      <c r="O35" s="22" t="s">
        <v>45</v>
      </c>
      <c r="P35" s="22" t="s">
        <v>45</v>
      </c>
      <c r="Q35" s="22" t="s">
        <v>45</v>
      </c>
      <c r="R35" s="22" t="s">
        <v>49</v>
      </c>
      <c r="S35" s="22" t="s">
        <v>45</v>
      </c>
      <c r="T35" s="22" t="s">
        <v>2002</v>
      </c>
      <c r="U35" s="22" t="s">
        <v>45</v>
      </c>
      <c r="V35" s="22" t="s">
        <v>45</v>
      </c>
      <c r="W35" s="22" t="s">
        <v>4795</v>
      </c>
      <c r="X35" s="22" t="s">
        <v>3095</v>
      </c>
      <c r="Y35" s="22" t="s">
        <v>3095</v>
      </c>
      <c r="Z35" s="22" t="s">
        <v>3095</v>
      </c>
      <c r="AA35" s="22" t="s">
        <v>3095</v>
      </c>
      <c r="AB35" s="22" t="s">
        <v>3095</v>
      </c>
      <c r="AC35" s="22" t="s">
        <v>3095</v>
      </c>
      <c r="AD35" s="22" t="s">
        <v>3095</v>
      </c>
      <c r="AE35" s="22" t="s">
        <v>3095</v>
      </c>
      <c r="AF35" s="22" t="s">
        <v>3095</v>
      </c>
    </row>
    <row r="36" ht="45.0" customHeight="1">
      <c r="A36" s="55" t="s">
        <v>211</v>
      </c>
      <c r="B36" s="62" t="s">
        <v>3345</v>
      </c>
      <c r="C36" s="22" t="str">
        <f>IMAGE("https://raw.githubusercontent.com/ltdimages/images/refs/heads/main/ClothTopsYshirtLongCoachJacket_00.png")</f>
        <v/>
      </c>
      <c r="D36" s="22" t="str">
        <f>IMAGE("https://raw.githubusercontent.com/ltdimages/images/refs/heads/main/ClothTopsYshirtLongCoachJacket_01.png")</f>
        <v/>
      </c>
      <c r="E36" s="22" t="str">
        <f>IMAGE("https://raw.githubusercontent.com/ltdimages/images/refs/heads/main/ClothTopsYshirtLongCoachJacket_02.png")</f>
        <v/>
      </c>
      <c r="F36" s="22" t="str">
        <f>IMAGE("https://raw.githubusercontent.com/ltdimages/images/refs/heads/main/ClothTopsYshirtLongCoachJacket_03.png")</f>
        <v/>
      </c>
      <c r="G36" s="22" t="str">
        <f>IMAGE("https://raw.githubusercontent.com/ltdimages/images/refs/heads/main/ClothTopsYshirtLongCoachJacket_04.png")</f>
        <v/>
      </c>
      <c r="H36" s="22" t="str">
        <f>IMAGE("https://raw.githubusercontent.com/ltdimages/images/refs/heads/main/ClothTopsYshirtLongCoachJacket_05.png")</f>
        <v/>
      </c>
      <c r="I36" s="22" t="s">
        <v>3095</v>
      </c>
      <c r="J36" s="22" t="s">
        <v>3095</v>
      </c>
      <c r="K36" s="63" t="s">
        <v>3103</v>
      </c>
      <c r="L36" s="23">
        <v>14.0</v>
      </c>
      <c r="M36" s="22" t="s">
        <v>3097</v>
      </c>
      <c r="N36" s="22" t="s">
        <v>3099</v>
      </c>
      <c r="O36" s="22" t="s">
        <v>45</v>
      </c>
      <c r="P36" s="22" t="s">
        <v>45</v>
      </c>
      <c r="Q36" s="22" t="s">
        <v>45</v>
      </c>
      <c r="R36" s="22" t="s">
        <v>45</v>
      </c>
      <c r="S36" s="22" t="s">
        <v>45</v>
      </c>
      <c r="T36" s="22" t="s">
        <v>2002</v>
      </c>
      <c r="U36" s="22" t="s">
        <v>45</v>
      </c>
      <c r="V36" s="22" t="s">
        <v>45</v>
      </c>
      <c r="W36" s="22" t="s">
        <v>4796</v>
      </c>
      <c r="X36" s="22" t="s">
        <v>3095</v>
      </c>
      <c r="Y36" s="22" t="s">
        <v>3095</v>
      </c>
      <c r="Z36" s="22" t="s">
        <v>3095</v>
      </c>
      <c r="AA36" s="22" t="s">
        <v>3095</v>
      </c>
      <c r="AB36" s="22" t="s">
        <v>3095</v>
      </c>
      <c r="AC36" s="22" t="s">
        <v>3095</v>
      </c>
      <c r="AD36" s="22" t="s">
        <v>3095</v>
      </c>
      <c r="AE36" s="22" t="s">
        <v>3095</v>
      </c>
      <c r="AF36" s="22" t="s">
        <v>3095</v>
      </c>
    </row>
    <row r="37" ht="45.0" customHeight="1">
      <c r="A37" s="55" t="s">
        <v>215</v>
      </c>
      <c r="B37" s="62" t="s">
        <v>4115</v>
      </c>
      <c r="C37" s="22" t="str">
        <f>IMAGE("https://raw.githubusercontent.com/ltdimages/images/refs/heads/main/ClothTopsYshirtLongBandCollar_00.png")</f>
        <v/>
      </c>
      <c r="D37" s="22" t="str">
        <f>IMAGE("https://raw.githubusercontent.com/ltdimages/images/refs/heads/main/ClothTopsYshirtLongBandCollar_01.png")</f>
        <v/>
      </c>
      <c r="E37" s="22" t="str">
        <f>IMAGE("https://raw.githubusercontent.com/ltdimages/images/refs/heads/main/ClothTopsYshirtLongBandCollar_02.png")</f>
        <v/>
      </c>
      <c r="F37" s="22" t="str">
        <f>IMAGE("https://raw.githubusercontent.com/ltdimages/images/refs/heads/main/ClothTopsYshirtLongBandCollar_03.png")</f>
        <v/>
      </c>
      <c r="G37" s="22" t="str">
        <f>IMAGE("https://raw.githubusercontent.com/ltdimages/images/refs/heads/main/ClothTopsYshirtLongBandCollar_04.png")</f>
        <v/>
      </c>
      <c r="H37" s="22" t="str">
        <f>IMAGE("https://raw.githubusercontent.com/ltdimages/images/refs/heads/main/ClothTopsYshirtLongBandCollar_05.png")</f>
        <v/>
      </c>
      <c r="I37" s="22" t="str">
        <f>IMAGE("https://raw.githubusercontent.com/ltdimages/images/refs/heads/main/ClothTopsYshirtLongBandCollar_06.png")</f>
        <v/>
      </c>
      <c r="J37" s="22" t="str">
        <f>IMAGE("https://raw.githubusercontent.com/ltdimages/images/refs/heads/main/ClothTopsYshirtLongBandCollar_07.png")</f>
        <v/>
      </c>
      <c r="K37" s="63" t="s">
        <v>3103</v>
      </c>
      <c r="L37" s="23">
        <v>11.5</v>
      </c>
      <c r="M37" s="22" t="s">
        <v>3097</v>
      </c>
      <c r="N37" s="22" t="s">
        <v>3099</v>
      </c>
      <c r="O37" s="22" t="s">
        <v>45</v>
      </c>
      <c r="P37" s="22" t="s">
        <v>45</v>
      </c>
      <c r="Q37" s="22" t="s">
        <v>45</v>
      </c>
      <c r="R37" s="22" t="s">
        <v>45</v>
      </c>
      <c r="S37" s="22" t="s">
        <v>45</v>
      </c>
      <c r="T37" s="22" t="s">
        <v>2002</v>
      </c>
      <c r="U37" s="22" t="s">
        <v>45</v>
      </c>
      <c r="V37" s="22" t="s">
        <v>45</v>
      </c>
      <c r="W37" s="22" t="s">
        <v>4797</v>
      </c>
      <c r="X37" s="22" t="s">
        <v>3095</v>
      </c>
      <c r="Y37" s="22" t="s">
        <v>3095</v>
      </c>
      <c r="Z37" s="22" t="s">
        <v>3095</v>
      </c>
      <c r="AA37" s="22" t="s">
        <v>3095</v>
      </c>
      <c r="AB37" s="22" t="s">
        <v>3095</v>
      </c>
      <c r="AC37" s="22" t="s">
        <v>3095</v>
      </c>
      <c r="AD37" s="22" t="s">
        <v>3095</v>
      </c>
      <c r="AE37" s="22" t="s">
        <v>3095</v>
      </c>
      <c r="AF37" s="22" t="s">
        <v>3095</v>
      </c>
    </row>
    <row r="38" ht="45.0" customHeight="1">
      <c r="A38" s="55" t="s">
        <v>220</v>
      </c>
      <c r="B38" s="62" t="s">
        <v>3350</v>
      </c>
      <c r="C38" s="22" t="str">
        <f>IMAGE("https://raw.githubusercontent.com/ltdimages/images/refs/heads/main/ClothTopsCoatLongNocollar_00.png")</f>
        <v/>
      </c>
      <c r="D38" s="22" t="str">
        <f>IMAGE("https://raw.githubusercontent.com/ltdimages/images/refs/heads/main/ClothTopsCoatLongNocollar_01.png")</f>
        <v/>
      </c>
      <c r="E38" s="22" t="str">
        <f>IMAGE("https://raw.githubusercontent.com/ltdimages/images/refs/heads/main/ClothTopsCoatLongNocollar_02.png")</f>
        <v/>
      </c>
      <c r="F38" s="22" t="str">
        <f>IMAGE("https://raw.githubusercontent.com/ltdimages/images/refs/heads/main/ClothTopsCoatLongNocollar_03.png")</f>
        <v/>
      </c>
      <c r="G38" s="22" t="str">
        <f>IMAGE("https://raw.githubusercontent.com/ltdimages/images/refs/heads/main/ClothTopsCoatLongNocollar_04.png")</f>
        <v/>
      </c>
      <c r="H38" s="22" t="str">
        <f>IMAGE("https://raw.githubusercontent.com/ltdimages/images/refs/heads/main/ClothTopsCoatLongNocollar_05.png")</f>
        <v/>
      </c>
      <c r="I38" s="22" t="str">
        <f>IMAGE("https://raw.githubusercontent.com/ltdimages/images/refs/heads/main/ClothTopsCoatLongNocollar_06.png")</f>
        <v/>
      </c>
      <c r="J38" s="22" t="str">
        <f>IMAGE("https://raw.githubusercontent.com/ltdimages/images/refs/heads/main/ClothTopsCoatLongNocollar_07.png")</f>
        <v/>
      </c>
      <c r="K38" s="63" t="s">
        <v>3103</v>
      </c>
      <c r="L38" s="23">
        <v>22.0</v>
      </c>
      <c r="M38" s="22" t="s">
        <v>3097</v>
      </c>
      <c r="N38" s="22" t="s">
        <v>3114</v>
      </c>
      <c r="O38" s="22" t="s">
        <v>45</v>
      </c>
      <c r="P38" s="22" t="s">
        <v>45</v>
      </c>
      <c r="Q38" s="22" t="s">
        <v>45</v>
      </c>
      <c r="R38" s="22" t="s">
        <v>45</v>
      </c>
      <c r="S38" s="22" t="s">
        <v>45</v>
      </c>
      <c r="T38" s="22" t="s">
        <v>2002</v>
      </c>
      <c r="U38" s="22" t="s">
        <v>45</v>
      </c>
      <c r="V38" s="22" t="s">
        <v>45</v>
      </c>
      <c r="W38" s="22" t="s">
        <v>4798</v>
      </c>
      <c r="X38" s="22" t="s">
        <v>3095</v>
      </c>
      <c r="Y38" s="22" t="s">
        <v>3095</v>
      </c>
      <c r="Z38" s="22" t="s">
        <v>3095</v>
      </c>
      <c r="AA38" s="22" t="s">
        <v>3095</v>
      </c>
      <c r="AB38" s="22" t="s">
        <v>3095</v>
      </c>
      <c r="AC38" s="22" t="s">
        <v>3095</v>
      </c>
      <c r="AD38" s="22" t="s">
        <v>3095</v>
      </c>
      <c r="AE38" s="22" t="s">
        <v>3095</v>
      </c>
      <c r="AF38" s="22" t="s">
        <v>3095</v>
      </c>
    </row>
    <row r="39" ht="45.0" customHeight="1">
      <c r="A39" s="55" t="s">
        <v>224</v>
      </c>
      <c r="B39" s="62" t="s">
        <v>3355</v>
      </c>
      <c r="C39" s="22" t="str">
        <f>IMAGE("https://raw.githubusercontent.com/ltdimages/images/refs/heads/main/ClothTopsTshirtHalfSwitching_00.png")</f>
        <v/>
      </c>
      <c r="D39" s="22" t="str">
        <f>IMAGE("https://raw.githubusercontent.com/ltdimages/images/refs/heads/main/ClothTopsTshirtHalfSwitching_01.png")</f>
        <v/>
      </c>
      <c r="E39" s="22" t="str">
        <f>IMAGE("https://raw.githubusercontent.com/ltdimages/images/refs/heads/main/ClothTopsTshirtHalfSwitching_02.png")</f>
        <v/>
      </c>
      <c r="F39" s="22" t="str">
        <f>IMAGE("https://raw.githubusercontent.com/ltdimages/images/refs/heads/main/ClothTopsTshirtHalfSwitching_03.png")</f>
        <v/>
      </c>
      <c r="G39" s="22" t="str">
        <f>IMAGE("https://raw.githubusercontent.com/ltdimages/images/refs/heads/main/ClothTopsTshirtHalfSwitching_04.png")</f>
        <v/>
      </c>
      <c r="H39" s="22" t="str">
        <f>IMAGE("https://raw.githubusercontent.com/ltdimages/images/refs/heads/main/ClothTopsTshirtHalfSwitching_05.png")</f>
        <v/>
      </c>
      <c r="I39" s="22" t="s">
        <v>3095</v>
      </c>
      <c r="J39" s="22" t="s">
        <v>3095</v>
      </c>
      <c r="K39" s="63" t="s">
        <v>3103</v>
      </c>
      <c r="L39" s="23">
        <v>11.8</v>
      </c>
      <c r="M39" s="22" t="s">
        <v>3097</v>
      </c>
      <c r="N39" s="22" t="s">
        <v>3099</v>
      </c>
      <c r="O39" s="22" t="s">
        <v>45</v>
      </c>
      <c r="P39" s="22" t="s">
        <v>45</v>
      </c>
      <c r="Q39" s="22" t="s">
        <v>45</v>
      </c>
      <c r="R39" s="22" t="s">
        <v>45</v>
      </c>
      <c r="S39" s="22" t="s">
        <v>45</v>
      </c>
      <c r="T39" s="22" t="s">
        <v>2002</v>
      </c>
      <c r="U39" s="22" t="s">
        <v>45</v>
      </c>
      <c r="V39" s="22" t="s">
        <v>45</v>
      </c>
      <c r="W39" s="22" t="s">
        <v>4799</v>
      </c>
      <c r="X39" s="22" t="s">
        <v>3095</v>
      </c>
      <c r="Y39" s="22" t="s">
        <v>3095</v>
      </c>
      <c r="Z39" s="22" t="s">
        <v>3095</v>
      </c>
      <c r="AA39" s="22" t="s">
        <v>3095</v>
      </c>
      <c r="AB39" s="22" t="s">
        <v>3095</v>
      </c>
      <c r="AC39" s="22" t="s">
        <v>3095</v>
      </c>
      <c r="AD39" s="22" t="s">
        <v>3095</v>
      </c>
      <c r="AE39" s="22" t="s">
        <v>3095</v>
      </c>
      <c r="AF39" s="22" t="s">
        <v>3095</v>
      </c>
    </row>
    <row r="40" ht="45.0" customHeight="1">
      <c r="A40" s="55" t="s">
        <v>229</v>
      </c>
      <c r="B40" s="62" t="s">
        <v>3363</v>
      </c>
      <c r="C40" s="22" t="str">
        <f>IMAGE("https://raw.githubusercontent.com/ltdimages/images/refs/heads/main/ClothTopsCompression_00.png")</f>
        <v/>
      </c>
      <c r="D40" s="22" t="str">
        <f>IMAGE("https://raw.githubusercontent.com/ltdimages/images/refs/heads/main/ClothTopsCompression_01.png")</f>
        <v/>
      </c>
      <c r="E40" s="22" t="str">
        <f>IMAGE("https://raw.githubusercontent.com/ltdimages/images/refs/heads/main/ClothTopsCompression_02.png")</f>
        <v/>
      </c>
      <c r="F40" s="22" t="str">
        <f>IMAGE("https://raw.githubusercontent.com/ltdimages/images/refs/heads/main/ClothTopsCompression_03.png")</f>
        <v/>
      </c>
      <c r="G40" s="22" t="str">
        <f>IMAGE("https://raw.githubusercontent.com/ltdimages/images/refs/heads/main/ClothTopsCompression_04.png")</f>
        <v/>
      </c>
      <c r="H40" s="22" t="str">
        <f>IMAGE("https://raw.githubusercontent.com/ltdimages/images/refs/heads/main/ClothTopsCompression_05.png")</f>
        <v/>
      </c>
      <c r="I40" s="22" t="str">
        <f>IMAGE("https://raw.githubusercontent.com/ltdimages/images/refs/heads/main/ClothTopsCompression_06.png")</f>
        <v/>
      </c>
      <c r="J40" s="22" t="str">
        <f>IMAGE("https://raw.githubusercontent.com/ltdimages/images/refs/heads/main/ClothTopsCompression_07.png")</f>
        <v/>
      </c>
      <c r="K40" s="63" t="s">
        <v>3103</v>
      </c>
      <c r="L40" s="23">
        <v>17.8</v>
      </c>
      <c r="M40" s="22" t="s">
        <v>3097</v>
      </c>
      <c r="N40" s="22" t="s">
        <v>3099</v>
      </c>
      <c r="O40" s="22" t="s">
        <v>45</v>
      </c>
      <c r="P40" s="22" t="s">
        <v>45</v>
      </c>
      <c r="Q40" s="22" t="s">
        <v>45</v>
      </c>
      <c r="R40" s="22" t="s">
        <v>45</v>
      </c>
      <c r="S40" s="22" t="s">
        <v>45</v>
      </c>
      <c r="T40" s="22" t="s">
        <v>2002</v>
      </c>
      <c r="U40" s="22" t="s">
        <v>45</v>
      </c>
      <c r="V40" s="22" t="s">
        <v>45</v>
      </c>
      <c r="W40" s="22" t="s">
        <v>4800</v>
      </c>
      <c r="X40" s="22" t="s">
        <v>3095</v>
      </c>
      <c r="Y40" s="22" t="s">
        <v>3095</v>
      </c>
      <c r="Z40" s="22" t="s">
        <v>3095</v>
      </c>
      <c r="AA40" s="22" t="s">
        <v>3095</v>
      </c>
      <c r="AB40" s="22" t="s">
        <v>3095</v>
      </c>
      <c r="AC40" s="22" t="s">
        <v>3095</v>
      </c>
      <c r="AD40" s="22" t="s">
        <v>3095</v>
      </c>
      <c r="AE40" s="22" t="s">
        <v>3095</v>
      </c>
      <c r="AF40" s="22" t="s">
        <v>3095</v>
      </c>
    </row>
    <row r="41" ht="45.0" customHeight="1">
      <c r="A41" s="55" t="s">
        <v>233</v>
      </c>
      <c r="B41" s="62" t="s">
        <v>3376</v>
      </c>
      <c r="C41" s="22" t="str">
        <f>IMAGE("https://raw.githubusercontent.com/ltdimages/images/refs/heads/main/ClothTopsYshirtLongCorduroy_00.png")</f>
        <v/>
      </c>
      <c r="D41" s="22" t="str">
        <f>IMAGE("https://raw.githubusercontent.com/ltdimages/images/refs/heads/main/ClothTopsYshirtLongCorduroy_01.png")</f>
        <v/>
      </c>
      <c r="E41" s="22" t="str">
        <f>IMAGE("https://raw.githubusercontent.com/ltdimages/images/refs/heads/main/ClothTopsYshirtLongCorduroy_02.png")</f>
        <v/>
      </c>
      <c r="F41" s="22" t="str">
        <f>IMAGE("https://raw.githubusercontent.com/ltdimages/images/refs/heads/main/ClothTopsYshirtLongCorduroy_03.png")</f>
        <v/>
      </c>
      <c r="G41" s="22" t="str">
        <f>IMAGE("https://raw.githubusercontent.com/ltdimages/images/refs/heads/main/ClothTopsYshirtLongCorduroy_04.png")</f>
        <v/>
      </c>
      <c r="H41" s="22" t="str">
        <f>IMAGE("https://raw.githubusercontent.com/ltdimages/images/refs/heads/main/ClothTopsYshirtLongCorduroy_05.png")</f>
        <v/>
      </c>
      <c r="I41" s="22" t="s">
        <v>3095</v>
      </c>
      <c r="J41" s="22" t="s">
        <v>3095</v>
      </c>
      <c r="K41" s="63" t="s">
        <v>3103</v>
      </c>
      <c r="L41" s="23">
        <v>18.7</v>
      </c>
      <c r="M41" s="22" t="s">
        <v>3097</v>
      </c>
      <c r="N41" s="22" t="s">
        <v>3114</v>
      </c>
      <c r="O41" s="22" t="s">
        <v>45</v>
      </c>
      <c r="P41" s="22" t="s">
        <v>45</v>
      </c>
      <c r="Q41" s="22" t="s">
        <v>45</v>
      </c>
      <c r="R41" s="22" t="s">
        <v>45</v>
      </c>
      <c r="S41" s="22" t="s">
        <v>45</v>
      </c>
      <c r="T41" s="22" t="s">
        <v>2002</v>
      </c>
      <c r="U41" s="22" t="s">
        <v>45</v>
      </c>
      <c r="V41" s="22" t="s">
        <v>45</v>
      </c>
      <c r="W41" s="22" t="s">
        <v>4801</v>
      </c>
      <c r="X41" s="22" t="s">
        <v>3095</v>
      </c>
      <c r="Y41" s="22" t="s">
        <v>3095</v>
      </c>
      <c r="Z41" s="22" t="s">
        <v>3095</v>
      </c>
      <c r="AA41" s="22" t="s">
        <v>3095</v>
      </c>
      <c r="AB41" s="22" t="s">
        <v>3095</v>
      </c>
      <c r="AC41" s="22" t="s">
        <v>3095</v>
      </c>
      <c r="AD41" s="22" t="s">
        <v>3095</v>
      </c>
      <c r="AE41" s="22" t="s">
        <v>3095</v>
      </c>
      <c r="AF41" s="22" t="s">
        <v>3095</v>
      </c>
    </row>
    <row r="42" ht="45.0" customHeight="1">
      <c r="A42" s="55" t="s">
        <v>237</v>
      </c>
      <c r="B42" s="62" t="s">
        <v>3397</v>
      </c>
      <c r="C42" s="22" t="str">
        <f>IMAGE("https://raw.githubusercontent.com/ltdimages/images/refs/heads/main/ClothTopsOuterLongCowichan_00.png")</f>
        <v/>
      </c>
      <c r="D42" s="22" t="str">
        <f>IMAGE("https://raw.githubusercontent.com/ltdimages/images/refs/heads/main/ClothTopsOuterLongCowichan_01.png")</f>
        <v/>
      </c>
      <c r="E42" s="22" t="str">
        <f>IMAGE("https://raw.githubusercontent.com/ltdimages/images/refs/heads/main/ClothTopsOuterLongCowichan_02.png")</f>
        <v/>
      </c>
      <c r="F42" s="22" t="str">
        <f>IMAGE("https://raw.githubusercontent.com/ltdimages/images/refs/heads/main/ClothTopsOuterLongCowichan_03.png")</f>
        <v/>
      </c>
      <c r="G42" s="22" t="str">
        <f>IMAGE("https://raw.githubusercontent.com/ltdimages/images/refs/heads/main/ClothTopsOuterLongCowichan_04.png")</f>
        <v/>
      </c>
      <c r="H42" s="22" t="str">
        <f>IMAGE("https://raw.githubusercontent.com/ltdimages/images/refs/heads/main/ClothTopsOuterLongCowichan_05.png")</f>
        <v/>
      </c>
      <c r="I42" s="22" t="s">
        <v>3095</v>
      </c>
      <c r="J42" s="22" t="s">
        <v>3095</v>
      </c>
      <c r="K42" s="63" t="s">
        <v>3103</v>
      </c>
      <c r="L42" s="23">
        <v>11.0</v>
      </c>
      <c r="M42" s="22" t="s">
        <v>3097</v>
      </c>
      <c r="N42" s="22" t="s">
        <v>3114</v>
      </c>
      <c r="O42" s="22" t="s">
        <v>45</v>
      </c>
      <c r="P42" s="22" t="s">
        <v>45</v>
      </c>
      <c r="Q42" s="22" t="s">
        <v>45</v>
      </c>
      <c r="R42" s="22" t="s">
        <v>45</v>
      </c>
      <c r="S42" s="22" t="s">
        <v>45</v>
      </c>
      <c r="T42" s="22" t="s">
        <v>2002</v>
      </c>
      <c r="U42" s="22" t="s">
        <v>45</v>
      </c>
      <c r="V42" s="22" t="s">
        <v>45</v>
      </c>
      <c r="W42" s="22" t="s">
        <v>4802</v>
      </c>
      <c r="X42" s="22" t="s">
        <v>3095</v>
      </c>
      <c r="Y42" s="22" t="s">
        <v>3095</v>
      </c>
      <c r="Z42" s="22" t="s">
        <v>3095</v>
      </c>
      <c r="AA42" s="22" t="s">
        <v>3095</v>
      </c>
      <c r="AB42" s="22" t="s">
        <v>3095</v>
      </c>
      <c r="AC42" s="22" t="s">
        <v>3095</v>
      </c>
      <c r="AD42" s="22" t="s">
        <v>3095</v>
      </c>
      <c r="AE42" s="22" t="s">
        <v>3095</v>
      </c>
      <c r="AF42" s="22" t="s">
        <v>3095</v>
      </c>
    </row>
    <row r="43" ht="45.0" customHeight="1">
      <c r="A43" s="55" t="s">
        <v>241</v>
      </c>
      <c r="B43" s="62" t="s">
        <v>3401</v>
      </c>
      <c r="C43" s="22" t="str">
        <f>IMAGE("https://raw.githubusercontent.com/ltdimages/images/refs/heads/main/ClothTopsYshirtLongMultiColor_00.png")</f>
        <v/>
      </c>
      <c r="D43" s="22" t="str">
        <f>IMAGE("https://raw.githubusercontent.com/ltdimages/images/refs/heads/main/ClothTopsYshirtLongMultiColor_01.png")</f>
        <v/>
      </c>
      <c r="E43" s="22" t="str">
        <f>IMAGE("https://raw.githubusercontent.com/ltdimages/images/refs/heads/main/ClothTopsYshirtLongMultiColor_02.png")</f>
        <v/>
      </c>
      <c r="F43" s="22" t="str">
        <f>IMAGE("https://raw.githubusercontent.com/ltdimages/images/refs/heads/main/ClothTopsYshirtLongMultiColor_03.png")</f>
        <v/>
      </c>
      <c r="G43" s="22" t="str">
        <f>IMAGE("https://raw.githubusercontent.com/ltdimages/images/refs/heads/main/ClothTopsYshirtLongMultiColor_04.png")</f>
        <v/>
      </c>
      <c r="H43" s="22" t="str">
        <f>IMAGE("https://raw.githubusercontent.com/ltdimages/images/refs/heads/main/ClothTopsYshirtLongMultiColor_05.png")</f>
        <v/>
      </c>
      <c r="I43" s="22" t="s">
        <v>3095</v>
      </c>
      <c r="J43" s="22" t="s">
        <v>3095</v>
      </c>
      <c r="K43" s="63" t="s">
        <v>3103</v>
      </c>
      <c r="L43" s="23">
        <v>18.0</v>
      </c>
      <c r="M43" s="22" t="s">
        <v>3097</v>
      </c>
      <c r="N43" s="22" t="s">
        <v>3099</v>
      </c>
      <c r="O43" s="22" t="s">
        <v>45</v>
      </c>
      <c r="P43" s="22" t="s">
        <v>45</v>
      </c>
      <c r="Q43" s="22" t="s">
        <v>45</v>
      </c>
      <c r="R43" s="22" t="s">
        <v>45</v>
      </c>
      <c r="S43" s="22" t="s">
        <v>45</v>
      </c>
      <c r="T43" s="22" t="s">
        <v>2002</v>
      </c>
      <c r="U43" s="22" t="s">
        <v>45</v>
      </c>
      <c r="V43" s="22" t="s">
        <v>45</v>
      </c>
      <c r="W43" s="22" t="s">
        <v>4803</v>
      </c>
      <c r="X43" s="22" t="s">
        <v>3095</v>
      </c>
      <c r="Y43" s="22" t="s">
        <v>3095</v>
      </c>
      <c r="Z43" s="22" t="s">
        <v>3095</v>
      </c>
      <c r="AA43" s="22" t="s">
        <v>3095</v>
      </c>
      <c r="AB43" s="22" t="s">
        <v>3095</v>
      </c>
      <c r="AC43" s="22" t="s">
        <v>3095</v>
      </c>
      <c r="AD43" s="22" t="s">
        <v>3095</v>
      </c>
      <c r="AE43" s="22" t="s">
        <v>3095</v>
      </c>
      <c r="AF43" s="22" t="s">
        <v>3095</v>
      </c>
    </row>
    <row r="44" ht="45.0" customHeight="1">
      <c r="A44" s="55" t="s">
        <v>245</v>
      </c>
      <c r="B44" s="62" t="s">
        <v>4804</v>
      </c>
      <c r="C44" s="22" t="str">
        <f>IMAGE("https://raw.githubusercontent.com/ltdimages/images/refs/heads/main/ClothTopsCroppedTankTop_00.png")</f>
        <v/>
      </c>
      <c r="D44" s="22" t="str">
        <f>IMAGE("https://raw.githubusercontent.com/ltdimages/images/refs/heads/main/ClothTopsCroppedTankTop_01.png")</f>
        <v/>
      </c>
      <c r="E44" s="22" t="str">
        <f>IMAGE("https://raw.githubusercontent.com/ltdimages/images/refs/heads/main/ClothTopsCroppedTankTop_02.png")</f>
        <v/>
      </c>
      <c r="F44" s="22" t="str">
        <f>IMAGE("https://raw.githubusercontent.com/ltdimages/images/refs/heads/main/ClothTopsCroppedTankTop_03.png")</f>
        <v/>
      </c>
      <c r="G44" s="22" t="str">
        <f>IMAGE("https://raw.githubusercontent.com/ltdimages/images/refs/heads/main/ClothTopsCroppedTankTop_04.png")</f>
        <v/>
      </c>
      <c r="H44" s="22" t="str">
        <f>IMAGE("https://raw.githubusercontent.com/ltdimages/images/refs/heads/main/ClothTopsCroppedTankTop_05.png")</f>
        <v/>
      </c>
      <c r="I44" s="22" t="str">
        <f>IMAGE("https://raw.githubusercontent.com/ltdimages/images/refs/heads/main/ClothTopsCroppedTankTop_06.png")</f>
        <v/>
      </c>
      <c r="J44" s="22" t="str">
        <f>IMAGE("https://raw.githubusercontent.com/ltdimages/images/refs/heads/main/ClothTopsCroppedTankTop_07.png")</f>
        <v/>
      </c>
      <c r="K44" s="63" t="s">
        <v>3103</v>
      </c>
      <c r="L44" s="23">
        <v>9.0</v>
      </c>
      <c r="M44" s="22" t="s">
        <v>3097</v>
      </c>
      <c r="N44" s="22" t="s">
        <v>3099</v>
      </c>
      <c r="O44" s="22" t="s">
        <v>45</v>
      </c>
      <c r="P44" s="22" t="s">
        <v>45</v>
      </c>
      <c r="Q44" s="22" t="s">
        <v>45</v>
      </c>
      <c r="R44" s="22" t="s">
        <v>45</v>
      </c>
      <c r="S44" s="22" t="s">
        <v>45</v>
      </c>
      <c r="T44" s="22" t="s">
        <v>2002</v>
      </c>
      <c r="U44" s="22" t="s">
        <v>45</v>
      </c>
      <c r="V44" s="22" t="s">
        <v>45</v>
      </c>
      <c r="W44" s="22" t="s">
        <v>4805</v>
      </c>
      <c r="X44" s="22" t="s">
        <v>3095</v>
      </c>
      <c r="Y44" s="22" t="s">
        <v>3095</v>
      </c>
      <c r="Z44" s="22" t="s">
        <v>3095</v>
      </c>
      <c r="AA44" s="22" t="s">
        <v>3095</v>
      </c>
      <c r="AB44" s="22" t="s">
        <v>3095</v>
      </c>
      <c r="AC44" s="22" t="s">
        <v>3095</v>
      </c>
      <c r="AD44" s="22" t="s">
        <v>3095</v>
      </c>
      <c r="AE44" s="22" t="s">
        <v>3095</v>
      </c>
      <c r="AF44" s="22" t="s">
        <v>3095</v>
      </c>
    </row>
    <row r="45" ht="45.0" customHeight="1">
      <c r="A45" s="55" t="s">
        <v>249</v>
      </c>
      <c r="B45" s="62" t="s">
        <v>4806</v>
      </c>
      <c r="C45" s="22" t="str">
        <f>IMAGE("https://raw.githubusercontent.com/ltdimages/images/refs/heads/main/ClothTopsCroppedTee_00.png")</f>
        <v/>
      </c>
      <c r="D45" s="22" t="str">
        <f>IMAGE("https://raw.githubusercontent.com/ltdimages/images/refs/heads/main/ClothTopsCroppedTee_01.png")</f>
        <v/>
      </c>
      <c r="E45" s="22" t="str">
        <f>IMAGE("https://raw.githubusercontent.com/ltdimages/images/refs/heads/main/ClothTopsCroppedTee_02.png")</f>
        <v/>
      </c>
      <c r="F45" s="22" t="str">
        <f>IMAGE("https://raw.githubusercontent.com/ltdimages/images/refs/heads/main/ClothTopsCroppedTee_03.png")</f>
        <v/>
      </c>
      <c r="G45" s="22" t="str">
        <f>IMAGE("https://raw.githubusercontent.com/ltdimages/images/refs/heads/main/ClothTopsCroppedTee_04.png")</f>
        <v/>
      </c>
      <c r="H45" s="22" t="str">
        <f>IMAGE("https://raw.githubusercontent.com/ltdimages/images/refs/heads/main/ClothTopsCroppedTee_05.png")</f>
        <v/>
      </c>
      <c r="I45" s="22" t="str">
        <f>IMAGE("https://raw.githubusercontent.com/ltdimages/images/refs/heads/main/ClothTopsCroppedTee_06.png")</f>
        <v/>
      </c>
      <c r="J45" s="22" t="str">
        <f>IMAGE("https://raw.githubusercontent.com/ltdimages/images/refs/heads/main/ClothTopsCroppedTee_07.png")</f>
        <v/>
      </c>
      <c r="K45" s="63" t="s">
        <v>3103</v>
      </c>
      <c r="L45" s="23">
        <v>10.0</v>
      </c>
      <c r="M45" s="22" t="s">
        <v>3097</v>
      </c>
      <c r="N45" s="22" t="s">
        <v>3123</v>
      </c>
      <c r="O45" s="22" t="s">
        <v>45</v>
      </c>
      <c r="P45" s="22" t="s">
        <v>45</v>
      </c>
      <c r="Q45" s="22" t="s">
        <v>45</v>
      </c>
      <c r="R45" s="22" t="s">
        <v>45</v>
      </c>
      <c r="S45" s="22" t="s">
        <v>45</v>
      </c>
      <c r="T45" s="22" t="s">
        <v>2002</v>
      </c>
      <c r="U45" s="22" t="s">
        <v>45</v>
      </c>
      <c r="V45" s="22" t="s">
        <v>45</v>
      </c>
      <c r="W45" s="22" t="s">
        <v>4807</v>
      </c>
      <c r="X45" s="22" t="s">
        <v>3095</v>
      </c>
      <c r="Y45" s="22" t="s">
        <v>3095</v>
      </c>
      <c r="Z45" s="22" t="s">
        <v>3095</v>
      </c>
      <c r="AA45" s="22" t="s">
        <v>3095</v>
      </c>
      <c r="AB45" s="22" t="s">
        <v>3095</v>
      </c>
      <c r="AC45" s="22" t="s">
        <v>3095</v>
      </c>
      <c r="AD45" s="22" t="s">
        <v>3095</v>
      </c>
      <c r="AE45" s="22" t="s">
        <v>3095</v>
      </c>
      <c r="AF45" s="22" t="s">
        <v>3095</v>
      </c>
    </row>
    <row r="46" ht="45.0" customHeight="1">
      <c r="A46" s="55" t="s">
        <v>253</v>
      </c>
      <c r="B46" s="62" t="s">
        <v>3414</v>
      </c>
      <c r="C46" s="22" t="str">
        <f>IMAGE("https://raw.githubusercontent.com/ltdimages/images/refs/heads/main/ClothTopsYshirtLongDenim_00.png")</f>
        <v/>
      </c>
      <c r="D46" s="22" t="str">
        <f>IMAGE("https://raw.githubusercontent.com/ltdimages/images/refs/heads/main/ClothTopsYshirtLongDenim_01.png")</f>
        <v/>
      </c>
      <c r="E46" s="22" t="str">
        <f>IMAGE("https://raw.githubusercontent.com/ltdimages/images/refs/heads/main/ClothTopsYshirtLongDenim_02.png")</f>
        <v/>
      </c>
      <c r="F46" s="22" t="str">
        <f>IMAGE("https://raw.githubusercontent.com/ltdimages/images/refs/heads/main/ClothTopsYshirtLongDenim_03.png")</f>
        <v/>
      </c>
      <c r="G46" s="22" t="s">
        <v>3095</v>
      </c>
      <c r="H46" s="22" t="s">
        <v>3095</v>
      </c>
      <c r="I46" s="22" t="s">
        <v>3095</v>
      </c>
      <c r="J46" s="22" t="s">
        <v>3095</v>
      </c>
      <c r="K46" s="63" t="s">
        <v>3103</v>
      </c>
      <c r="L46" s="23">
        <v>12.0</v>
      </c>
      <c r="M46" s="22" t="s">
        <v>3097</v>
      </c>
      <c r="N46" s="22" t="s">
        <v>3099</v>
      </c>
      <c r="O46" s="22" t="s">
        <v>45</v>
      </c>
      <c r="P46" s="22" t="s">
        <v>45</v>
      </c>
      <c r="Q46" s="22" t="s">
        <v>45</v>
      </c>
      <c r="R46" s="22" t="s">
        <v>45</v>
      </c>
      <c r="S46" s="22" t="s">
        <v>45</v>
      </c>
      <c r="T46" s="22" t="s">
        <v>2002</v>
      </c>
      <c r="U46" s="22" t="s">
        <v>45</v>
      </c>
      <c r="V46" s="22" t="s">
        <v>45</v>
      </c>
      <c r="W46" s="22" t="s">
        <v>4808</v>
      </c>
      <c r="X46" s="22" t="s">
        <v>3095</v>
      </c>
      <c r="Y46" s="22" t="s">
        <v>3095</v>
      </c>
      <c r="Z46" s="22" t="s">
        <v>3095</v>
      </c>
      <c r="AA46" s="22" t="s">
        <v>3095</v>
      </c>
      <c r="AB46" s="22" t="s">
        <v>3095</v>
      </c>
      <c r="AC46" s="22" t="s">
        <v>3095</v>
      </c>
      <c r="AD46" s="22" t="s">
        <v>3095</v>
      </c>
      <c r="AE46" s="22" t="s">
        <v>3095</v>
      </c>
      <c r="AF46" s="22" t="s">
        <v>3095</v>
      </c>
    </row>
    <row r="47" ht="45.0" customHeight="1">
      <c r="A47" s="55" t="s">
        <v>257</v>
      </c>
      <c r="B47" s="62" t="s">
        <v>4809</v>
      </c>
      <c r="C47" s="22" t="str">
        <f>IMAGE("https://raw.githubusercontent.com/ltdimages/images/refs/heads/main/ClothTopsOuterLongDamaged_00.png")</f>
        <v/>
      </c>
      <c r="D47" s="22" t="str">
        <f>IMAGE("https://raw.githubusercontent.com/ltdimages/images/refs/heads/main/ClothTopsOuterLongDamaged_01.png")</f>
        <v/>
      </c>
      <c r="E47" s="22" t="str">
        <f>IMAGE("https://raw.githubusercontent.com/ltdimages/images/refs/heads/main/ClothTopsOuterLongDamaged_02.png")</f>
        <v/>
      </c>
      <c r="F47" s="22" t="str">
        <f>IMAGE("https://raw.githubusercontent.com/ltdimages/images/refs/heads/main/ClothTopsOuterLongDamaged_03.png")</f>
        <v/>
      </c>
      <c r="G47" s="22" t="str">
        <f>IMAGE("https://raw.githubusercontent.com/ltdimages/images/refs/heads/main/ClothTopsOuterLongDamaged_04.png")</f>
        <v/>
      </c>
      <c r="H47" s="22" t="str">
        <f>IMAGE("https://raw.githubusercontent.com/ltdimages/images/refs/heads/main/ClothTopsOuterLongDamaged_05.png")</f>
        <v/>
      </c>
      <c r="I47" s="22" t="str">
        <f>IMAGE("https://raw.githubusercontent.com/ltdimages/images/refs/heads/main/ClothTopsOuterLongDamaged_06.png")</f>
        <v/>
      </c>
      <c r="J47" s="22" t="str">
        <f>IMAGE("https://raw.githubusercontent.com/ltdimages/images/refs/heads/main/ClothTopsOuterLongDamaged_07.png")</f>
        <v/>
      </c>
      <c r="K47" s="63" t="s">
        <v>3103</v>
      </c>
      <c r="L47" s="23">
        <v>9.9</v>
      </c>
      <c r="M47" s="22" t="s">
        <v>3097</v>
      </c>
      <c r="N47" s="22" t="s">
        <v>3114</v>
      </c>
      <c r="O47" s="22" t="s">
        <v>45</v>
      </c>
      <c r="P47" s="22" t="s">
        <v>45</v>
      </c>
      <c r="Q47" s="22" t="s">
        <v>45</v>
      </c>
      <c r="R47" s="22" t="s">
        <v>45</v>
      </c>
      <c r="S47" s="22" t="s">
        <v>45</v>
      </c>
      <c r="T47" s="22" t="s">
        <v>2002</v>
      </c>
      <c r="U47" s="22" t="s">
        <v>45</v>
      </c>
      <c r="V47" s="22" t="s">
        <v>45</v>
      </c>
      <c r="W47" s="22" t="s">
        <v>4810</v>
      </c>
      <c r="X47" s="22" t="s">
        <v>3095</v>
      </c>
      <c r="Y47" s="22" t="s">
        <v>3095</v>
      </c>
      <c r="Z47" s="22" t="s">
        <v>3095</v>
      </c>
      <c r="AA47" s="22" t="s">
        <v>3095</v>
      </c>
      <c r="AB47" s="22" t="s">
        <v>3095</v>
      </c>
      <c r="AC47" s="22" t="s">
        <v>3095</v>
      </c>
      <c r="AD47" s="22" t="s">
        <v>3095</v>
      </c>
      <c r="AE47" s="22" t="s">
        <v>3095</v>
      </c>
      <c r="AF47" s="22" t="s">
        <v>3095</v>
      </c>
    </row>
    <row r="48" ht="45.0" customHeight="1">
      <c r="A48" s="55" t="s">
        <v>261</v>
      </c>
      <c r="B48" s="62" t="s">
        <v>3455</v>
      </c>
      <c r="C48" s="22" t="str">
        <f>IMAGE("https://raw.githubusercontent.com/ltdimages/images/refs/heads/main/ClothTopsYshirtLongDogJersey_00.png")</f>
        <v/>
      </c>
      <c r="D48" s="22" t="str">
        <f>IMAGE("https://raw.githubusercontent.com/ltdimages/images/refs/heads/main/ClothTopsYshirtLongDogJersey_01.png")</f>
        <v/>
      </c>
      <c r="E48" s="22" t="str">
        <f>IMAGE("https://raw.githubusercontent.com/ltdimages/images/refs/heads/main/ClothTopsYshirtLongDogJersey_02.png")</f>
        <v/>
      </c>
      <c r="F48" s="22" t="str">
        <f>IMAGE("https://raw.githubusercontent.com/ltdimages/images/refs/heads/main/ClothTopsYshirtLongDogJersey_03.png")</f>
        <v/>
      </c>
      <c r="G48" s="22" t="str">
        <f>IMAGE("https://raw.githubusercontent.com/ltdimages/images/refs/heads/main/ClothTopsYshirtLongDogJersey_04.png")</f>
        <v/>
      </c>
      <c r="H48" s="22" t="str">
        <f>IMAGE("https://raw.githubusercontent.com/ltdimages/images/refs/heads/main/ClothTopsYshirtLongDogJersey_05.png")</f>
        <v/>
      </c>
      <c r="I48" s="22" t="str">
        <f>IMAGE("https://raw.githubusercontent.com/ltdimages/images/refs/heads/main/ClothTopsYshirtLongDogJersey_06.png")</f>
        <v/>
      </c>
      <c r="J48" s="22" t="str">
        <f>IMAGE("https://raw.githubusercontent.com/ltdimages/images/refs/heads/main/ClothTopsYshirtLongDogJersey_07.png")</f>
        <v/>
      </c>
      <c r="K48" s="63" t="s">
        <v>3103</v>
      </c>
      <c r="L48" s="23">
        <v>19.0</v>
      </c>
      <c r="M48" s="22" t="s">
        <v>3097</v>
      </c>
      <c r="N48" s="22" t="s">
        <v>3114</v>
      </c>
      <c r="O48" s="22" t="s">
        <v>45</v>
      </c>
      <c r="P48" s="22" t="s">
        <v>45</v>
      </c>
      <c r="Q48" s="22" t="s">
        <v>45</v>
      </c>
      <c r="R48" s="22" t="s">
        <v>45</v>
      </c>
      <c r="S48" s="22" t="s">
        <v>45</v>
      </c>
      <c r="T48" s="22" t="s">
        <v>2002</v>
      </c>
      <c r="U48" s="22" t="s">
        <v>45</v>
      </c>
      <c r="V48" s="22" t="s">
        <v>45</v>
      </c>
      <c r="W48" s="22" t="s">
        <v>4811</v>
      </c>
      <c r="X48" s="22" t="s">
        <v>3095</v>
      </c>
      <c r="Y48" s="22" t="s">
        <v>3095</v>
      </c>
      <c r="Z48" s="22" t="s">
        <v>3095</v>
      </c>
      <c r="AA48" s="22" t="s">
        <v>3095</v>
      </c>
      <c r="AB48" s="22" t="s">
        <v>3095</v>
      </c>
      <c r="AC48" s="22" t="s">
        <v>3095</v>
      </c>
      <c r="AD48" s="22" t="s">
        <v>3095</v>
      </c>
      <c r="AE48" s="22" t="s">
        <v>3095</v>
      </c>
      <c r="AF48" s="22" t="s">
        <v>3095</v>
      </c>
    </row>
    <row r="49" ht="45.0" customHeight="1">
      <c r="A49" s="55" t="s">
        <v>265</v>
      </c>
      <c r="B49" s="62" t="s">
        <v>4812</v>
      </c>
      <c r="C49" s="22" t="str">
        <f>IMAGE("https://raw.githubusercontent.com/ltdimages/images/refs/heads/main/ClothTopsCoatLongDotera_00.png")</f>
        <v/>
      </c>
      <c r="D49" s="22" t="str">
        <f>IMAGE("https://raw.githubusercontent.com/ltdimages/images/refs/heads/main/ClothTopsCoatLongDotera_01.png")</f>
        <v/>
      </c>
      <c r="E49" s="22" t="str">
        <f>IMAGE("https://raw.githubusercontent.com/ltdimages/images/refs/heads/main/ClothTopsCoatLongDotera_02.png")</f>
        <v/>
      </c>
      <c r="F49" s="22" t="str">
        <f>IMAGE("https://raw.githubusercontent.com/ltdimages/images/refs/heads/main/ClothTopsCoatLongDotera_03.png")</f>
        <v/>
      </c>
      <c r="G49" s="22" t="str">
        <f>IMAGE("https://raw.githubusercontent.com/ltdimages/images/refs/heads/main/ClothTopsCoatLongDotera_04.png")</f>
        <v/>
      </c>
      <c r="H49" s="22" t="str">
        <f>IMAGE("https://raw.githubusercontent.com/ltdimages/images/refs/heads/main/ClothTopsCoatLongDotera_05.png")</f>
        <v/>
      </c>
      <c r="I49" s="22" t="str">
        <f>IMAGE("https://raw.githubusercontent.com/ltdimages/images/refs/heads/main/ClothTopsCoatLongDotera_06.png")</f>
        <v/>
      </c>
      <c r="J49" s="22" t="str">
        <f>IMAGE("https://raw.githubusercontent.com/ltdimages/images/refs/heads/main/ClothTopsCoatLongDotera_07.png")</f>
        <v/>
      </c>
      <c r="K49" s="63" t="s">
        <v>3103</v>
      </c>
      <c r="L49" s="23">
        <v>22.0</v>
      </c>
      <c r="M49" s="22" t="s">
        <v>3097</v>
      </c>
      <c r="N49" s="22" t="s">
        <v>3114</v>
      </c>
      <c r="O49" s="22" t="s">
        <v>45</v>
      </c>
      <c r="P49" s="22" t="s">
        <v>45</v>
      </c>
      <c r="Q49" s="22" t="s">
        <v>45</v>
      </c>
      <c r="R49" s="22" t="s">
        <v>45</v>
      </c>
      <c r="S49" s="22" t="s">
        <v>45</v>
      </c>
      <c r="T49" s="22" t="s">
        <v>2002</v>
      </c>
      <c r="U49" s="22" t="s">
        <v>45</v>
      </c>
      <c r="V49" s="22" t="s">
        <v>45</v>
      </c>
      <c r="W49" s="22" t="s">
        <v>4813</v>
      </c>
      <c r="X49" s="22" t="s">
        <v>3095</v>
      </c>
      <c r="Y49" s="22" t="s">
        <v>3095</v>
      </c>
      <c r="Z49" s="22" t="s">
        <v>3095</v>
      </c>
      <c r="AA49" s="22" t="s">
        <v>3095</v>
      </c>
      <c r="AB49" s="22" t="s">
        <v>3095</v>
      </c>
      <c r="AC49" s="22" t="s">
        <v>3095</v>
      </c>
      <c r="AD49" s="22" t="s">
        <v>3095</v>
      </c>
      <c r="AE49" s="22" t="s">
        <v>3095</v>
      </c>
      <c r="AF49" s="22" t="s">
        <v>3095</v>
      </c>
    </row>
    <row r="50" ht="45.0" customHeight="1">
      <c r="A50" s="55" t="s">
        <v>269</v>
      </c>
      <c r="B50" s="62" t="s">
        <v>3461</v>
      </c>
      <c r="C50" s="22" t="str">
        <f>IMAGE("https://raw.githubusercontent.com/ltdimages/images/refs/heads/main/ClothTopsYshirtLongDot_00.png")</f>
        <v/>
      </c>
      <c r="D50" s="22" t="str">
        <f>IMAGE("https://raw.githubusercontent.com/ltdimages/images/refs/heads/main/ClothTopsYshirtLongDot_01.png")</f>
        <v/>
      </c>
      <c r="E50" s="22" t="str">
        <f>IMAGE("https://raw.githubusercontent.com/ltdimages/images/refs/heads/main/ClothTopsYshirtLongDot_02.png")</f>
        <v/>
      </c>
      <c r="F50" s="22" t="str">
        <f>IMAGE("https://raw.githubusercontent.com/ltdimages/images/refs/heads/main/ClothTopsYshirtLongDot_03.png")</f>
        <v/>
      </c>
      <c r="G50" s="22" t="str">
        <f>IMAGE("https://raw.githubusercontent.com/ltdimages/images/refs/heads/main/ClothTopsYshirtLongDot_04.png")</f>
        <v/>
      </c>
      <c r="H50" s="22" t="str">
        <f>IMAGE("https://raw.githubusercontent.com/ltdimages/images/refs/heads/main/ClothTopsYshirtLongDot_05.png")</f>
        <v/>
      </c>
      <c r="I50" s="22" t="s">
        <v>3095</v>
      </c>
      <c r="J50" s="22" t="s">
        <v>3095</v>
      </c>
      <c r="K50" s="63" t="s">
        <v>3103</v>
      </c>
      <c r="L50" s="23">
        <v>11.8</v>
      </c>
      <c r="M50" s="22" t="s">
        <v>3097</v>
      </c>
      <c r="N50" s="22" t="s">
        <v>3099</v>
      </c>
      <c r="O50" s="22" t="s">
        <v>45</v>
      </c>
      <c r="P50" s="22" t="s">
        <v>45</v>
      </c>
      <c r="Q50" s="22" t="s">
        <v>45</v>
      </c>
      <c r="R50" s="22" t="s">
        <v>45</v>
      </c>
      <c r="S50" s="22" t="s">
        <v>45</v>
      </c>
      <c r="T50" s="22" t="s">
        <v>2002</v>
      </c>
      <c r="U50" s="22" t="s">
        <v>45</v>
      </c>
      <c r="V50" s="22" t="s">
        <v>45</v>
      </c>
      <c r="W50" s="22" t="s">
        <v>4814</v>
      </c>
      <c r="X50" s="22" t="s">
        <v>3095</v>
      </c>
      <c r="Y50" s="22" t="s">
        <v>3095</v>
      </c>
      <c r="Z50" s="22" t="s">
        <v>3095</v>
      </c>
      <c r="AA50" s="22" t="s">
        <v>3095</v>
      </c>
      <c r="AB50" s="22" t="s">
        <v>3095</v>
      </c>
      <c r="AC50" s="22" t="s">
        <v>3095</v>
      </c>
      <c r="AD50" s="22" t="s">
        <v>3095</v>
      </c>
      <c r="AE50" s="22" t="s">
        <v>3095</v>
      </c>
      <c r="AF50" s="22" t="s">
        <v>3095</v>
      </c>
    </row>
    <row r="51" ht="45.0" customHeight="1">
      <c r="A51" s="55" t="s">
        <v>273</v>
      </c>
      <c r="B51" s="62" t="s">
        <v>3465</v>
      </c>
      <c r="C51" s="22" t="str">
        <f>IMAGE("https://raw.githubusercontent.com/ltdimages/images/refs/heads/main/ClothTopsOuterLongDownJacket_00.png")</f>
        <v/>
      </c>
      <c r="D51" s="22" t="str">
        <f>IMAGE("https://raw.githubusercontent.com/ltdimages/images/refs/heads/main/ClothTopsOuterLongDownJacket_01.png")</f>
        <v/>
      </c>
      <c r="E51" s="22" t="str">
        <f>IMAGE("https://raw.githubusercontent.com/ltdimages/images/refs/heads/main/ClothTopsOuterLongDownJacket_02.png")</f>
        <v/>
      </c>
      <c r="F51" s="22" t="str">
        <f>IMAGE("https://raw.githubusercontent.com/ltdimages/images/refs/heads/main/ClothTopsOuterLongDownJacket_03.png")</f>
        <v/>
      </c>
      <c r="G51" s="22" t="str">
        <f>IMAGE("https://raw.githubusercontent.com/ltdimages/images/refs/heads/main/ClothTopsOuterLongDownJacket_04.png")</f>
        <v/>
      </c>
      <c r="H51" s="22" t="str">
        <f>IMAGE("https://raw.githubusercontent.com/ltdimages/images/refs/heads/main/ClothTopsOuterLongDownJacket_05.png")</f>
        <v/>
      </c>
      <c r="I51" s="22" t="str">
        <f>IMAGE("https://raw.githubusercontent.com/ltdimages/images/refs/heads/main/ClothTopsOuterLongDownJacket_06.png")</f>
        <v/>
      </c>
      <c r="J51" s="22" t="str">
        <f>IMAGE("https://raw.githubusercontent.com/ltdimages/images/refs/heads/main/ClothTopsOuterLongDownJacket_07.png")</f>
        <v/>
      </c>
      <c r="K51" s="63" t="s">
        <v>3103</v>
      </c>
      <c r="L51" s="23">
        <v>11.0</v>
      </c>
      <c r="M51" s="22" t="s">
        <v>3097</v>
      </c>
      <c r="N51" s="22" t="s">
        <v>3114</v>
      </c>
      <c r="O51" s="22" t="s">
        <v>45</v>
      </c>
      <c r="P51" s="22" t="s">
        <v>45</v>
      </c>
      <c r="Q51" s="22" t="s">
        <v>45</v>
      </c>
      <c r="R51" s="22" t="s">
        <v>45</v>
      </c>
      <c r="S51" s="22" t="s">
        <v>45</v>
      </c>
      <c r="T51" s="22" t="s">
        <v>2002</v>
      </c>
      <c r="U51" s="22" t="s">
        <v>45</v>
      </c>
      <c r="V51" s="22" t="s">
        <v>45</v>
      </c>
      <c r="W51" s="22" t="s">
        <v>4815</v>
      </c>
      <c r="X51" s="22" t="s">
        <v>3095</v>
      </c>
      <c r="Y51" s="22" t="s">
        <v>3095</v>
      </c>
      <c r="Z51" s="22" t="s">
        <v>3095</v>
      </c>
      <c r="AA51" s="22" t="s">
        <v>3095</v>
      </c>
      <c r="AB51" s="22" t="s">
        <v>3095</v>
      </c>
      <c r="AC51" s="22" t="s">
        <v>3095</v>
      </c>
      <c r="AD51" s="22" t="s">
        <v>3095</v>
      </c>
      <c r="AE51" s="22" t="s">
        <v>3095</v>
      </c>
      <c r="AF51" s="22" t="s">
        <v>3095</v>
      </c>
    </row>
    <row r="52" ht="45.0" customHeight="1">
      <c r="A52" s="55" t="s">
        <v>277</v>
      </c>
      <c r="B52" s="62" t="s">
        <v>4367</v>
      </c>
      <c r="C52" s="22" t="str">
        <f>IMAGE("https://raw.githubusercontent.com/ltdimages/images/refs/heads/main/ClothTopsOuterLongYumekawaSukajan_00.png")</f>
        <v/>
      </c>
      <c r="D52" s="22" t="str">
        <f>IMAGE("https://raw.githubusercontent.com/ltdimages/images/refs/heads/main/ClothTopsOuterLongYumekawaSukajan_01.png")</f>
        <v/>
      </c>
      <c r="E52" s="22" t="str">
        <f>IMAGE("https://raw.githubusercontent.com/ltdimages/images/refs/heads/main/ClothTopsOuterLongYumekawaSukajan_02.png")</f>
        <v/>
      </c>
      <c r="F52" s="22" t="str">
        <f>IMAGE("https://raw.githubusercontent.com/ltdimages/images/refs/heads/main/ClothTopsOuterLongYumekawaSukajan_03.png")</f>
        <v/>
      </c>
      <c r="G52" s="22" t="str">
        <f>IMAGE("https://raw.githubusercontent.com/ltdimages/images/refs/heads/main/ClothTopsOuterLongYumekawaSukajan_04.png")</f>
        <v/>
      </c>
      <c r="H52" s="22" t="s">
        <v>3095</v>
      </c>
      <c r="I52" s="22" t="s">
        <v>3095</v>
      </c>
      <c r="J52" s="22" t="s">
        <v>3095</v>
      </c>
      <c r="K52" s="63" t="s">
        <v>3103</v>
      </c>
      <c r="L52" s="23">
        <v>12.5</v>
      </c>
      <c r="M52" s="22" t="s">
        <v>3097</v>
      </c>
      <c r="N52" s="22" t="s">
        <v>3099</v>
      </c>
      <c r="O52" s="22" t="s">
        <v>45</v>
      </c>
      <c r="P52" s="22" t="s">
        <v>45</v>
      </c>
      <c r="Q52" s="22" t="s">
        <v>45</v>
      </c>
      <c r="R52" s="22" t="s">
        <v>45</v>
      </c>
      <c r="S52" s="22" t="s">
        <v>45</v>
      </c>
      <c r="T52" s="22" t="s">
        <v>2002</v>
      </c>
      <c r="U52" s="22" t="s">
        <v>45</v>
      </c>
      <c r="V52" s="22" t="s">
        <v>45</v>
      </c>
      <c r="W52" s="22" t="s">
        <v>4816</v>
      </c>
      <c r="X52" s="22" t="s">
        <v>3095</v>
      </c>
      <c r="Y52" s="22" t="s">
        <v>3095</v>
      </c>
      <c r="Z52" s="22" t="s">
        <v>3095</v>
      </c>
      <c r="AA52" s="22" t="s">
        <v>3095</v>
      </c>
      <c r="AB52" s="22" t="s">
        <v>3095</v>
      </c>
      <c r="AC52" s="22" t="s">
        <v>3095</v>
      </c>
      <c r="AD52" s="22" t="s">
        <v>3095</v>
      </c>
      <c r="AE52" s="22" t="s">
        <v>3095</v>
      </c>
      <c r="AF52" s="22" t="s">
        <v>3095</v>
      </c>
    </row>
    <row r="53" ht="45.0" customHeight="1">
      <c r="A53" s="55" t="s">
        <v>281</v>
      </c>
      <c r="B53" s="62" t="s">
        <v>4373</v>
      </c>
      <c r="C53" s="22" t="str">
        <f>IMAGE("https://raw.githubusercontent.com/ltdimages/images/refs/heads/main/ClothTopsOuterLongYumekawaParka_00.png")</f>
        <v/>
      </c>
      <c r="D53" s="22" t="str">
        <f>IMAGE("https://raw.githubusercontent.com/ltdimages/images/refs/heads/main/ClothTopsOuterLongYumekawaParka_01.png")</f>
        <v/>
      </c>
      <c r="E53" s="22" t="str">
        <f>IMAGE("https://raw.githubusercontent.com/ltdimages/images/refs/heads/main/ClothTopsOuterLongYumekawaParka_02.png")</f>
        <v/>
      </c>
      <c r="F53" s="22" t="str">
        <f>IMAGE("https://raw.githubusercontent.com/ltdimages/images/refs/heads/main/ClothTopsOuterLongYumekawaParka_03.png")</f>
        <v/>
      </c>
      <c r="G53" s="22" t="str">
        <f>IMAGE("https://raw.githubusercontent.com/ltdimages/images/refs/heads/main/ClothTopsOuterLongYumekawaParka_04.png")</f>
        <v/>
      </c>
      <c r="H53" s="22" t="str">
        <f>IMAGE("https://raw.githubusercontent.com/ltdimages/images/refs/heads/main/ClothTopsOuterLongYumekawaParka_05.png")</f>
        <v/>
      </c>
      <c r="I53" s="22" t="s">
        <v>3095</v>
      </c>
      <c r="J53" s="22" t="s">
        <v>3095</v>
      </c>
      <c r="K53" s="63" t="s">
        <v>3103</v>
      </c>
      <c r="L53" s="23">
        <v>12.0</v>
      </c>
      <c r="M53" s="22" t="s">
        <v>3097</v>
      </c>
      <c r="N53" s="22" t="s">
        <v>3099</v>
      </c>
      <c r="O53" s="22" t="s">
        <v>45</v>
      </c>
      <c r="P53" s="22" t="s">
        <v>45</v>
      </c>
      <c r="Q53" s="22" t="s">
        <v>45</v>
      </c>
      <c r="R53" s="22" t="s">
        <v>45</v>
      </c>
      <c r="S53" s="22" t="s">
        <v>45</v>
      </c>
      <c r="T53" s="22" t="s">
        <v>2002</v>
      </c>
      <c r="U53" s="22" t="s">
        <v>45</v>
      </c>
      <c r="V53" s="22" t="s">
        <v>45</v>
      </c>
      <c r="W53" s="22" t="s">
        <v>4817</v>
      </c>
      <c r="X53" s="22" t="s">
        <v>3095</v>
      </c>
      <c r="Y53" s="22" t="s">
        <v>3095</v>
      </c>
      <c r="Z53" s="22" t="s">
        <v>3095</v>
      </c>
      <c r="AA53" s="22" t="s">
        <v>3095</v>
      </c>
      <c r="AB53" s="22" t="s">
        <v>3095</v>
      </c>
      <c r="AC53" s="22" t="s">
        <v>3095</v>
      </c>
      <c r="AD53" s="22" t="s">
        <v>3095</v>
      </c>
      <c r="AE53" s="22" t="s">
        <v>3095</v>
      </c>
      <c r="AF53" s="22" t="s">
        <v>3095</v>
      </c>
    </row>
    <row r="54" ht="45.0" customHeight="1">
      <c r="A54" s="55" t="s">
        <v>285</v>
      </c>
      <c r="B54" s="62" t="s">
        <v>3299</v>
      </c>
      <c r="C54" s="22" t="str">
        <f>IMAGE("https://raw.githubusercontent.com/ltdimages/images/refs/heads/main/ClothTopsYshirtLongShirtCardigan_00.png")</f>
        <v/>
      </c>
      <c r="D54" s="22" t="str">
        <f>IMAGE("https://raw.githubusercontent.com/ltdimages/images/refs/heads/main/ClothTopsYshirtLongShirtCardigan_01.png")</f>
        <v/>
      </c>
      <c r="E54" s="22" t="str">
        <f>IMAGE("https://raw.githubusercontent.com/ltdimages/images/refs/heads/main/ClothTopsYshirtLongShirtCardigan_02.png")</f>
        <v/>
      </c>
      <c r="F54" s="22" t="str">
        <f>IMAGE("https://raw.githubusercontent.com/ltdimages/images/refs/heads/main/ClothTopsYshirtLongShirtCardigan_03.png")</f>
        <v/>
      </c>
      <c r="G54" s="22" t="str">
        <f>IMAGE("https://raw.githubusercontent.com/ltdimages/images/refs/heads/main/ClothTopsYshirtLongShirtCardigan_04.png")</f>
        <v/>
      </c>
      <c r="H54" s="22" t="str">
        <f>IMAGE("https://raw.githubusercontent.com/ltdimages/images/refs/heads/main/ClothTopsYshirtLongShirtCardigan_05.png")</f>
        <v/>
      </c>
      <c r="I54" s="22" t="str">
        <f>IMAGE("https://raw.githubusercontent.com/ltdimages/images/refs/heads/main/ClothTopsYshirtLongShirtCardigan_06.png")</f>
        <v/>
      </c>
      <c r="J54" s="22" t="str">
        <f>IMAGE("https://raw.githubusercontent.com/ltdimages/images/refs/heads/main/ClothTopsYshirtLongShirtCardigan_07.png")</f>
        <v/>
      </c>
      <c r="K54" s="63" t="s">
        <v>3103</v>
      </c>
      <c r="L54" s="23">
        <v>13.5</v>
      </c>
      <c r="M54" s="22" t="s">
        <v>3097</v>
      </c>
      <c r="N54" s="22" t="s">
        <v>3099</v>
      </c>
      <c r="O54" s="22" t="s">
        <v>45</v>
      </c>
      <c r="P54" s="22" t="s">
        <v>45</v>
      </c>
      <c r="Q54" s="22" t="s">
        <v>45</v>
      </c>
      <c r="R54" s="22" t="s">
        <v>45</v>
      </c>
      <c r="S54" s="22" t="s">
        <v>45</v>
      </c>
      <c r="T54" s="22" t="s">
        <v>2002</v>
      </c>
      <c r="U54" s="22" t="s">
        <v>45</v>
      </c>
      <c r="V54" s="22" t="s">
        <v>45</v>
      </c>
      <c r="W54" s="22" t="s">
        <v>4818</v>
      </c>
      <c r="X54" s="22" t="s">
        <v>3095</v>
      </c>
      <c r="Y54" s="22" t="s">
        <v>3095</v>
      </c>
      <c r="Z54" s="22" t="s">
        <v>3095</v>
      </c>
      <c r="AA54" s="22" t="s">
        <v>3095</v>
      </c>
      <c r="AB54" s="22" t="s">
        <v>3095</v>
      </c>
      <c r="AC54" s="22" t="s">
        <v>3095</v>
      </c>
      <c r="AD54" s="22" t="s">
        <v>3095</v>
      </c>
      <c r="AE54" s="22" t="s">
        <v>3095</v>
      </c>
      <c r="AF54" s="22" t="s">
        <v>3095</v>
      </c>
    </row>
    <row r="55" ht="45.0" customHeight="1">
      <c r="A55" s="55" t="s">
        <v>289</v>
      </c>
      <c r="B55" s="62" t="s">
        <v>4379</v>
      </c>
      <c r="C55" s="22" t="str">
        <f>IMAGE("https://raw.githubusercontent.com/ltdimages/images/refs/heads/main/ClothTopsYshirtLongShirtKnit_00.png")</f>
        <v/>
      </c>
      <c r="D55" s="22" t="str">
        <f>IMAGE("https://raw.githubusercontent.com/ltdimages/images/refs/heads/main/ClothTopsYshirtLongShirtKnit_01.png")</f>
        <v/>
      </c>
      <c r="E55" s="22" t="str">
        <f>IMAGE("https://raw.githubusercontent.com/ltdimages/images/refs/heads/main/ClothTopsYshirtLongShirtKnit_02.png")</f>
        <v/>
      </c>
      <c r="F55" s="22" t="str">
        <f>IMAGE("https://raw.githubusercontent.com/ltdimages/images/refs/heads/main/ClothTopsYshirtLongShirtKnit_03.png")</f>
        <v/>
      </c>
      <c r="G55" s="22" t="str">
        <f>IMAGE("https://raw.githubusercontent.com/ltdimages/images/refs/heads/main/ClothTopsYshirtLongShirtKnit_04.png")</f>
        <v/>
      </c>
      <c r="H55" s="22" t="str">
        <f>IMAGE("https://raw.githubusercontent.com/ltdimages/images/refs/heads/main/ClothTopsYshirtLongShirtKnit_05.png")</f>
        <v/>
      </c>
      <c r="I55" s="22" t="str">
        <f>IMAGE("https://raw.githubusercontent.com/ltdimages/images/refs/heads/main/ClothTopsYshirtLongShirtKnit_06.png")</f>
        <v/>
      </c>
      <c r="J55" s="22" t="str">
        <f>IMAGE("https://raw.githubusercontent.com/ltdimages/images/refs/heads/main/ClothTopsYshirtLongShirtKnit_07.png")</f>
        <v/>
      </c>
      <c r="K55" s="63" t="s">
        <v>3103</v>
      </c>
      <c r="L55" s="23">
        <v>13.5</v>
      </c>
      <c r="M55" s="22" t="s">
        <v>3097</v>
      </c>
      <c r="N55" s="22" t="s">
        <v>3099</v>
      </c>
      <c r="O55" s="22" t="s">
        <v>45</v>
      </c>
      <c r="P55" s="22" t="s">
        <v>45</v>
      </c>
      <c r="Q55" s="22" t="s">
        <v>45</v>
      </c>
      <c r="R55" s="22" t="s">
        <v>45</v>
      </c>
      <c r="S55" s="22" t="s">
        <v>45</v>
      </c>
      <c r="T55" s="22" t="s">
        <v>2002</v>
      </c>
      <c r="U55" s="22" t="s">
        <v>45</v>
      </c>
      <c r="V55" s="22" t="s">
        <v>45</v>
      </c>
      <c r="W55" s="22" t="s">
        <v>4819</v>
      </c>
      <c r="X55" s="22" t="s">
        <v>3095</v>
      </c>
      <c r="Y55" s="22" t="s">
        <v>3095</v>
      </c>
      <c r="Z55" s="22" t="s">
        <v>3095</v>
      </c>
      <c r="AA55" s="22" t="s">
        <v>3095</v>
      </c>
      <c r="AB55" s="22" t="s">
        <v>3095</v>
      </c>
      <c r="AC55" s="22" t="s">
        <v>3095</v>
      </c>
      <c r="AD55" s="22" t="s">
        <v>3095</v>
      </c>
      <c r="AE55" s="22" t="s">
        <v>3095</v>
      </c>
      <c r="AF55" s="22" t="s">
        <v>3095</v>
      </c>
    </row>
    <row r="56" ht="45.0" customHeight="1">
      <c r="A56" s="55" t="s">
        <v>293</v>
      </c>
      <c r="B56" s="62" t="s">
        <v>3533</v>
      </c>
      <c r="C56" s="22" t="str">
        <f>IMAGE("https://raw.githubusercontent.com/ltdimages/images/refs/heads/main/ClothTopsYshirtLongGilet_00.png")</f>
        <v/>
      </c>
      <c r="D56" s="22" t="str">
        <f>IMAGE("https://raw.githubusercontent.com/ltdimages/images/refs/heads/main/ClothTopsYshirtLongGilet_01.png")</f>
        <v/>
      </c>
      <c r="E56" s="22" t="str">
        <f>IMAGE("https://raw.githubusercontent.com/ltdimages/images/refs/heads/main/ClothTopsYshirtLongGilet_02.png")</f>
        <v/>
      </c>
      <c r="F56" s="22" t="str">
        <f>IMAGE("https://raw.githubusercontent.com/ltdimages/images/refs/heads/main/ClothTopsYshirtLongGilet_03.png")</f>
        <v/>
      </c>
      <c r="G56" s="22" t="str">
        <f>IMAGE("https://raw.githubusercontent.com/ltdimages/images/refs/heads/main/ClothTopsYshirtLongGilet_04.png")</f>
        <v/>
      </c>
      <c r="H56" s="22" t="s">
        <v>3095</v>
      </c>
      <c r="I56" s="22" t="s">
        <v>3095</v>
      </c>
      <c r="J56" s="22" t="s">
        <v>3095</v>
      </c>
      <c r="K56" s="63" t="s">
        <v>3103</v>
      </c>
      <c r="L56" s="23">
        <v>16.0</v>
      </c>
      <c r="M56" s="22" t="s">
        <v>3097</v>
      </c>
      <c r="N56" s="22" t="s">
        <v>3099</v>
      </c>
      <c r="O56" s="22" t="s">
        <v>45</v>
      </c>
      <c r="P56" s="22" t="s">
        <v>45</v>
      </c>
      <c r="Q56" s="22" t="s">
        <v>45</v>
      </c>
      <c r="R56" s="22" t="s">
        <v>45</v>
      </c>
      <c r="S56" s="22" t="s">
        <v>45</v>
      </c>
      <c r="T56" s="22" t="s">
        <v>2002</v>
      </c>
      <c r="U56" s="22" t="s">
        <v>45</v>
      </c>
      <c r="V56" s="22" t="s">
        <v>45</v>
      </c>
      <c r="W56" s="22" t="s">
        <v>4820</v>
      </c>
      <c r="X56" s="22" t="s">
        <v>3095</v>
      </c>
      <c r="Y56" s="22" t="s">
        <v>3095</v>
      </c>
      <c r="Z56" s="22" t="s">
        <v>3095</v>
      </c>
      <c r="AA56" s="22" t="s">
        <v>3095</v>
      </c>
      <c r="AB56" s="22" t="s">
        <v>3095</v>
      </c>
      <c r="AC56" s="22" t="s">
        <v>3095</v>
      </c>
      <c r="AD56" s="22" t="s">
        <v>3095</v>
      </c>
      <c r="AE56" s="22" t="s">
        <v>3095</v>
      </c>
      <c r="AF56" s="22" t="s">
        <v>3095</v>
      </c>
    </row>
    <row r="57" ht="45.0" customHeight="1">
      <c r="A57" s="55" t="s">
        <v>297</v>
      </c>
      <c r="B57" s="62" t="s">
        <v>4385</v>
      </c>
      <c r="C57" s="22" t="str">
        <f>IMAGE("https://raw.githubusercontent.com/ltdimages/images/refs/heads/main/ClothTopsCoatLongDuffle_00.png")</f>
        <v/>
      </c>
      <c r="D57" s="22" t="str">
        <f>IMAGE("https://raw.githubusercontent.com/ltdimages/images/refs/heads/main/ClothTopsCoatLongDuffle_01.png")</f>
        <v/>
      </c>
      <c r="E57" s="22" t="str">
        <f>IMAGE("https://raw.githubusercontent.com/ltdimages/images/refs/heads/main/ClothTopsCoatLongDuffle_02.png")</f>
        <v/>
      </c>
      <c r="F57" s="22" t="str">
        <f>IMAGE("https://raw.githubusercontent.com/ltdimages/images/refs/heads/main/ClothTopsCoatLongDuffle_03.png")</f>
        <v/>
      </c>
      <c r="G57" s="22" t="str">
        <f>IMAGE("https://raw.githubusercontent.com/ltdimages/images/refs/heads/main/ClothTopsCoatLongDuffle_04.png")</f>
        <v/>
      </c>
      <c r="H57" s="22" t="str">
        <f>IMAGE("https://raw.githubusercontent.com/ltdimages/images/refs/heads/main/ClothTopsCoatLongDuffle_05.png")</f>
        <v/>
      </c>
      <c r="I57" s="22" t="s">
        <v>3095</v>
      </c>
      <c r="J57" s="22" t="s">
        <v>3095</v>
      </c>
      <c r="K57" s="63" t="s">
        <v>3103</v>
      </c>
      <c r="L57" s="23">
        <v>18.0</v>
      </c>
      <c r="M57" s="22" t="s">
        <v>3097</v>
      </c>
      <c r="N57" s="22" t="s">
        <v>3114</v>
      </c>
      <c r="O57" s="22" t="s">
        <v>45</v>
      </c>
      <c r="P57" s="22" t="s">
        <v>45</v>
      </c>
      <c r="Q57" s="22" t="s">
        <v>45</v>
      </c>
      <c r="R57" s="22" t="s">
        <v>45</v>
      </c>
      <c r="S57" s="22" t="s">
        <v>45</v>
      </c>
      <c r="T57" s="22" t="s">
        <v>2002</v>
      </c>
      <c r="U57" s="22" t="s">
        <v>45</v>
      </c>
      <c r="V57" s="22" t="s">
        <v>45</v>
      </c>
      <c r="W57" s="22" t="s">
        <v>4821</v>
      </c>
      <c r="X57" s="22" t="s">
        <v>3095</v>
      </c>
      <c r="Y57" s="22" t="s">
        <v>3095</v>
      </c>
      <c r="Z57" s="22" t="s">
        <v>3095</v>
      </c>
      <c r="AA57" s="22" t="s">
        <v>3095</v>
      </c>
      <c r="AB57" s="22" t="s">
        <v>3095</v>
      </c>
      <c r="AC57" s="22" t="s">
        <v>3095</v>
      </c>
      <c r="AD57" s="22" t="s">
        <v>3095</v>
      </c>
      <c r="AE57" s="22" t="s">
        <v>3095</v>
      </c>
      <c r="AF57" s="22" t="s">
        <v>3095</v>
      </c>
    </row>
    <row r="58" ht="45.0" customHeight="1">
      <c r="A58" s="55" t="s">
        <v>301</v>
      </c>
      <c r="B58" s="62" t="s">
        <v>4822</v>
      </c>
      <c r="C58" s="22" t="str">
        <f>IMAGE("https://raw.githubusercontent.com/ltdimages/images/refs/heads/main/ClothTopsTshirtLongPeasant_00.png")</f>
        <v/>
      </c>
      <c r="D58" s="22" t="str">
        <f>IMAGE("https://raw.githubusercontent.com/ltdimages/images/refs/heads/main/ClothTopsTshirtLongPeasant_01.png")</f>
        <v/>
      </c>
      <c r="E58" s="22" t="str">
        <f>IMAGE("https://raw.githubusercontent.com/ltdimages/images/refs/heads/main/ClothTopsTshirtLongPeasant_02.png")</f>
        <v/>
      </c>
      <c r="F58" s="22" t="str">
        <f>IMAGE("https://raw.githubusercontent.com/ltdimages/images/refs/heads/main/ClothTopsTshirtLongPeasant_03.png")</f>
        <v/>
      </c>
      <c r="G58" s="22" t="str">
        <f>IMAGE("https://raw.githubusercontent.com/ltdimages/images/refs/heads/main/ClothTopsTshirtLongPeasant_04.png")</f>
        <v/>
      </c>
      <c r="H58" s="22" t="str">
        <f>IMAGE("https://raw.githubusercontent.com/ltdimages/images/refs/heads/main/ClothTopsTshirtLongPeasant_05.png")</f>
        <v/>
      </c>
      <c r="I58" s="22" t="str">
        <f>IMAGE("https://raw.githubusercontent.com/ltdimages/images/refs/heads/main/ClothTopsTshirtLongPeasant_06.png")</f>
        <v/>
      </c>
      <c r="J58" s="22" t="str">
        <f>IMAGE("https://raw.githubusercontent.com/ltdimages/images/refs/heads/main/ClothTopsTshirtLongPeasant_07.png")</f>
        <v/>
      </c>
      <c r="K58" s="63" t="s">
        <v>3103</v>
      </c>
      <c r="L58" s="23">
        <v>13.0</v>
      </c>
      <c r="M58" s="22" t="s">
        <v>3097</v>
      </c>
      <c r="N58" s="22" t="s">
        <v>3099</v>
      </c>
      <c r="O58" s="22" t="s">
        <v>45</v>
      </c>
      <c r="P58" s="22" t="s">
        <v>45</v>
      </c>
      <c r="Q58" s="22" t="s">
        <v>45</v>
      </c>
      <c r="R58" s="22" t="s">
        <v>45</v>
      </c>
      <c r="S58" s="22" t="s">
        <v>45</v>
      </c>
      <c r="T58" s="22" t="s">
        <v>2002</v>
      </c>
      <c r="U58" s="22" t="s">
        <v>45</v>
      </c>
      <c r="V58" s="22" t="s">
        <v>45</v>
      </c>
      <c r="W58" s="22" t="s">
        <v>4823</v>
      </c>
      <c r="X58" s="22" t="s">
        <v>3095</v>
      </c>
      <c r="Y58" s="22" t="s">
        <v>3095</v>
      </c>
      <c r="Z58" s="22" t="s">
        <v>3095</v>
      </c>
      <c r="AA58" s="22" t="s">
        <v>3095</v>
      </c>
      <c r="AB58" s="22" t="s">
        <v>3095</v>
      </c>
      <c r="AC58" s="22" t="s">
        <v>3095</v>
      </c>
      <c r="AD58" s="22" t="s">
        <v>3095</v>
      </c>
      <c r="AE58" s="22" t="s">
        <v>3095</v>
      </c>
      <c r="AF58" s="22" t="s">
        <v>3095</v>
      </c>
    </row>
    <row r="59" ht="45.0" customHeight="1">
      <c r="A59" s="55" t="s">
        <v>305</v>
      </c>
      <c r="B59" s="62" t="s">
        <v>4824</v>
      </c>
      <c r="C59" s="22" t="str">
        <f>IMAGE("https://raw.githubusercontent.com/ltdimages/images/refs/heads/main/ClothTopsTshirtSleevelessTraining_00.png")</f>
        <v/>
      </c>
      <c r="D59" s="22" t="str">
        <f>IMAGE("https://raw.githubusercontent.com/ltdimages/images/refs/heads/main/ClothTopsTshirtSleevelessTraining_01.png")</f>
        <v/>
      </c>
      <c r="E59" s="22" t="str">
        <f>IMAGE("https://raw.githubusercontent.com/ltdimages/images/refs/heads/main/ClothTopsTshirtSleevelessTraining_02.png")</f>
        <v/>
      </c>
      <c r="F59" s="22" t="str">
        <f>IMAGE("https://raw.githubusercontent.com/ltdimages/images/refs/heads/main/ClothTopsTshirtSleevelessTraining_03.png")</f>
        <v/>
      </c>
      <c r="G59" s="22" t="str">
        <f>IMAGE("https://raw.githubusercontent.com/ltdimages/images/refs/heads/main/ClothTopsTshirtSleevelessTraining_04.png")</f>
        <v/>
      </c>
      <c r="H59" s="22" t="str">
        <f>IMAGE("https://raw.githubusercontent.com/ltdimages/images/refs/heads/main/ClothTopsTshirtSleevelessTraining_05.png")</f>
        <v/>
      </c>
      <c r="I59" s="22" t="str">
        <f>IMAGE("https://raw.githubusercontent.com/ltdimages/images/refs/heads/main/ClothTopsTshirtSleevelessTraining_06.png")</f>
        <v/>
      </c>
      <c r="J59" s="22" t="str">
        <f>IMAGE("https://raw.githubusercontent.com/ltdimages/images/refs/heads/main/ClothTopsTshirtSleevelessTraining_07.png")</f>
        <v/>
      </c>
      <c r="K59" s="63" t="s">
        <v>3103</v>
      </c>
      <c r="L59" s="23">
        <v>11.0</v>
      </c>
      <c r="M59" s="22" t="s">
        <v>3097</v>
      </c>
      <c r="N59" s="22" t="s">
        <v>3123</v>
      </c>
      <c r="O59" s="22" t="s">
        <v>45</v>
      </c>
      <c r="P59" s="22" t="s">
        <v>45</v>
      </c>
      <c r="Q59" s="22" t="s">
        <v>45</v>
      </c>
      <c r="R59" s="22" t="s">
        <v>45</v>
      </c>
      <c r="S59" s="22" t="s">
        <v>45</v>
      </c>
      <c r="T59" s="22" t="s">
        <v>2002</v>
      </c>
      <c r="U59" s="22" t="s">
        <v>45</v>
      </c>
      <c r="V59" s="22" t="s">
        <v>45</v>
      </c>
      <c r="W59" s="22" t="s">
        <v>4825</v>
      </c>
      <c r="X59" s="22" t="s">
        <v>3095</v>
      </c>
      <c r="Y59" s="22" t="s">
        <v>3095</v>
      </c>
      <c r="Z59" s="22" t="s">
        <v>3095</v>
      </c>
      <c r="AA59" s="22" t="s">
        <v>3095</v>
      </c>
      <c r="AB59" s="22" t="s">
        <v>3095</v>
      </c>
      <c r="AC59" s="22" t="s">
        <v>3095</v>
      </c>
      <c r="AD59" s="22" t="s">
        <v>3095</v>
      </c>
      <c r="AE59" s="22" t="s">
        <v>3095</v>
      </c>
      <c r="AF59" s="22" t="s">
        <v>3095</v>
      </c>
    </row>
    <row r="60" ht="45.0" customHeight="1">
      <c r="A60" s="55" t="s">
        <v>309</v>
      </c>
      <c r="B60" s="62" t="s">
        <v>4826</v>
      </c>
      <c r="C60" s="22" t="str">
        <f>IMAGE("https://raw.githubusercontent.com/ltdimages/images/refs/heads/main/ClothTopsTshirtHalfFestival_00.png")</f>
        <v/>
      </c>
      <c r="D60" s="22" t="str">
        <f>IMAGE("https://raw.githubusercontent.com/ltdimages/images/refs/heads/main/ClothTopsTshirtHalfFestival_01.png")</f>
        <v/>
      </c>
      <c r="E60" s="22" t="str">
        <f>IMAGE("https://raw.githubusercontent.com/ltdimages/images/refs/heads/main/ClothTopsTshirtHalfFestival_02.png")</f>
        <v/>
      </c>
      <c r="F60" s="22" t="str">
        <f>IMAGE("https://raw.githubusercontent.com/ltdimages/images/refs/heads/main/ClothTopsTshirtHalfFestival_03.png")</f>
        <v/>
      </c>
      <c r="G60" s="22" t="str">
        <f>IMAGE("https://raw.githubusercontent.com/ltdimages/images/refs/heads/main/ClothTopsTshirtHalfFestival_04.png")</f>
        <v/>
      </c>
      <c r="H60" s="22" t="str">
        <f>IMAGE("https://raw.githubusercontent.com/ltdimages/images/refs/heads/main/ClothTopsTshirtHalfFestival_05.png")</f>
        <v/>
      </c>
      <c r="I60" s="22" t="s">
        <v>3095</v>
      </c>
      <c r="J60" s="22" t="s">
        <v>3095</v>
      </c>
      <c r="K60" s="63" t="s">
        <v>3103</v>
      </c>
      <c r="L60" s="23">
        <v>13.4</v>
      </c>
      <c r="M60" s="22" t="s">
        <v>3097</v>
      </c>
      <c r="N60" s="22" t="s">
        <v>3123</v>
      </c>
      <c r="O60" s="22" t="s">
        <v>45</v>
      </c>
      <c r="P60" s="22" t="s">
        <v>45</v>
      </c>
      <c r="Q60" s="22" t="s">
        <v>45</v>
      </c>
      <c r="R60" s="22" t="s">
        <v>45</v>
      </c>
      <c r="S60" s="22" t="s">
        <v>45</v>
      </c>
      <c r="T60" s="22" t="s">
        <v>2002</v>
      </c>
      <c r="U60" s="22" t="s">
        <v>45</v>
      </c>
      <c r="V60" s="22" t="s">
        <v>45</v>
      </c>
      <c r="W60" s="22" t="s">
        <v>4827</v>
      </c>
      <c r="X60" s="22" t="s">
        <v>3095</v>
      </c>
      <c r="Y60" s="22" t="s">
        <v>3095</v>
      </c>
      <c r="Z60" s="22" t="s">
        <v>3095</v>
      </c>
      <c r="AA60" s="22" t="s">
        <v>3095</v>
      </c>
      <c r="AB60" s="22" t="s">
        <v>3095</v>
      </c>
      <c r="AC60" s="22" t="s">
        <v>3095</v>
      </c>
      <c r="AD60" s="22" t="s">
        <v>3095</v>
      </c>
      <c r="AE60" s="22" t="s">
        <v>3095</v>
      </c>
      <c r="AF60" s="22" t="s">
        <v>3095</v>
      </c>
    </row>
    <row r="61" ht="45.0" customHeight="1">
      <c r="A61" s="55" t="s">
        <v>313</v>
      </c>
      <c r="B61" s="62" t="s">
        <v>3490</v>
      </c>
      <c r="C61" s="22" t="str">
        <f>IMAGE("https://raw.githubusercontent.com/ltdimages/images/refs/heads/main/ClothTopsTshirtLongFigure_00.png")</f>
        <v/>
      </c>
      <c r="D61" s="22" t="str">
        <f>IMAGE("https://raw.githubusercontent.com/ltdimages/images/refs/heads/main/ClothTopsTshirtLongFigure_01.png")</f>
        <v/>
      </c>
      <c r="E61" s="22" t="str">
        <f>IMAGE("https://raw.githubusercontent.com/ltdimages/images/refs/heads/main/ClothTopsTshirtLongFigure_02.png")</f>
        <v/>
      </c>
      <c r="F61" s="22" t="str">
        <f>IMAGE("https://raw.githubusercontent.com/ltdimages/images/refs/heads/main/ClothTopsTshirtLongFigure_03.png")</f>
        <v/>
      </c>
      <c r="G61" s="22" t="str">
        <f>IMAGE("https://raw.githubusercontent.com/ltdimages/images/refs/heads/main/ClothTopsTshirtLongFigure_04.png")</f>
        <v/>
      </c>
      <c r="H61" s="22" t="str">
        <f>IMAGE("https://raw.githubusercontent.com/ltdimages/images/refs/heads/main/ClothTopsTshirtLongFigure_05.png")</f>
        <v/>
      </c>
      <c r="I61" s="22" t="str">
        <f>IMAGE("https://raw.githubusercontent.com/ltdimages/images/refs/heads/main/ClothTopsTshirtLongFigure_06.png")</f>
        <v/>
      </c>
      <c r="J61" s="22" t="str">
        <f>IMAGE("https://raw.githubusercontent.com/ltdimages/images/refs/heads/main/ClothTopsTshirtLongFigure_07.png")</f>
        <v/>
      </c>
      <c r="K61" s="63" t="s">
        <v>3103</v>
      </c>
      <c r="L61" s="23">
        <v>25.0</v>
      </c>
      <c r="M61" s="22" t="s">
        <v>3097</v>
      </c>
      <c r="N61" s="22" t="s">
        <v>3114</v>
      </c>
      <c r="O61" s="22" t="s">
        <v>45</v>
      </c>
      <c r="P61" s="22" t="s">
        <v>45</v>
      </c>
      <c r="Q61" s="22" t="s">
        <v>45</v>
      </c>
      <c r="R61" s="22" t="s">
        <v>45</v>
      </c>
      <c r="S61" s="22" t="s">
        <v>45</v>
      </c>
      <c r="T61" s="22" t="s">
        <v>2002</v>
      </c>
      <c r="U61" s="22" t="s">
        <v>45</v>
      </c>
      <c r="V61" s="22" t="s">
        <v>45</v>
      </c>
      <c r="W61" s="22" t="s">
        <v>4828</v>
      </c>
      <c r="X61" s="22" t="s">
        <v>3095</v>
      </c>
      <c r="Y61" s="22" t="s">
        <v>3095</v>
      </c>
      <c r="Z61" s="22" t="s">
        <v>3095</v>
      </c>
      <c r="AA61" s="22" t="s">
        <v>3095</v>
      </c>
      <c r="AB61" s="22" t="s">
        <v>3095</v>
      </c>
      <c r="AC61" s="22" t="s">
        <v>3095</v>
      </c>
      <c r="AD61" s="22" t="s">
        <v>3095</v>
      </c>
      <c r="AE61" s="22" t="s">
        <v>3095</v>
      </c>
      <c r="AF61" s="22" t="s">
        <v>3095</v>
      </c>
    </row>
    <row r="62" ht="45.0" customHeight="1">
      <c r="A62" s="55" t="s">
        <v>317</v>
      </c>
      <c r="B62" s="62" t="s">
        <v>4829</v>
      </c>
      <c r="C62" s="22" t="str">
        <f>IMAGE("https://raw.githubusercontent.com/ltdimages/images/refs/heads/main/ClothTopsCoatHalfFire_00.png")</f>
        <v/>
      </c>
      <c r="D62" s="22" t="str">
        <f>IMAGE("https://raw.githubusercontent.com/ltdimages/images/refs/heads/main/ClothTopsCoatHalfFire_01.png")</f>
        <v/>
      </c>
      <c r="E62" s="22" t="str">
        <f>IMAGE("https://raw.githubusercontent.com/ltdimages/images/refs/heads/main/ClothTopsCoatHalfFire_02.png")</f>
        <v/>
      </c>
      <c r="F62" s="22" t="str">
        <f>IMAGE("https://raw.githubusercontent.com/ltdimages/images/refs/heads/main/ClothTopsCoatHalfFire_03.png")</f>
        <v/>
      </c>
      <c r="G62" s="22" t="str">
        <f>IMAGE("https://raw.githubusercontent.com/ltdimages/images/refs/heads/main/ClothTopsCoatHalfFire_04.png")</f>
        <v/>
      </c>
      <c r="H62" s="22" t="str">
        <f>IMAGE("https://raw.githubusercontent.com/ltdimages/images/refs/heads/main/ClothTopsCoatHalfFire_05.png")</f>
        <v/>
      </c>
      <c r="I62" s="22" t="s">
        <v>3095</v>
      </c>
      <c r="J62" s="22" t="s">
        <v>3095</v>
      </c>
      <c r="K62" s="63" t="s">
        <v>3103</v>
      </c>
      <c r="L62" s="23">
        <v>14.6</v>
      </c>
      <c r="M62" s="22" t="s">
        <v>3097</v>
      </c>
      <c r="N62" s="22" t="s">
        <v>3099</v>
      </c>
      <c r="O62" s="22" t="s">
        <v>45</v>
      </c>
      <c r="P62" s="22" t="s">
        <v>45</v>
      </c>
      <c r="Q62" s="22" t="s">
        <v>45</v>
      </c>
      <c r="R62" s="22" t="s">
        <v>45</v>
      </c>
      <c r="S62" s="22" t="s">
        <v>45</v>
      </c>
      <c r="T62" s="22" t="s">
        <v>2002</v>
      </c>
      <c r="U62" s="22" t="s">
        <v>45</v>
      </c>
      <c r="V62" s="22" t="s">
        <v>45</v>
      </c>
      <c r="W62" s="22" t="s">
        <v>4830</v>
      </c>
      <c r="X62" s="22" t="s">
        <v>3095</v>
      </c>
      <c r="Y62" s="22" t="s">
        <v>3095</v>
      </c>
      <c r="Z62" s="22" t="s">
        <v>3095</v>
      </c>
      <c r="AA62" s="22" t="s">
        <v>3095</v>
      </c>
      <c r="AB62" s="22" t="s">
        <v>3095</v>
      </c>
      <c r="AC62" s="22" t="s">
        <v>3095</v>
      </c>
      <c r="AD62" s="22" t="s">
        <v>3095</v>
      </c>
      <c r="AE62" s="22" t="s">
        <v>3095</v>
      </c>
      <c r="AF62" s="22" t="s">
        <v>3095</v>
      </c>
    </row>
    <row r="63" ht="45.0" customHeight="1">
      <c r="A63" s="55" t="s">
        <v>321</v>
      </c>
      <c r="B63" s="62" t="s">
        <v>3505</v>
      </c>
      <c r="C63" s="22" t="str">
        <f>IMAGE("https://raw.githubusercontent.com/ltdimages/images/refs/heads/main/ClothTopsYshirtLongFlannel_00.png")</f>
        <v/>
      </c>
      <c r="D63" s="22" t="str">
        <f>IMAGE("https://raw.githubusercontent.com/ltdimages/images/refs/heads/main/ClothTopsYshirtLongFlannel_01.png")</f>
        <v/>
      </c>
      <c r="E63" s="22" t="str">
        <f>IMAGE("https://raw.githubusercontent.com/ltdimages/images/refs/heads/main/ClothTopsYshirtLongFlannel_02.png")</f>
        <v/>
      </c>
      <c r="F63" s="22" t="str">
        <f>IMAGE("https://raw.githubusercontent.com/ltdimages/images/refs/heads/main/ClothTopsYshirtLongFlannel_03.png")</f>
        <v/>
      </c>
      <c r="G63" s="22" t="str">
        <f>IMAGE("https://raw.githubusercontent.com/ltdimages/images/refs/heads/main/ClothTopsYshirtLongFlannel_04.png")</f>
        <v/>
      </c>
      <c r="H63" s="22" t="str">
        <f>IMAGE("https://raw.githubusercontent.com/ltdimages/images/refs/heads/main/ClothTopsYshirtLongFlannel_05.png")</f>
        <v/>
      </c>
      <c r="I63" s="22" t="s">
        <v>3095</v>
      </c>
      <c r="J63" s="22" t="s">
        <v>3095</v>
      </c>
      <c r="K63" s="63" t="s">
        <v>3103</v>
      </c>
      <c r="L63" s="23">
        <v>11.4</v>
      </c>
      <c r="M63" s="22" t="s">
        <v>3097</v>
      </c>
      <c r="N63" s="22" t="s">
        <v>3099</v>
      </c>
      <c r="O63" s="22" t="s">
        <v>45</v>
      </c>
      <c r="P63" s="22" t="s">
        <v>45</v>
      </c>
      <c r="Q63" s="22" t="s">
        <v>45</v>
      </c>
      <c r="R63" s="22" t="s">
        <v>45</v>
      </c>
      <c r="S63" s="22" t="s">
        <v>45</v>
      </c>
      <c r="T63" s="22" t="s">
        <v>2002</v>
      </c>
      <c r="U63" s="22" t="s">
        <v>45</v>
      </c>
      <c r="V63" s="22" t="s">
        <v>45</v>
      </c>
      <c r="W63" s="22" t="s">
        <v>4831</v>
      </c>
      <c r="X63" s="22" t="s">
        <v>3095</v>
      </c>
      <c r="Y63" s="22" t="s">
        <v>3095</v>
      </c>
      <c r="Z63" s="22" t="s">
        <v>3095</v>
      </c>
      <c r="AA63" s="22" t="s">
        <v>3095</v>
      </c>
      <c r="AB63" s="22" t="s">
        <v>3095</v>
      </c>
      <c r="AC63" s="22" t="s">
        <v>3095</v>
      </c>
      <c r="AD63" s="22" t="s">
        <v>3095</v>
      </c>
      <c r="AE63" s="22" t="s">
        <v>3095</v>
      </c>
      <c r="AF63" s="22" t="s">
        <v>3095</v>
      </c>
    </row>
    <row r="64" ht="45.0" customHeight="1">
      <c r="A64" s="55" t="s">
        <v>325</v>
      </c>
      <c r="B64" s="62" t="s">
        <v>4421</v>
      </c>
      <c r="C64" s="22" t="str">
        <f>IMAGE("https://raw.githubusercontent.com/ltdimages/images/refs/heads/main/ClothTopsOuterLongFlower_00.png")</f>
        <v/>
      </c>
      <c r="D64" s="22" t="str">
        <f>IMAGE("https://raw.githubusercontent.com/ltdimages/images/refs/heads/main/ClothTopsOuterLongFlower_01.png")</f>
        <v/>
      </c>
      <c r="E64" s="22" t="str">
        <f>IMAGE("https://raw.githubusercontent.com/ltdimages/images/refs/heads/main/ClothTopsOuterLongFlower_02.png")</f>
        <v/>
      </c>
      <c r="F64" s="22" t="str">
        <f>IMAGE("https://raw.githubusercontent.com/ltdimages/images/refs/heads/main/ClothTopsOuterLongFlower_03.png")</f>
        <v/>
      </c>
      <c r="G64" s="22" t="str">
        <f>IMAGE("https://raw.githubusercontent.com/ltdimages/images/refs/heads/main/ClothTopsOuterLongFlower_04.png")</f>
        <v/>
      </c>
      <c r="H64" s="22" t="str">
        <f>IMAGE("https://raw.githubusercontent.com/ltdimages/images/refs/heads/main/ClothTopsOuterLongFlower_05.png")</f>
        <v/>
      </c>
      <c r="I64" s="22" t="str">
        <f>IMAGE("https://raw.githubusercontent.com/ltdimages/images/refs/heads/main/ClothTopsOuterLongFlower_06.png")</f>
        <v/>
      </c>
      <c r="J64" s="22" t="str">
        <f>IMAGE("https://raw.githubusercontent.com/ltdimages/images/refs/heads/main/ClothTopsOuterLongFlower_07.png")</f>
        <v/>
      </c>
      <c r="K64" s="63" t="s">
        <v>3103</v>
      </c>
      <c r="L64" s="23">
        <v>11.0</v>
      </c>
      <c r="M64" s="22" t="s">
        <v>3097</v>
      </c>
      <c r="N64" s="22" t="s">
        <v>3114</v>
      </c>
      <c r="O64" s="22" t="s">
        <v>45</v>
      </c>
      <c r="P64" s="22" t="s">
        <v>45</v>
      </c>
      <c r="Q64" s="22" t="s">
        <v>45</v>
      </c>
      <c r="R64" s="22" t="s">
        <v>45</v>
      </c>
      <c r="S64" s="22" t="s">
        <v>45</v>
      </c>
      <c r="T64" s="22" t="s">
        <v>2002</v>
      </c>
      <c r="U64" s="22" t="s">
        <v>45</v>
      </c>
      <c r="V64" s="22" t="s">
        <v>45</v>
      </c>
      <c r="W64" s="22" t="s">
        <v>4832</v>
      </c>
      <c r="X64" s="22" t="s">
        <v>3095</v>
      </c>
      <c r="Y64" s="22" t="s">
        <v>3095</v>
      </c>
      <c r="Z64" s="22" t="s">
        <v>3095</v>
      </c>
      <c r="AA64" s="22" t="s">
        <v>3095</v>
      </c>
      <c r="AB64" s="22" t="s">
        <v>3095</v>
      </c>
      <c r="AC64" s="22" t="s">
        <v>3095</v>
      </c>
      <c r="AD64" s="22" t="s">
        <v>3095</v>
      </c>
      <c r="AE64" s="22" t="s">
        <v>3095</v>
      </c>
      <c r="AF64" s="22" t="s">
        <v>3095</v>
      </c>
    </row>
    <row r="65" ht="45.0" customHeight="1">
      <c r="A65" s="55" t="s">
        <v>329</v>
      </c>
      <c r="B65" s="62" t="s">
        <v>3580</v>
      </c>
      <c r="C65" s="22" t="str">
        <f>IMAGE("https://raw.githubusercontent.com/ltdimages/images/refs/heads/main/ClothTopsTshirtLongFrilled_00.png")</f>
        <v/>
      </c>
      <c r="D65" s="22" t="str">
        <f>IMAGE("https://raw.githubusercontent.com/ltdimages/images/refs/heads/main/ClothTopsTshirtLongFrilled_01.png")</f>
        <v/>
      </c>
      <c r="E65" s="22" t="str">
        <f>IMAGE("https://raw.githubusercontent.com/ltdimages/images/refs/heads/main/ClothTopsTshirtLongFrilled_02.png")</f>
        <v/>
      </c>
      <c r="F65" s="22" t="s">
        <v>3095</v>
      </c>
      <c r="G65" s="22" t="s">
        <v>3095</v>
      </c>
      <c r="H65" s="22" t="s">
        <v>3095</v>
      </c>
      <c r="I65" s="22" t="s">
        <v>3095</v>
      </c>
      <c r="J65" s="22" t="s">
        <v>3095</v>
      </c>
      <c r="K65" s="63" t="s">
        <v>3103</v>
      </c>
      <c r="L65" s="23">
        <v>12.5</v>
      </c>
      <c r="M65" s="22" t="s">
        <v>3097</v>
      </c>
      <c r="N65" s="22" t="s">
        <v>3099</v>
      </c>
      <c r="O65" s="22" t="s">
        <v>45</v>
      </c>
      <c r="P65" s="22" t="s">
        <v>45</v>
      </c>
      <c r="Q65" s="22" t="s">
        <v>45</v>
      </c>
      <c r="R65" s="22" t="s">
        <v>45</v>
      </c>
      <c r="S65" s="22" t="s">
        <v>45</v>
      </c>
      <c r="T65" s="22" t="s">
        <v>2002</v>
      </c>
      <c r="U65" s="22" t="s">
        <v>45</v>
      </c>
      <c r="V65" s="22" t="s">
        <v>45</v>
      </c>
      <c r="W65" s="22" t="s">
        <v>4833</v>
      </c>
      <c r="X65" s="22" t="s">
        <v>3095</v>
      </c>
      <c r="Y65" s="22" t="s">
        <v>3095</v>
      </c>
      <c r="Z65" s="22" t="s">
        <v>3095</v>
      </c>
      <c r="AA65" s="22" t="s">
        <v>3095</v>
      </c>
      <c r="AB65" s="22" t="s">
        <v>3095</v>
      </c>
      <c r="AC65" s="22" t="s">
        <v>3095</v>
      </c>
      <c r="AD65" s="22" t="s">
        <v>3095</v>
      </c>
      <c r="AE65" s="22" t="s">
        <v>3095</v>
      </c>
      <c r="AF65" s="22" t="s">
        <v>3095</v>
      </c>
    </row>
    <row r="66" ht="45.0" customHeight="1">
      <c r="A66" s="55" t="s">
        <v>333</v>
      </c>
      <c r="B66" s="62" t="s">
        <v>3542</v>
      </c>
      <c r="C66" s="22" t="str">
        <f>IMAGE("https://raw.githubusercontent.com/ltdimages/images/refs/heads/main/ClothTopsTshirtHalfFruits_00.png")</f>
        <v/>
      </c>
      <c r="D66" s="22" t="str">
        <f>IMAGE("https://raw.githubusercontent.com/ltdimages/images/refs/heads/main/ClothTopsTshirtHalfFruits_01.png")</f>
        <v/>
      </c>
      <c r="E66" s="22" t="str">
        <f>IMAGE("https://raw.githubusercontent.com/ltdimages/images/refs/heads/main/ClothTopsTshirtHalfFruits_02.png")</f>
        <v/>
      </c>
      <c r="F66" s="22" t="str">
        <f>IMAGE("https://raw.githubusercontent.com/ltdimages/images/refs/heads/main/ClothTopsTshirtHalfFruits_03.png")</f>
        <v/>
      </c>
      <c r="G66" s="22" t="str">
        <f>IMAGE("https://raw.githubusercontent.com/ltdimages/images/refs/heads/main/ClothTopsTshirtHalfFruits_04.png")</f>
        <v/>
      </c>
      <c r="H66" s="22" t="str">
        <f>IMAGE("https://raw.githubusercontent.com/ltdimages/images/refs/heads/main/ClothTopsTshirtHalfFruits_05.png")</f>
        <v/>
      </c>
      <c r="I66" s="22" t="s">
        <v>3095</v>
      </c>
      <c r="J66" s="22" t="s">
        <v>3095</v>
      </c>
      <c r="K66" s="63" t="s">
        <v>3103</v>
      </c>
      <c r="L66" s="23">
        <v>12.0</v>
      </c>
      <c r="M66" s="22" t="s">
        <v>3097</v>
      </c>
      <c r="N66" s="22" t="s">
        <v>3123</v>
      </c>
      <c r="O66" s="22" t="s">
        <v>45</v>
      </c>
      <c r="P66" s="22" t="s">
        <v>45</v>
      </c>
      <c r="Q66" s="22" t="s">
        <v>45</v>
      </c>
      <c r="R66" s="22" t="s">
        <v>45</v>
      </c>
      <c r="S66" s="22" t="s">
        <v>45</v>
      </c>
      <c r="T66" s="22" t="s">
        <v>2002</v>
      </c>
      <c r="U66" s="22" t="s">
        <v>45</v>
      </c>
      <c r="V66" s="22" t="s">
        <v>45</v>
      </c>
      <c r="W66" s="22" t="s">
        <v>4834</v>
      </c>
      <c r="X66" s="22" t="s">
        <v>3095</v>
      </c>
      <c r="Y66" s="22" t="s">
        <v>3095</v>
      </c>
      <c r="Z66" s="22" t="s">
        <v>3095</v>
      </c>
      <c r="AA66" s="22" t="s">
        <v>3095</v>
      </c>
      <c r="AB66" s="22" t="s">
        <v>3095</v>
      </c>
      <c r="AC66" s="22" t="s">
        <v>3095</v>
      </c>
      <c r="AD66" s="22" t="s">
        <v>3095</v>
      </c>
      <c r="AE66" s="22" t="s">
        <v>3095</v>
      </c>
      <c r="AF66" s="22" t="s">
        <v>3095</v>
      </c>
    </row>
    <row r="67" ht="45.0" customHeight="1">
      <c r="A67" s="55" t="s">
        <v>337</v>
      </c>
      <c r="B67" s="62" t="s">
        <v>3547</v>
      </c>
      <c r="C67" s="22" t="str">
        <f>IMAGE("https://raw.githubusercontent.com/ltdimages/images/refs/heads/main/ClothTopsCoatLongFairy_00.png")</f>
        <v/>
      </c>
      <c r="D67" s="22" t="str">
        <f>IMAGE("https://raw.githubusercontent.com/ltdimages/images/refs/heads/main/ClothTopsCoatLongFairy_01.png")</f>
        <v/>
      </c>
      <c r="E67" s="22" t="str">
        <f>IMAGE("https://raw.githubusercontent.com/ltdimages/images/refs/heads/main/ClothTopsCoatLongFairy_02.png")</f>
        <v/>
      </c>
      <c r="F67" s="22" t="str">
        <f>IMAGE("https://raw.githubusercontent.com/ltdimages/images/refs/heads/main/ClothTopsCoatLongFairy_03.png")</f>
        <v/>
      </c>
      <c r="G67" s="22" t="str">
        <f>IMAGE("https://raw.githubusercontent.com/ltdimages/images/refs/heads/main/ClothTopsCoatLongFairy_04.png")</f>
        <v/>
      </c>
      <c r="H67" s="22" t="str">
        <f>IMAGE("https://raw.githubusercontent.com/ltdimages/images/refs/heads/main/ClothTopsCoatLongFairy_05.png")</f>
        <v/>
      </c>
      <c r="I67" s="22" t="str">
        <f>IMAGE("https://raw.githubusercontent.com/ltdimages/images/refs/heads/main/ClothTopsCoatLongFairy_06.png")</f>
        <v/>
      </c>
      <c r="J67" s="22" t="str">
        <f>IMAGE("https://raw.githubusercontent.com/ltdimages/images/refs/heads/main/ClothTopsCoatLongFairy_07.png")</f>
        <v/>
      </c>
      <c r="K67" s="63" t="s">
        <v>3103</v>
      </c>
      <c r="L67" s="23">
        <v>14.0</v>
      </c>
      <c r="M67" s="22" t="s">
        <v>3097</v>
      </c>
      <c r="N67" s="22" t="s">
        <v>3099</v>
      </c>
      <c r="O67" s="22" t="s">
        <v>45</v>
      </c>
      <c r="P67" s="22" t="s">
        <v>45</v>
      </c>
      <c r="Q67" s="22" t="s">
        <v>45</v>
      </c>
      <c r="R67" s="22" t="s">
        <v>49</v>
      </c>
      <c r="S67" s="22" t="s">
        <v>45</v>
      </c>
      <c r="T67" s="22" t="s">
        <v>2002</v>
      </c>
      <c r="U67" s="22" t="s">
        <v>45</v>
      </c>
      <c r="V67" s="22" t="s">
        <v>45</v>
      </c>
      <c r="W67" s="22" t="s">
        <v>4835</v>
      </c>
      <c r="X67" s="22" t="s">
        <v>3095</v>
      </c>
      <c r="Y67" s="22" t="s">
        <v>3095</v>
      </c>
      <c r="Z67" s="22" t="s">
        <v>3095</v>
      </c>
      <c r="AA67" s="22" t="s">
        <v>3095</v>
      </c>
      <c r="AB67" s="22" t="s">
        <v>3095</v>
      </c>
      <c r="AC67" s="22" t="s">
        <v>3095</v>
      </c>
      <c r="AD67" s="22" t="s">
        <v>3095</v>
      </c>
      <c r="AE67" s="22" t="s">
        <v>3095</v>
      </c>
      <c r="AF67" s="22" t="s">
        <v>3095</v>
      </c>
    </row>
    <row r="68" ht="45.0" customHeight="1">
      <c r="A68" s="55" t="s">
        <v>341</v>
      </c>
      <c r="B68" s="62" t="s">
        <v>3554</v>
      </c>
      <c r="C68" s="22" t="str">
        <f>IMAGE("https://raw.githubusercontent.com/ltdimages/images/refs/heads/main/ClothTopsYshirtLongGaudy_00.png")</f>
        <v/>
      </c>
      <c r="D68" s="22" t="str">
        <f>IMAGE("https://raw.githubusercontent.com/ltdimages/images/refs/heads/main/ClothTopsYshirtLongGaudy_01.png")</f>
        <v/>
      </c>
      <c r="E68" s="22" t="str">
        <f>IMAGE("https://raw.githubusercontent.com/ltdimages/images/refs/heads/main/ClothTopsYshirtLongGaudy_02.png")</f>
        <v/>
      </c>
      <c r="F68" s="22" t="str">
        <f>IMAGE("https://raw.githubusercontent.com/ltdimages/images/refs/heads/main/ClothTopsYshirtLongGaudy_03.png")</f>
        <v/>
      </c>
      <c r="G68" s="22" t="str">
        <f>IMAGE("https://raw.githubusercontent.com/ltdimages/images/refs/heads/main/ClothTopsYshirtLongGaudy_04.png")</f>
        <v/>
      </c>
      <c r="H68" s="22" t="str">
        <f>IMAGE("https://raw.githubusercontent.com/ltdimages/images/refs/heads/main/ClothTopsYshirtLongGaudy_05.png")</f>
        <v/>
      </c>
      <c r="I68" s="22" t="s">
        <v>3095</v>
      </c>
      <c r="J68" s="22" t="s">
        <v>3095</v>
      </c>
      <c r="K68" s="63" t="s">
        <v>3103</v>
      </c>
      <c r="L68" s="23">
        <v>16.7</v>
      </c>
      <c r="M68" s="22" t="s">
        <v>3097</v>
      </c>
      <c r="N68" s="22" t="s">
        <v>3099</v>
      </c>
      <c r="O68" s="22" t="s">
        <v>45</v>
      </c>
      <c r="P68" s="22" t="s">
        <v>45</v>
      </c>
      <c r="Q68" s="22" t="s">
        <v>45</v>
      </c>
      <c r="R68" s="22" t="s">
        <v>45</v>
      </c>
      <c r="S68" s="22" t="s">
        <v>45</v>
      </c>
      <c r="T68" s="22" t="s">
        <v>2002</v>
      </c>
      <c r="U68" s="22" t="s">
        <v>45</v>
      </c>
      <c r="V68" s="22" t="s">
        <v>45</v>
      </c>
      <c r="W68" s="22" t="s">
        <v>4836</v>
      </c>
      <c r="X68" s="22" t="s">
        <v>3095</v>
      </c>
      <c r="Y68" s="22" t="s">
        <v>3095</v>
      </c>
      <c r="Z68" s="22" t="s">
        <v>3095</v>
      </c>
      <c r="AA68" s="22" t="s">
        <v>3095</v>
      </c>
      <c r="AB68" s="22" t="s">
        <v>3095</v>
      </c>
      <c r="AC68" s="22" t="s">
        <v>3095</v>
      </c>
      <c r="AD68" s="22" t="s">
        <v>3095</v>
      </c>
      <c r="AE68" s="22" t="s">
        <v>3095</v>
      </c>
      <c r="AF68" s="22" t="s">
        <v>3095</v>
      </c>
    </row>
    <row r="69" ht="45.0" customHeight="1">
      <c r="A69" s="55" t="s">
        <v>345</v>
      </c>
      <c r="B69" s="62" t="s">
        <v>3558</v>
      </c>
      <c r="C69" s="22" t="str">
        <f>IMAGE("https://raw.githubusercontent.com/ltdimages/images/refs/heads/main/ClothTopsTshirtHalfGeometric_00.png")</f>
        <v/>
      </c>
      <c r="D69" s="22" t="str">
        <f>IMAGE("https://raw.githubusercontent.com/ltdimages/images/refs/heads/main/ClothTopsTshirtHalfGeometric_01.png")</f>
        <v/>
      </c>
      <c r="E69" s="22" t="str">
        <f>IMAGE("https://raw.githubusercontent.com/ltdimages/images/refs/heads/main/ClothTopsTshirtHalfGeometric_02.png")</f>
        <v/>
      </c>
      <c r="F69" s="22" t="str">
        <f>IMAGE("https://raw.githubusercontent.com/ltdimages/images/refs/heads/main/ClothTopsTshirtHalfGeometric_03.png")</f>
        <v/>
      </c>
      <c r="G69" s="22" t="s">
        <v>3095</v>
      </c>
      <c r="H69" s="22" t="s">
        <v>3095</v>
      </c>
      <c r="I69" s="22" t="s">
        <v>3095</v>
      </c>
      <c r="J69" s="22" t="s">
        <v>3095</v>
      </c>
      <c r="K69" s="63" t="s">
        <v>3103</v>
      </c>
      <c r="L69" s="23">
        <v>12.0</v>
      </c>
      <c r="M69" s="22" t="s">
        <v>3097</v>
      </c>
      <c r="N69" s="22" t="s">
        <v>3099</v>
      </c>
      <c r="O69" s="22" t="s">
        <v>45</v>
      </c>
      <c r="P69" s="22" t="s">
        <v>45</v>
      </c>
      <c r="Q69" s="22" t="s">
        <v>45</v>
      </c>
      <c r="R69" s="22" t="s">
        <v>45</v>
      </c>
      <c r="S69" s="22" t="s">
        <v>45</v>
      </c>
      <c r="T69" s="22" t="s">
        <v>2002</v>
      </c>
      <c r="U69" s="22" t="s">
        <v>45</v>
      </c>
      <c r="V69" s="22" t="s">
        <v>45</v>
      </c>
      <c r="W69" s="22" t="s">
        <v>4837</v>
      </c>
      <c r="X69" s="22" t="s">
        <v>3095</v>
      </c>
      <c r="Y69" s="22" t="s">
        <v>3095</v>
      </c>
      <c r="Z69" s="22" t="s">
        <v>3095</v>
      </c>
      <c r="AA69" s="22" t="s">
        <v>3095</v>
      </c>
      <c r="AB69" s="22" t="s">
        <v>3095</v>
      </c>
      <c r="AC69" s="22" t="s">
        <v>3095</v>
      </c>
      <c r="AD69" s="22" t="s">
        <v>3095</v>
      </c>
      <c r="AE69" s="22" t="s">
        <v>3095</v>
      </c>
      <c r="AF69" s="22" t="s">
        <v>3095</v>
      </c>
    </row>
    <row r="70" ht="45.0" customHeight="1">
      <c r="A70" s="55" t="s">
        <v>349</v>
      </c>
      <c r="B70" s="62" t="s">
        <v>3563</v>
      </c>
      <c r="C70" s="22" t="str">
        <f>IMAGE("https://raw.githubusercontent.com/ltdimages/images/refs/heads/main/ClothTopsYshirtLongGinghamCheck_00.png")</f>
        <v/>
      </c>
      <c r="D70" s="22" t="str">
        <f>IMAGE("https://raw.githubusercontent.com/ltdimages/images/refs/heads/main/ClothTopsYshirtLongGinghamCheck_01.png")</f>
        <v/>
      </c>
      <c r="E70" s="22" t="str">
        <f>IMAGE("https://raw.githubusercontent.com/ltdimages/images/refs/heads/main/ClothTopsYshirtLongGinghamCheck_02.png")</f>
        <v/>
      </c>
      <c r="F70" s="22" t="str">
        <f>IMAGE("https://raw.githubusercontent.com/ltdimages/images/refs/heads/main/ClothTopsYshirtLongGinghamCheck_03.png")</f>
        <v/>
      </c>
      <c r="G70" s="22" t="str">
        <f>IMAGE("https://raw.githubusercontent.com/ltdimages/images/refs/heads/main/ClothTopsYshirtLongGinghamCheck_04.png")</f>
        <v/>
      </c>
      <c r="H70" s="22" t="str">
        <f>IMAGE("https://raw.githubusercontent.com/ltdimages/images/refs/heads/main/ClothTopsYshirtLongGinghamCheck_05.png")</f>
        <v/>
      </c>
      <c r="I70" s="22" t="str">
        <f>IMAGE("https://raw.githubusercontent.com/ltdimages/images/refs/heads/main/ClothTopsYshirtLongGinghamCheck_06.png")</f>
        <v/>
      </c>
      <c r="J70" s="22" t="str">
        <f>IMAGE("https://raw.githubusercontent.com/ltdimages/images/refs/heads/main/ClothTopsYshirtLongGinghamCheck_07.png")</f>
        <v/>
      </c>
      <c r="K70" s="63" t="s">
        <v>3103</v>
      </c>
      <c r="L70" s="23">
        <v>13.0</v>
      </c>
      <c r="M70" s="22" t="s">
        <v>3097</v>
      </c>
      <c r="N70" s="22" t="s">
        <v>3099</v>
      </c>
      <c r="O70" s="22" t="s">
        <v>45</v>
      </c>
      <c r="P70" s="22" t="s">
        <v>45</v>
      </c>
      <c r="Q70" s="22" t="s">
        <v>45</v>
      </c>
      <c r="R70" s="22" t="s">
        <v>45</v>
      </c>
      <c r="S70" s="22" t="s">
        <v>45</v>
      </c>
      <c r="T70" s="22" t="s">
        <v>2002</v>
      </c>
      <c r="U70" s="22" t="s">
        <v>45</v>
      </c>
      <c r="V70" s="22" t="s">
        <v>45</v>
      </c>
      <c r="W70" s="22" t="s">
        <v>4838</v>
      </c>
      <c r="X70" s="22" t="s">
        <v>3095</v>
      </c>
      <c r="Y70" s="22" t="s">
        <v>3095</v>
      </c>
      <c r="Z70" s="22" t="s">
        <v>3095</v>
      </c>
      <c r="AA70" s="22" t="s">
        <v>3095</v>
      </c>
      <c r="AB70" s="22" t="s">
        <v>3095</v>
      </c>
      <c r="AC70" s="22" t="s">
        <v>3095</v>
      </c>
      <c r="AD70" s="22" t="s">
        <v>3095</v>
      </c>
      <c r="AE70" s="22" t="s">
        <v>3095</v>
      </c>
      <c r="AF70" s="22" t="s">
        <v>3095</v>
      </c>
    </row>
    <row r="71" ht="45.0" customHeight="1">
      <c r="A71" s="55" t="s">
        <v>354</v>
      </c>
      <c r="B71" s="62" t="s">
        <v>3568</v>
      </c>
      <c r="C71" s="22" t="str">
        <f>IMAGE("https://raw.githubusercontent.com/ltdimages/images/refs/heads/main/ClothTopsCoatHalfGladiator_00.png")</f>
        <v/>
      </c>
      <c r="D71" s="22" t="str">
        <f>IMAGE("https://raw.githubusercontent.com/ltdimages/images/refs/heads/main/ClothTopsCoatHalfGladiator_01.png")</f>
        <v/>
      </c>
      <c r="E71" s="22" t="s">
        <v>3095</v>
      </c>
      <c r="F71" s="22" t="s">
        <v>3095</v>
      </c>
      <c r="G71" s="22" t="s">
        <v>3095</v>
      </c>
      <c r="H71" s="22" t="s">
        <v>3095</v>
      </c>
      <c r="I71" s="22" t="s">
        <v>3095</v>
      </c>
      <c r="J71" s="22" t="s">
        <v>3095</v>
      </c>
      <c r="K71" s="63" t="s">
        <v>3103</v>
      </c>
      <c r="L71" s="23">
        <v>32.0</v>
      </c>
      <c r="M71" s="22" t="s">
        <v>3097</v>
      </c>
      <c r="N71" s="22" t="s">
        <v>3099</v>
      </c>
      <c r="O71" s="22" t="s">
        <v>45</v>
      </c>
      <c r="P71" s="22" t="s">
        <v>45</v>
      </c>
      <c r="Q71" s="22" t="s">
        <v>45</v>
      </c>
      <c r="R71" s="22" t="s">
        <v>49</v>
      </c>
      <c r="S71" s="22" t="s">
        <v>45</v>
      </c>
      <c r="T71" s="22" t="s">
        <v>2002</v>
      </c>
      <c r="U71" s="22" t="s">
        <v>45</v>
      </c>
      <c r="V71" s="22" t="s">
        <v>45</v>
      </c>
      <c r="W71" s="22" t="s">
        <v>4839</v>
      </c>
      <c r="X71" s="22" t="s">
        <v>3095</v>
      </c>
      <c r="Y71" s="22" t="s">
        <v>3095</v>
      </c>
      <c r="Z71" s="22" t="s">
        <v>3095</v>
      </c>
      <c r="AA71" s="22" t="s">
        <v>3095</v>
      </c>
      <c r="AB71" s="22" t="s">
        <v>3095</v>
      </c>
      <c r="AC71" s="22" t="s">
        <v>3095</v>
      </c>
      <c r="AD71" s="22" t="s">
        <v>3095</v>
      </c>
      <c r="AE71" s="22" t="s">
        <v>3095</v>
      </c>
      <c r="AF71" s="22" t="s">
        <v>3095</v>
      </c>
    </row>
    <row r="72" ht="45.0" customHeight="1">
      <c r="A72" s="55" t="s">
        <v>358</v>
      </c>
      <c r="B72" s="62" t="s">
        <v>4840</v>
      </c>
      <c r="C72" s="22" t="str">
        <f>IMAGE("https://raw.githubusercontent.com/ltdimages/images/refs/heads/main/ClothTopsTshirtHalfGoldfish_00.png")</f>
        <v/>
      </c>
      <c r="D72" s="22" t="str">
        <f>IMAGE("https://raw.githubusercontent.com/ltdimages/images/refs/heads/main/ClothTopsTshirtHalfGoldfish_01.png")</f>
        <v/>
      </c>
      <c r="E72" s="22" t="str">
        <f>IMAGE("https://raw.githubusercontent.com/ltdimages/images/refs/heads/main/ClothTopsTshirtHalfGoldfish_02.png")</f>
        <v/>
      </c>
      <c r="F72" s="22" t="str">
        <f>IMAGE("https://raw.githubusercontent.com/ltdimages/images/refs/heads/main/ClothTopsTshirtHalfGoldfish_03.png")</f>
        <v/>
      </c>
      <c r="G72" s="22" t="s">
        <v>3095</v>
      </c>
      <c r="H72" s="22" t="s">
        <v>3095</v>
      </c>
      <c r="I72" s="22" t="s">
        <v>3095</v>
      </c>
      <c r="J72" s="22" t="s">
        <v>3095</v>
      </c>
      <c r="K72" s="63" t="s">
        <v>3103</v>
      </c>
      <c r="L72" s="23">
        <v>15.0</v>
      </c>
      <c r="M72" s="22" t="s">
        <v>3097</v>
      </c>
      <c r="N72" s="22" t="s">
        <v>3123</v>
      </c>
      <c r="O72" s="22" t="s">
        <v>45</v>
      </c>
      <c r="P72" s="22" t="s">
        <v>45</v>
      </c>
      <c r="Q72" s="22" t="s">
        <v>45</v>
      </c>
      <c r="R72" s="22" t="s">
        <v>45</v>
      </c>
      <c r="S72" s="22" t="s">
        <v>45</v>
      </c>
      <c r="T72" s="22" t="s">
        <v>2002</v>
      </c>
      <c r="U72" s="22" t="s">
        <v>45</v>
      </c>
      <c r="V72" s="22" t="s">
        <v>45</v>
      </c>
      <c r="W72" s="22" t="s">
        <v>4841</v>
      </c>
      <c r="X72" s="22" t="s">
        <v>3095</v>
      </c>
      <c r="Y72" s="22" t="s">
        <v>3095</v>
      </c>
      <c r="Z72" s="22" t="s">
        <v>3095</v>
      </c>
      <c r="AA72" s="22" t="s">
        <v>3095</v>
      </c>
      <c r="AB72" s="22" t="s">
        <v>3095</v>
      </c>
      <c r="AC72" s="22" t="s">
        <v>3095</v>
      </c>
      <c r="AD72" s="22" t="s">
        <v>3095</v>
      </c>
      <c r="AE72" s="22" t="s">
        <v>3095</v>
      </c>
      <c r="AF72" s="22" t="s">
        <v>3095</v>
      </c>
    </row>
    <row r="73" ht="45.0" customHeight="1">
      <c r="A73" s="55" t="s">
        <v>362</v>
      </c>
      <c r="B73" s="62" t="s">
        <v>4842</v>
      </c>
      <c r="C73" s="22" t="str">
        <f>IMAGE("https://raw.githubusercontent.com/ltdimages/images/refs/heads/main/ClothTopsOuterLongGradation_00.png")</f>
        <v/>
      </c>
      <c r="D73" s="22" t="str">
        <f>IMAGE("https://raw.githubusercontent.com/ltdimages/images/refs/heads/main/ClothTopsOuterLongGradation_01.png")</f>
        <v/>
      </c>
      <c r="E73" s="22" t="str">
        <f>IMAGE("https://raw.githubusercontent.com/ltdimages/images/refs/heads/main/ClothTopsOuterLongGradation_02.png")</f>
        <v/>
      </c>
      <c r="F73" s="22" t="str">
        <f>IMAGE("https://raw.githubusercontent.com/ltdimages/images/refs/heads/main/ClothTopsOuterLongGradation_03.png")</f>
        <v/>
      </c>
      <c r="G73" s="22" t="str">
        <f>IMAGE("https://raw.githubusercontent.com/ltdimages/images/refs/heads/main/ClothTopsOuterLongGradation_04.png")</f>
        <v/>
      </c>
      <c r="H73" s="22" t="str">
        <f>IMAGE("https://raw.githubusercontent.com/ltdimages/images/refs/heads/main/ClothTopsOuterLongGradation_05.png")</f>
        <v/>
      </c>
      <c r="I73" s="22" t="str">
        <f>IMAGE("https://raw.githubusercontent.com/ltdimages/images/refs/heads/main/ClothTopsOuterLongGradation_06.png")</f>
        <v/>
      </c>
      <c r="J73" s="22" t="str">
        <f>IMAGE("https://raw.githubusercontent.com/ltdimages/images/refs/heads/main/ClothTopsOuterLongGradation_07.png")</f>
        <v/>
      </c>
      <c r="K73" s="63" t="s">
        <v>3103</v>
      </c>
      <c r="L73" s="23">
        <v>18.0</v>
      </c>
      <c r="M73" s="22" t="s">
        <v>3097</v>
      </c>
      <c r="N73" s="22" t="s">
        <v>3114</v>
      </c>
      <c r="O73" s="22" t="s">
        <v>45</v>
      </c>
      <c r="P73" s="22" t="s">
        <v>45</v>
      </c>
      <c r="Q73" s="22" t="s">
        <v>45</v>
      </c>
      <c r="R73" s="22" t="s">
        <v>45</v>
      </c>
      <c r="S73" s="22" t="s">
        <v>45</v>
      </c>
      <c r="T73" s="22" t="s">
        <v>2002</v>
      </c>
      <c r="U73" s="22" t="s">
        <v>45</v>
      </c>
      <c r="V73" s="22" t="s">
        <v>45</v>
      </c>
      <c r="W73" s="22" t="s">
        <v>4843</v>
      </c>
      <c r="X73" s="22" t="s">
        <v>3095</v>
      </c>
      <c r="Y73" s="22" t="s">
        <v>3095</v>
      </c>
      <c r="Z73" s="22" t="s">
        <v>3095</v>
      </c>
      <c r="AA73" s="22" t="s">
        <v>3095</v>
      </c>
      <c r="AB73" s="22" t="s">
        <v>3095</v>
      </c>
      <c r="AC73" s="22" t="s">
        <v>3095</v>
      </c>
      <c r="AD73" s="22" t="s">
        <v>3095</v>
      </c>
      <c r="AE73" s="22" t="s">
        <v>3095</v>
      </c>
      <c r="AF73" s="22" t="s">
        <v>3095</v>
      </c>
    </row>
    <row r="74" ht="45.0" customHeight="1">
      <c r="A74" s="55" t="s">
        <v>367</v>
      </c>
      <c r="B74" s="62" t="s">
        <v>3586</v>
      </c>
      <c r="C74" s="22" t="str">
        <f>IMAGE("https://raw.githubusercontent.com/ltdimages/images/refs/heads/main/ClothTopsCoatLongAcademic_00.png")</f>
        <v/>
      </c>
      <c r="D74" s="22" t="str">
        <f>IMAGE("https://raw.githubusercontent.com/ltdimages/images/refs/heads/main/ClothTopsCoatLongAcademic_01.png")</f>
        <v/>
      </c>
      <c r="E74" s="22" t="str">
        <f>IMAGE("https://raw.githubusercontent.com/ltdimages/images/refs/heads/main/ClothTopsCoatLongAcademic_02.png")</f>
        <v/>
      </c>
      <c r="F74" s="22" t="str">
        <f>IMAGE("https://raw.githubusercontent.com/ltdimages/images/refs/heads/main/ClothTopsCoatLongAcademic_03.png")</f>
        <v/>
      </c>
      <c r="G74" s="22" t="s">
        <v>3095</v>
      </c>
      <c r="H74" s="22" t="s">
        <v>3095</v>
      </c>
      <c r="I74" s="22" t="s">
        <v>3095</v>
      </c>
      <c r="J74" s="22" t="s">
        <v>3095</v>
      </c>
      <c r="K74" s="63" t="s">
        <v>3103</v>
      </c>
      <c r="L74" s="23">
        <v>13.0</v>
      </c>
      <c r="M74" s="22" t="s">
        <v>3097</v>
      </c>
      <c r="N74" s="22" t="s">
        <v>3099</v>
      </c>
      <c r="O74" s="22" t="s">
        <v>45</v>
      </c>
      <c r="P74" s="22" t="s">
        <v>45</v>
      </c>
      <c r="Q74" s="22" t="s">
        <v>45</v>
      </c>
      <c r="R74" s="22" t="s">
        <v>49</v>
      </c>
      <c r="S74" s="22" t="s">
        <v>45</v>
      </c>
      <c r="T74" s="22" t="s">
        <v>2002</v>
      </c>
      <c r="U74" s="22" t="s">
        <v>45</v>
      </c>
      <c r="V74" s="22" t="s">
        <v>45</v>
      </c>
      <c r="W74" s="22" t="s">
        <v>4844</v>
      </c>
      <c r="X74" s="22" t="s">
        <v>3095</v>
      </c>
      <c r="Y74" s="22" t="s">
        <v>3095</v>
      </c>
      <c r="Z74" s="22" t="s">
        <v>3095</v>
      </c>
      <c r="AA74" s="22" t="s">
        <v>3095</v>
      </c>
      <c r="AB74" s="22" t="s">
        <v>3095</v>
      </c>
      <c r="AC74" s="22" t="s">
        <v>3095</v>
      </c>
      <c r="AD74" s="22" t="s">
        <v>3095</v>
      </c>
      <c r="AE74" s="22" t="s">
        <v>3095</v>
      </c>
      <c r="AF74" s="22" t="s">
        <v>3095</v>
      </c>
    </row>
    <row r="75" ht="45.0" customHeight="1">
      <c r="A75" s="55" t="s">
        <v>371</v>
      </c>
      <c r="B75" s="62" t="s">
        <v>4845</v>
      </c>
      <c r="C75" s="22" t="str">
        <f>IMAGE("https://raw.githubusercontent.com/ltdimages/images/refs/heads/main/ClothTopsYshirtHalfCuba_00.png")</f>
        <v/>
      </c>
      <c r="D75" s="22" t="str">
        <f>IMAGE("https://raw.githubusercontent.com/ltdimages/images/refs/heads/main/ClothTopsYshirtHalfCuba_01.png")</f>
        <v/>
      </c>
      <c r="E75" s="22" t="str">
        <f>IMAGE("https://raw.githubusercontent.com/ltdimages/images/refs/heads/main/ClothTopsYshirtHalfCuba_02.png")</f>
        <v/>
      </c>
      <c r="F75" s="22" t="str">
        <f>IMAGE("https://raw.githubusercontent.com/ltdimages/images/refs/heads/main/ClothTopsYshirtHalfCuba_03.png")</f>
        <v/>
      </c>
      <c r="G75" s="22" t="str">
        <f>IMAGE("https://raw.githubusercontent.com/ltdimages/images/refs/heads/main/ClothTopsYshirtHalfCuba_04.png")</f>
        <v/>
      </c>
      <c r="H75" s="22" t="str">
        <f>IMAGE("https://raw.githubusercontent.com/ltdimages/images/refs/heads/main/ClothTopsYshirtHalfCuba_05.png")</f>
        <v/>
      </c>
      <c r="I75" s="22" t="str">
        <f>IMAGE("https://raw.githubusercontent.com/ltdimages/images/refs/heads/main/ClothTopsYshirtHalfCuba_06.png")</f>
        <v/>
      </c>
      <c r="J75" s="22" t="str">
        <f>IMAGE("https://raw.githubusercontent.com/ltdimages/images/refs/heads/main/ClothTopsYshirtHalfCuba_07.png")</f>
        <v/>
      </c>
      <c r="K75" s="63" t="s">
        <v>3103</v>
      </c>
      <c r="L75" s="23">
        <v>13.0</v>
      </c>
      <c r="M75" s="22" t="s">
        <v>3097</v>
      </c>
      <c r="N75" s="22" t="s">
        <v>3123</v>
      </c>
      <c r="O75" s="22" t="s">
        <v>45</v>
      </c>
      <c r="P75" s="22" t="s">
        <v>45</v>
      </c>
      <c r="Q75" s="22" t="s">
        <v>45</v>
      </c>
      <c r="R75" s="22" t="s">
        <v>45</v>
      </c>
      <c r="S75" s="22" t="s">
        <v>45</v>
      </c>
      <c r="T75" s="22" t="s">
        <v>2002</v>
      </c>
      <c r="U75" s="22" t="s">
        <v>45</v>
      </c>
      <c r="V75" s="22" t="s">
        <v>45</v>
      </c>
      <c r="W75" s="22" t="s">
        <v>4846</v>
      </c>
      <c r="X75" s="22" t="s">
        <v>3095</v>
      </c>
      <c r="Y75" s="22" t="s">
        <v>3095</v>
      </c>
      <c r="Z75" s="22" t="s">
        <v>3095</v>
      </c>
      <c r="AA75" s="22" t="s">
        <v>3095</v>
      </c>
      <c r="AB75" s="22" t="s">
        <v>3095</v>
      </c>
      <c r="AC75" s="22" t="s">
        <v>3095</v>
      </c>
      <c r="AD75" s="22" t="s">
        <v>3095</v>
      </c>
      <c r="AE75" s="22" t="s">
        <v>3095</v>
      </c>
      <c r="AF75" s="22" t="s">
        <v>3095</v>
      </c>
    </row>
    <row r="76" ht="45.0" customHeight="1">
      <c r="A76" s="55" t="s">
        <v>375</v>
      </c>
      <c r="B76" s="62" t="s">
        <v>3510</v>
      </c>
      <c r="C76" s="22" t="str">
        <f>IMAGE("https://raw.githubusercontent.com/ltdimages/images/refs/heads/main/ClothTopsOuterLongHalfZip_00.png")</f>
        <v/>
      </c>
      <c r="D76" s="22" t="str">
        <f>IMAGE("https://raw.githubusercontent.com/ltdimages/images/refs/heads/main/ClothTopsOuterLongHalfZip_01.png")</f>
        <v/>
      </c>
      <c r="E76" s="22" t="str">
        <f>IMAGE("https://raw.githubusercontent.com/ltdimages/images/refs/heads/main/ClothTopsOuterLongHalfZip_02.png")</f>
        <v/>
      </c>
      <c r="F76" s="22" t="str">
        <f>IMAGE("https://raw.githubusercontent.com/ltdimages/images/refs/heads/main/ClothTopsOuterLongHalfZip_03.png")</f>
        <v/>
      </c>
      <c r="G76" s="22" t="str">
        <f>IMAGE("https://raw.githubusercontent.com/ltdimages/images/refs/heads/main/ClothTopsOuterLongHalfZip_04.png")</f>
        <v/>
      </c>
      <c r="H76" s="22" t="str">
        <f>IMAGE("https://raw.githubusercontent.com/ltdimages/images/refs/heads/main/ClothTopsOuterLongHalfZip_05.png")</f>
        <v/>
      </c>
      <c r="I76" s="22" t="str">
        <f>IMAGE("https://raw.githubusercontent.com/ltdimages/images/refs/heads/main/ClothTopsOuterLongHalfZip_06.png")</f>
        <v/>
      </c>
      <c r="J76" s="22" t="str">
        <f>IMAGE("https://raw.githubusercontent.com/ltdimages/images/refs/heads/main/ClothTopsOuterLongHalfZip_07.png")</f>
        <v/>
      </c>
      <c r="K76" s="63" t="s">
        <v>3103</v>
      </c>
      <c r="L76" s="23">
        <v>10.0</v>
      </c>
      <c r="M76" s="22" t="s">
        <v>3097</v>
      </c>
      <c r="N76" s="22" t="s">
        <v>3114</v>
      </c>
      <c r="O76" s="22" t="s">
        <v>45</v>
      </c>
      <c r="P76" s="22" t="s">
        <v>45</v>
      </c>
      <c r="Q76" s="22" t="s">
        <v>45</v>
      </c>
      <c r="R76" s="22" t="s">
        <v>45</v>
      </c>
      <c r="S76" s="22" t="s">
        <v>45</v>
      </c>
      <c r="T76" s="22" t="s">
        <v>2002</v>
      </c>
      <c r="U76" s="22" t="s">
        <v>45</v>
      </c>
      <c r="V76" s="22" t="s">
        <v>45</v>
      </c>
      <c r="W76" s="22" t="s">
        <v>4847</v>
      </c>
      <c r="X76" s="22" t="s">
        <v>3095</v>
      </c>
      <c r="Y76" s="22" t="s">
        <v>3095</v>
      </c>
      <c r="Z76" s="22" t="s">
        <v>3095</v>
      </c>
      <c r="AA76" s="22" t="s">
        <v>3095</v>
      </c>
      <c r="AB76" s="22" t="s">
        <v>3095</v>
      </c>
      <c r="AC76" s="22" t="s">
        <v>3095</v>
      </c>
      <c r="AD76" s="22" t="s">
        <v>3095</v>
      </c>
      <c r="AE76" s="22" t="s">
        <v>3095</v>
      </c>
      <c r="AF76" s="22" t="s">
        <v>3095</v>
      </c>
    </row>
    <row r="77" ht="45.0" customHeight="1">
      <c r="A77" s="55" t="s">
        <v>380</v>
      </c>
      <c r="B77" s="62" t="s">
        <v>4848</v>
      </c>
      <c r="C77" s="22" t="str">
        <f>IMAGE("https://raw.githubusercontent.com/ltdimages/images/refs/heads/main/ClothTopsYshirtHalfHappi_00.png")</f>
        <v/>
      </c>
      <c r="D77" s="22" t="str">
        <f>IMAGE("https://raw.githubusercontent.com/ltdimages/images/refs/heads/main/ClothTopsYshirtHalfHappi_01.png")</f>
        <v/>
      </c>
      <c r="E77" s="22" t="str">
        <f>IMAGE("https://raw.githubusercontent.com/ltdimages/images/refs/heads/main/ClothTopsYshirtHalfHappi_02.png")</f>
        <v/>
      </c>
      <c r="F77" s="22" t="str">
        <f>IMAGE("https://raw.githubusercontent.com/ltdimages/images/refs/heads/main/ClothTopsYshirtHalfHappi_03.png")</f>
        <v/>
      </c>
      <c r="G77" s="22" t="str">
        <f>IMAGE("https://raw.githubusercontent.com/ltdimages/images/refs/heads/main/ClothTopsYshirtHalfHappi_04.png")</f>
        <v/>
      </c>
      <c r="H77" s="22" t="str">
        <f>IMAGE("https://raw.githubusercontent.com/ltdimages/images/refs/heads/main/ClothTopsYshirtHalfHappi_05.png")</f>
        <v/>
      </c>
      <c r="I77" s="22" t="s">
        <v>3095</v>
      </c>
      <c r="J77" s="22" t="s">
        <v>3095</v>
      </c>
      <c r="K77" s="63" t="s">
        <v>3103</v>
      </c>
      <c r="L77" s="23">
        <v>20.0</v>
      </c>
      <c r="M77" s="22" t="s">
        <v>3097</v>
      </c>
      <c r="N77" s="22" t="s">
        <v>3123</v>
      </c>
      <c r="O77" s="22" t="s">
        <v>45</v>
      </c>
      <c r="P77" s="22" t="s">
        <v>45</v>
      </c>
      <c r="Q77" s="22" t="s">
        <v>45</v>
      </c>
      <c r="R77" s="22" t="s">
        <v>49</v>
      </c>
      <c r="S77" s="22" t="s">
        <v>45</v>
      </c>
      <c r="T77" s="22" t="s">
        <v>2002</v>
      </c>
      <c r="U77" s="22" t="s">
        <v>45</v>
      </c>
      <c r="V77" s="22" t="s">
        <v>45</v>
      </c>
      <c r="W77" s="22" t="s">
        <v>4849</v>
      </c>
      <c r="X77" s="22" t="s">
        <v>3095</v>
      </c>
      <c r="Y77" s="22" t="s">
        <v>3095</v>
      </c>
      <c r="Z77" s="22" t="s">
        <v>3095</v>
      </c>
      <c r="AA77" s="22" t="s">
        <v>3095</v>
      </c>
      <c r="AB77" s="22" t="s">
        <v>3095</v>
      </c>
      <c r="AC77" s="22" t="s">
        <v>3095</v>
      </c>
      <c r="AD77" s="22" t="s">
        <v>3095</v>
      </c>
      <c r="AE77" s="22" t="s">
        <v>3095</v>
      </c>
      <c r="AF77" s="22" t="s">
        <v>3095</v>
      </c>
    </row>
    <row r="78" ht="45.0" customHeight="1">
      <c r="A78" s="55" t="s">
        <v>384</v>
      </c>
      <c r="B78" s="62" t="s">
        <v>4850</v>
      </c>
      <c r="C78" s="22" t="str">
        <f>IMAGE("https://raw.githubusercontent.com/ltdimages/images/refs/heads/main/ClothTopsYshirtLongHeart_00.png")</f>
        <v/>
      </c>
      <c r="D78" s="22" t="str">
        <f>IMAGE("https://raw.githubusercontent.com/ltdimages/images/refs/heads/main/ClothTopsYshirtLongHeart_01.png")</f>
        <v/>
      </c>
      <c r="E78" s="22" t="str">
        <f>IMAGE("https://raw.githubusercontent.com/ltdimages/images/refs/heads/main/ClothTopsYshirtLongHeart_02.png")</f>
        <v/>
      </c>
      <c r="F78" s="22" t="str">
        <f>IMAGE("https://raw.githubusercontent.com/ltdimages/images/refs/heads/main/ClothTopsYshirtLongHeart_03.png")</f>
        <v/>
      </c>
      <c r="G78" s="22" t="str">
        <f>IMAGE("https://raw.githubusercontent.com/ltdimages/images/refs/heads/main/ClothTopsYshirtLongHeart_04.png")</f>
        <v/>
      </c>
      <c r="H78" s="22" t="str">
        <f>IMAGE("https://raw.githubusercontent.com/ltdimages/images/refs/heads/main/ClothTopsYshirtLongHeart_05.png")</f>
        <v/>
      </c>
      <c r="I78" s="22" t="s">
        <v>3095</v>
      </c>
      <c r="J78" s="22" t="s">
        <v>3095</v>
      </c>
      <c r="K78" s="63" t="s">
        <v>3103</v>
      </c>
      <c r="L78" s="23">
        <v>19.0</v>
      </c>
      <c r="M78" s="22" t="s">
        <v>3097</v>
      </c>
      <c r="N78" s="22" t="s">
        <v>3114</v>
      </c>
      <c r="O78" s="22" t="s">
        <v>45</v>
      </c>
      <c r="P78" s="22" t="s">
        <v>45</v>
      </c>
      <c r="Q78" s="22" t="s">
        <v>45</v>
      </c>
      <c r="R78" s="22" t="s">
        <v>45</v>
      </c>
      <c r="S78" s="22" t="s">
        <v>45</v>
      </c>
      <c r="T78" s="22" t="s">
        <v>2002</v>
      </c>
      <c r="U78" s="22" t="s">
        <v>45</v>
      </c>
      <c r="V78" s="22" t="s">
        <v>45</v>
      </c>
      <c r="W78" s="22" t="s">
        <v>4851</v>
      </c>
      <c r="X78" s="22" t="s">
        <v>3095</v>
      </c>
      <c r="Y78" s="22" t="s">
        <v>3095</v>
      </c>
      <c r="Z78" s="22" t="s">
        <v>3095</v>
      </c>
      <c r="AA78" s="22" t="s">
        <v>3095</v>
      </c>
      <c r="AB78" s="22" t="s">
        <v>3095</v>
      </c>
      <c r="AC78" s="22" t="s">
        <v>3095</v>
      </c>
      <c r="AD78" s="22" t="s">
        <v>3095</v>
      </c>
      <c r="AE78" s="22" t="s">
        <v>3095</v>
      </c>
      <c r="AF78" s="22" t="s">
        <v>3095</v>
      </c>
    </row>
    <row r="79" ht="45.0" customHeight="1">
      <c r="A79" s="55" t="s">
        <v>388</v>
      </c>
      <c r="B79" s="62" t="s">
        <v>4852</v>
      </c>
      <c r="C79" s="22" t="str">
        <f>IMAGE("https://raw.githubusercontent.com/ltdimages/images/refs/heads/main/ClothTopsOuterLongHeart_00.png")</f>
        <v/>
      </c>
      <c r="D79" s="22" t="str">
        <f>IMAGE("https://raw.githubusercontent.com/ltdimages/images/refs/heads/main/ClothTopsOuterLongHeart_01.png")</f>
        <v/>
      </c>
      <c r="E79" s="22" t="str">
        <f>IMAGE("https://raw.githubusercontent.com/ltdimages/images/refs/heads/main/ClothTopsOuterLongHeart_02.png")</f>
        <v/>
      </c>
      <c r="F79" s="22" t="str">
        <f>IMAGE("https://raw.githubusercontent.com/ltdimages/images/refs/heads/main/ClothTopsOuterLongHeart_03.png")</f>
        <v/>
      </c>
      <c r="G79" s="22" t="str">
        <f>IMAGE("https://raw.githubusercontent.com/ltdimages/images/refs/heads/main/ClothTopsOuterLongHeart_04.png")</f>
        <v/>
      </c>
      <c r="H79" s="22" t="str">
        <f>IMAGE("https://raw.githubusercontent.com/ltdimages/images/refs/heads/main/ClothTopsOuterLongHeart_05.png")</f>
        <v/>
      </c>
      <c r="I79" s="22" t="str">
        <f>IMAGE("https://raw.githubusercontent.com/ltdimages/images/refs/heads/main/ClothTopsOuterLongHeart_06.png")</f>
        <v/>
      </c>
      <c r="J79" s="22" t="str">
        <f>IMAGE("https://raw.githubusercontent.com/ltdimages/images/refs/heads/main/ClothTopsOuterLongHeart_07.png")</f>
        <v/>
      </c>
      <c r="K79" s="63" t="s">
        <v>3103</v>
      </c>
      <c r="L79" s="23">
        <v>13.0</v>
      </c>
      <c r="M79" s="22" t="s">
        <v>3097</v>
      </c>
      <c r="N79" s="22" t="s">
        <v>3099</v>
      </c>
      <c r="O79" s="22" t="s">
        <v>45</v>
      </c>
      <c r="P79" s="22" t="s">
        <v>45</v>
      </c>
      <c r="Q79" s="22" t="s">
        <v>45</v>
      </c>
      <c r="R79" s="22" t="s">
        <v>45</v>
      </c>
      <c r="S79" s="22" t="s">
        <v>45</v>
      </c>
      <c r="T79" s="22" t="s">
        <v>2002</v>
      </c>
      <c r="U79" s="22" t="s">
        <v>45</v>
      </c>
      <c r="V79" s="22" t="s">
        <v>45</v>
      </c>
      <c r="W79" s="22" t="s">
        <v>4853</v>
      </c>
      <c r="X79" s="22" t="s">
        <v>3095</v>
      </c>
      <c r="Y79" s="22" t="s">
        <v>3095</v>
      </c>
      <c r="Z79" s="22" t="s">
        <v>3095</v>
      </c>
      <c r="AA79" s="22" t="s">
        <v>3095</v>
      </c>
      <c r="AB79" s="22" t="s">
        <v>3095</v>
      </c>
      <c r="AC79" s="22" t="s">
        <v>3095</v>
      </c>
      <c r="AD79" s="22" t="s">
        <v>3095</v>
      </c>
      <c r="AE79" s="22" t="s">
        <v>3095</v>
      </c>
      <c r="AF79" s="22" t="s">
        <v>3095</v>
      </c>
    </row>
    <row r="80" ht="45.0" customHeight="1">
      <c r="A80" s="55" t="s">
        <v>392</v>
      </c>
      <c r="B80" s="62" t="s">
        <v>3241</v>
      </c>
      <c r="C80" s="22" t="str">
        <f>IMAGE("https://raw.githubusercontent.com/ltdimages/images/refs/heads/main/ClothTopsTshirtHalfHeart_00.png")</f>
        <v/>
      </c>
      <c r="D80" s="22" t="str">
        <f>IMAGE("https://raw.githubusercontent.com/ltdimages/images/refs/heads/main/ClothTopsTshirtHalfHeart_01.png")</f>
        <v/>
      </c>
      <c r="E80" s="22" t="str">
        <f>IMAGE("https://raw.githubusercontent.com/ltdimages/images/refs/heads/main/ClothTopsTshirtHalfHeart_02.png")</f>
        <v/>
      </c>
      <c r="F80" s="22" t="str">
        <f>IMAGE("https://raw.githubusercontent.com/ltdimages/images/refs/heads/main/ClothTopsTshirtHalfHeart_03.png")</f>
        <v/>
      </c>
      <c r="G80" s="22" t="str">
        <f>IMAGE("https://raw.githubusercontent.com/ltdimages/images/refs/heads/main/ClothTopsTshirtHalfHeart_04.png")</f>
        <v/>
      </c>
      <c r="H80" s="22" t="str">
        <f>IMAGE("https://raw.githubusercontent.com/ltdimages/images/refs/heads/main/ClothTopsTshirtHalfHeart_05.png")</f>
        <v/>
      </c>
      <c r="I80" s="22" t="str">
        <f>IMAGE("https://raw.githubusercontent.com/ltdimages/images/refs/heads/main/ClothTopsTshirtHalfHeart_06.png")</f>
        <v/>
      </c>
      <c r="J80" s="22" t="str">
        <f>IMAGE("https://raw.githubusercontent.com/ltdimages/images/refs/heads/main/ClothTopsTshirtHalfHeart_07.png")</f>
        <v/>
      </c>
      <c r="K80" s="63" t="s">
        <v>3103</v>
      </c>
      <c r="L80" s="23">
        <v>11.5</v>
      </c>
      <c r="M80" s="22" t="s">
        <v>3097</v>
      </c>
      <c r="N80" s="22" t="s">
        <v>3099</v>
      </c>
      <c r="O80" s="22" t="s">
        <v>45</v>
      </c>
      <c r="P80" s="22" t="s">
        <v>45</v>
      </c>
      <c r="Q80" s="22" t="s">
        <v>45</v>
      </c>
      <c r="R80" s="22" t="s">
        <v>45</v>
      </c>
      <c r="S80" s="22" t="s">
        <v>45</v>
      </c>
      <c r="T80" s="22" t="s">
        <v>2002</v>
      </c>
      <c r="U80" s="22" t="s">
        <v>45</v>
      </c>
      <c r="V80" s="22" t="s">
        <v>45</v>
      </c>
      <c r="W80" s="22" t="s">
        <v>4854</v>
      </c>
      <c r="X80" s="22" t="s">
        <v>3095</v>
      </c>
      <c r="Y80" s="22" t="s">
        <v>3095</v>
      </c>
      <c r="Z80" s="22" t="s">
        <v>3095</v>
      </c>
      <c r="AA80" s="22" t="s">
        <v>3095</v>
      </c>
      <c r="AB80" s="22" t="s">
        <v>3095</v>
      </c>
      <c r="AC80" s="22" t="s">
        <v>3095</v>
      </c>
      <c r="AD80" s="22" t="s">
        <v>3095</v>
      </c>
      <c r="AE80" s="22" t="s">
        <v>3095</v>
      </c>
      <c r="AF80" s="22" t="s">
        <v>3095</v>
      </c>
    </row>
    <row r="81" ht="45.0" customHeight="1">
      <c r="A81" s="55" t="s">
        <v>396</v>
      </c>
      <c r="B81" s="62" t="s">
        <v>3614</v>
      </c>
      <c r="C81" s="22" t="str">
        <f>IMAGE("https://raw.githubusercontent.com/ltdimages/images/refs/heads/main/ClothTopsYshirtHalfHibiscus_00.png")</f>
        <v/>
      </c>
      <c r="D81" s="22" t="str">
        <f>IMAGE("https://raw.githubusercontent.com/ltdimages/images/refs/heads/main/ClothTopsYshirtHalfHibiscus_01.png")</f>
        <v/>
      </c>
      <c r="E81" s="22" t="str">
        <f>IMAGE("https://raw.githubusercontent.com/ltdimages/images/refs/heads/main/ClothTopsYshirtHalfHibiscus_02.png")</f>
        <v/>
      </c>
      <c r="F81" s="22" t="str">
        <f>IMAGE("https://raw.githubusercontent.com/ltdimages/images/refs/heads/main/ClothTopsYshirtHalfHibiscus_03.png")</f>
        <v/>
      </c>
      <c r="G81" s="22" t="s">
        <v>3095</v>
      </c>
      <c r="H81" s="22" t="s">
        <v>3095</v>
      </c>
      <c r="I81" s="22" t="s">
        <v>3095</v>
      </c>
      <c r="J81" s="22" t="s">
        <v>3095</v>
      </c>
      <c r="K81" s="63" t="s">
        <v>3103</v>
      </c>
      <c r="L81" s="23">
        <v>12.0</v>
      </c>
      <c r="M81" s="22" t="s">
        <v>3097</v>
      </c>
      <c r="N81" s="22" t="s">
        <v>3123</v>
      </c>
      <c r="O81" s="22" t="s">
        <v>45</v>
      </c>
      <c r="P81" s="22" t="s">
        <v>45</v>
      </c>
      <c r="Q81" s="22" t="s">
        <v>45</v>
      </c>
      <c r="R81" s="22" t="s">
        <v>45</v>
      </c>
      <c r="S81" s="22" t="s">
        <v>45</v>
      </c>
      <c r="T81" s="22" t="s">
        <v>2002</v>
      </c>
      <c r="U81" s="22" t="s">
        <v>45</v>
      </c>
      <c r="V81" s="22" t="s">
        <v>45</v>
      </c>
      <c r="W81" s="22" t="s">
        <v>4855</v>
      </c>
      <c r="X81" s="22" t="s">
        <v>3095</v>
      </c>
      <c r="Y81" s="22" t="s">
        <v>3095</v>
      </c>
      <c r="Z81" s="22" t="s">
        <v>3095</v>
      </c>
      <c r="AA81" s="22" t="s">
        <v>3095</v>
      </c>
      <c r="AB81" s="22" t="s">
        <v>3095</v>
      </c>
      <c r="AC81" s="22" t="s">
        <v>3095</v>
      </c>
      <c r="AD81" s="22" t="s">
        <v>3095</v>
      </c>
      <c r="AE81" s="22" t="s">
        <v>3095</v>
      </c>
      <c r="AF81" s="22" t="s">
        <v>3095</v>
      </c>
    </row>
    <row r="82" ht="45.0" customHeight="1">
      <c r="A82" s="55" t="s">
        <v>400</v>
      </c>
      <c r="B82" s="62" t="s">
        <v>3645</v>
      </c>
      <c r="C82" s="22" t="str">
        <f>IMAGE("https://raw.githubusercontent.com/ltdimages/images/refs/heads/main/ClothTopsTshirtHalfIcecream_00.png")</f>
        <v/>
      </c>
      <c r="D82" s="22" t="str">
        <f>IMAGE("https://raw.githubusercontent.com/ltdimages/images/refs/heads/main/ClothTopsTshirtHalfIcecream_01.png")</f>
        <v/>
      </c>
      <c r="E82" s="22" t="str">
        <f>IMAGE("https://raw.githubusercontent.com/ltdimages/images/refs/heads/main/ClothTopsTshirtHalfIcecream_02.png")</f>
        <v/>
      </c>
      <c r="F82" s="22" t="str">
        <f>IMAGE("https://raw.githubusercontent.com/ltdimages/images/refs/heads/main/ClothTopsTshirtHalfIcecream_03.png")</f>
        <v/>
      </c>
      <c r="G82" s="22" t="str">
        <f>IMAGE("https://raw.githubusercontent.com/ltdimages/images/refs/heads/main/ClothTopsTshirtHalfIcecream_04.png")</f>
        <v/>
      </c>
      <c r="H82" s="22" t="str">
        <f>IMAGE("https://raw.githubusercontent.com/ltdimages/images/refs/heads/main/ClothTopsTshirtHalfIcecream_05.png")</f>
        <v/>
      </c>
      <c r="I82" s="22" t="s">
        <v>3095</v>
      </c>
      <c r="J82" s="22" t="s">
        <v>3095</v>
      </c>
      <c r="K82" s="63" t="s">
        <v>3103</v>
      </c>
      <c r="L82" s="23">
        <v>12.0</v>
      </c>
      <c r="M82" s="22" t="s">
        <v>3097</v>
      </c>
      <c r="N82" s="22" t="s">
        <v>3123</v>
      </c>
      <c r="O82" s="22" t="s">
        <v>45</v>
      </c>
      <c r="P82" s="22" t="s">
        <v>45</v>
      </c>
      <c r="Q82" s="22" t="s">
        <v>45</v>
      </c>
      <c r="R82" s="22" t="s">
        <v>45</v>
      </c>
      <c r="S82" s="22" t="s">
        <v>45</v>
      </c>
      <c r="T82" s="22" t="s">
        <v>2002</v>
      </c>
      <c r="U82" s="22" t="s">
        <v>45</v>
      </c>
      <c r="V82" s="22" t="s">
        <v>45</v>
      </c>
      <c r="W82" s="22" t="s">
        <v>4856</v>
      </c>
      <c r="X82" s="22" t="s">
        <v>3095</v>
      </c>
      <c r="Y82" s="22" t="s">
        <v>3095</v>
      </c>
      <c r="Z82" s="22" t="s">
        <v>3095</v>
      </c>
      <c r="AA82" s="22" t="s">
        <v>3095</v>
      </c>
      <c r="AB82" s="22" t="s">
        <v>3095</v>
      </c>
      <c r="AC82" s="22" t="s">
        <v>3095</v>
      </c>
      <c r="AD82" s="22" t="s">
        <v>3095</v>
      </c>
      <c r="AE82" s="22" t="s">
        <v>3095</v>
      </c>
      <c r="AF82" s="22" t="s">
        <v>3095</v>
      </c>
    </row>
    <row r="83" ht="45.0" customHeight="1">
      <c r="A83" s="55" t="s">
        <v>404</v>
      </c>
      <c r="B83" s="62" t="s">
        <v>3671</v>
      </c>
      <c r="C83" s="22" t="str">
        <f>IMAGE("https://raw.githubusercontent.com/ltdimages/images/refs/heads/main/ClothTopsYshirtLongJockey_00.png")</f>
        <v/>
      </c>
      <c r="D83" s="22" t="str">
        <f>IMAGE("https://raw.githubusercontent.com/ltdimages/images/refs/heads/main/ClothTopsYshirtLongJockey_01.png")</f>
        <v/>
      </c>
      <c r="E83" s="22" t="str">
        <f>IMAGE("https://raw.githubusercontent.com/ltdimages/images/refs/heads/main/ClothTopsYshirtLongJockey_02.png")</f>
        <v/>
      </c>
      <c r="F83" s="22" t="str">
        <f>IMAGE("https://raw.githubusercontent.com/ltdimages/images/refs/heads/main/ClothTopsYshirtLongJockey_03.png")</f>
        <v/>
      </c>
      <c r="G83" s="22" t="str">
        <f>IMAGE("https://raw.githubusercontent.com/ltdimages/images/refs/heads/main/ClothTopsYshirtLongJockey_04.png")</f>
        <v/>
      </c>
      <c r="H83" s="22" t="str">
        <f>IMAGE("https://raw.githubusercontent.com/ltdimages/images/refs/heads/main/ClothTopsYshirtLongJockey_05.png")</f>
        <v/>
      </c>
      <c r="I83" s="22" t="str">
        <f>IMAGE("https://raw.githubusercontent.com/ltdimages/images/refs/heads/main/ClothTopsYshirtLongJockey_06.png")</f>
        <v/>
      </c>
      <c r="J83" s="22" t="str">
        <f>IMAGE("https://raw.githubusercontent.com/ltdimages/images/refs/heads/main/ClothTopsYshirtLongJockey_07.png")</f>
        <v/>
      </c>
      <c r="K83" s="63" t="s">
        <v>3103</v>
      </c>
      <c r="L83" s="23">
        <v>17.0</v>
      </c>
      <c r="M83" s="22" t="s">
        <v>3097</v>
      </c>
      <c r="N83" s="22" t="s">
        <v>3099</v>
      </c>
      <c r="O83" s="22" t="s">
        <v>45</v>
      </c>
      <c r="P83" s="22" t="s">
        <v>45</v>
      </c>
      <c r="Q83" s="22" t="s">
        <v>45</v>
      </c>
      <c r="R83" s="22" t="s">
        <v>49</v>
      </c>
      <c r="S83" s="22" t="s">
        <v>45</v>
      </c>
      <c r="T83" s="22" t="s">
        <v>2002</v>
      </c>
      <c r="U83" s="22" t="s">
        <v>45</v>
      </c>
      <c r="V83" s="22" t="s">
        <v>45</v>
      </c>
      <c r="W83" s="22" t="s">
        <v>4857</v>
      </c>
      <c r="X83" s="22" t="s">
        <v>3095</v>
      </c>
      <c r="Y83" s="22" t="s">
        <v>3095</v>
      </c>
      <c r="Z83" s="22" t="s">
        <v>3095</v>
      </c>
      <c r="AA83" s="22" t="s">
        <v>3095</v>
      </c>
      <c r="AB83" s="22" t="s">
        <v>3095</v>
      </c>
      <c r="AC83" s="22" t="s">
        <v>3095</v>
      </c>
      <c r="AD83" s="22" t="s">
        <v>3095</v>
      </c>
      <c r="AE83" s="22" t="s">
        <v>3095</v>
      </c>
      <c r="AF83" s="22" t="s">
        <v>3095</v>
      </c>
    </row>
    <row r="84" ht="45.0" customHeight="1">
      <c r="A84" s="55" t="s">
        <v>410</v>
      </c>
      <c r="B84" s="62" t="s">
        <v>3675</v>
      </c>
      <c r="C84" s="22" t="str">
        <f>IMAGE("https://raw.githubusercontent.com/ltdimages/images/refs/heads/main/ClothTopsYshirtLongRunning_00.png")</f>
        <v/>
      </c>
      <c r="D84" s="22" t="str">
        <f>IMAGE("https://raw.githubusercontent.com/ltdimages/images/refs/heads/main/ClothTopsYshirtLongRunning_01.png")</f>
        <v/>
      </c>
      <c r="E84" s="22" t="str">
        <f>IMAGE("https://raw.githubusercontent.com/ltdimages/images/refs/heads/main/ClothTopsYshirtLongRunning_02.png")</f>
        <v/>
      </c>
      <c r="F84" s="22" t="str">
        <f>IMAGE("https://raw.githubusercontent.com/ltdimages/images/refs/heads/main/ClothTopsYshirtLongRunning_03.png")</f>
        <v/>
      </c>
      <c r="G84" s="22" t="str">
        <f>IMAGE("https://raw.githubusercontent.com/ltdimages/images/refs/heads/main/ClothTopsYshirtLongRunning_04.png")</f>
        <v/>
      </c>
      <c r="H84" s="22" t="str">
        <f>IMAGE("https://raw.githubusercontent.com/ltdimages/images/refs/heads/main/ClothTopsYshirtLongRunning_05.png")</f>
        <v/>
      </c>
      <c r="I84" s="22" t="s">
        <v>3095</v>
      </c>
      <c r="J84" s="22" t="s">
        <v>3095</v>
      </c>
      <c r="K84" s="63" t="s">
        <v>3103</v>
      </c>
      <c r="L84" s="23">
        <v>13.5</v>
      </c>
      <c r="M84" s="22" t="s">
        <v>3097</v>
      </c>
      <c r="N84" s="22" t="s">
        <v>3099</v>
      </c>
      <c r="O84" s="22" t="s">
        <v>45</v>
      </c>
      <c r="P84" s="22" t="s">
        <v>45</v>
      </c>
      <c r="Q84" s="22" t="s">
        <v>45</v>
      </c>
      <c r="R84" s="22" t="s">
        <v>45</v>
      </c>
      <c r="S84" s="22" t="s">
        <v>45</v>
      </c>
      <c r="T84" s="22" t="s">
        <v>2002</v>
      </c>
      <c r="U84" s="22" t="s">
        <v>45</v>
      </c>
      <c r="V84" s="22" t="s">
        <v>45</v>
      </c>
      <c r="W84" s="22" t="s">
        <v>4858</v>
      </c>
      <c r="X84" s="22" t="s">
        <v>3095</v>
      </c>
      <c r="Y84" s="22" t="s">
        <v>3095</v>
      </c>
      <c r="Z84" s="22" t="s">
        <v>3095</v>
      </c>
      <c r="AA84" s="22" t="s">
        <v>3095</v>
      </c>
      <c r="AB84" s="22" t="s">
        <v>3095</v>
      </c>
      <c r="AC84" s="22" t="s">
        <v>3095</v>
      </c>
      <c r="AD84" s="22" t="s">
        <v>3095</v>
      </c>
      <c r="AE84" s="22" t="s">
        <v>3095</v>
      </c>
      <c r="AF84" s="22" t="s">
        <v>3095</v>
      </c>
    </row>
    <row r="85" ht="45.0" customHeight="1">
      <c r="A85" s="55" t="s">
        <v>414</v>
      </c>
      <c r="B85" s="62" t="s">
        <v>4859</v>
      </c>
      <c r="C85" s="22" t="str">
        <f>IMAGE("https://raw.githubusercontent.com/ltdimages/images/refs/heads/main/ClothTopsTshirtHalfKanji_00.png")</f>
        <v/>
      </c>
      <c r="D85" s="22" t="str">
        <f>IMAGE("https://raw.githubusercontent.com/ltdimages/images/refs/heads/main/ClothTopsTshirtHalfKanji_01.png")</f>
        <v/>
      </c>
      <c r="E85" s="22" t="str">
        <f>IMAGE("https://raw.githubusercontent.com/ltdimages/images/refs/heads/main/ClothTopsTshirtHalfKanji_02.png")</f>
        <v/>
      </c>
      <c r="F85" s="22" t="str">
        <f>IMAGE("https://raw.githubusercontent.com/ltdimages/images/refs/heads/main/ClothTopsTshirtHalfKanji_03.png")</f>
        <v/>
      </c>
      <c r="G85" s="22" t="str">
        <f>IMAGE("https://raw.githubusercontent.com/ltdimages/images/refs/heads/main/ClothTopsTshirtHalfKanji_04.png")</f>
        <v/>
      </c>
      <c r="H85" s="22" t="str">
        <f>IMAGE("https://raw.githubusercontent.com/ltdimages/images/refs/heads/main/ClothTopsTshirtHalfKanji_05.png")</f>
        <v/>
      </c>
      <c r="I85" s="22" t="str">
        <f>IMAGE("https://raw.githubusercontent.com/ltdimages/images/refs/heads/main/ClothTopsTshirtHalfKanji_06.png")</f>
        <v/>
      </c>
      <c r="J85" s="22" t="str">
        <f>IMAGE("https://raw.githubusercontent.com/ltdimages/images/refs/heads/main/ClothTopsTshirtHalfKanji_07.png")</f>
        <v/>
      </c>
      <c r="K85" s="63" t="s">
        <v>3103</v>
      </c>
      <c r="L85" s="23">
        <v>15.0</v>
      </c>
      <c r="M85" s="22" t="s">
        <v>3097</v>
      </c>
      <c r="N85" s="22" t="s">
        <v>3099</v>
      </c>
      <c r="O85" s="22" t="s">
        <v>45</v>
      </c>
      <c r="P85" s="22" t="s">
        <v>45</v>
      </c>
      <c r="Q85" s="22" t="s">
        <v>45</v>
      </c>
      <c r="R85" s="22" t="s">
        <v>45</v>
      </c>
      <c r="S85" s="22" t="s">
        <v>45</v>
      </c>
      <c r="T85" s="22" t="s">
        <v>2002</v>
      </c>
      <c r="U85" s="22" t="s">
        <v>45</v>
      </c>
      <c r="V85" s="22" t="s">
        <v>45</v>
      </c>
      <c r="W85" s="22" t="s">
        <v>4860</v>
      </c>
      <c r="X85" s="22" t="s">
        <v>3095</v>
      </c>
      <c r="Y85" s="22" t="s">
        <v>3095</v>
      </c>
      <c r="Z85" s="22" t="s">
        <v>3095</v>
      </c>
      <c r="AA85" s="22" t="s">
        <v>3095</v>
      </c>
      <c r="AB85" s="22" t="s">
        <v>3095</v>
      </c>
      <c r="AC85" s="22" t="s">
        <v>3095</v>
      </c>
      <c r="AD85" s="22" t="s">
        <v>3095</v>
      </c>
      <c r="AE85" s="22" t="s">
        <v>3095</v>
      </c>
      <c r="AF85" s="22" t="s">
        <v>3095</v>
      </c>
    </row>
    <row r="86" ht="45.0" customHeight="1">
      <c r="A86" s="55" t="s">
        <v>418</v>
      </c>
      <c r="B86" s="62" t="s">
        <v>3688</v>
      </c>
      <c r="C86" s="22" t="str">
        <f>IMAGE("https://raw.githubusercontent.com/ltdimages/images/refs/heads/main/ClothTopsYshirtLongKungfu_00.png")</f>
        <v/>
      </c>
      <c r="D86" s="22" t="str">
        <f>IMAGE("https://raw.githubusercontent.com/ltdimages/images/refs/heads/main/ClothTopsYshirtLongKungfu_01.png")</f>
        <v/>
      </c>
      <c r="E86" s="22" t="str">
        <f>IMAGE("https://raw.githubusercontent.com/ltdimages/images/refs/heads/main/ClothTopsYshirtLongKungfu_02.png")</f>
        <v/>
      </c>
      <c r="F86" s="22" t="str">
        <f>IMAGE("https://raw.githubusercontent.com/ltdimages/images/refs/heads/main/ClothTopsYshirtLongKungfu_03.png")</f>
        <v/>
      </c>
      <c r="G86" s="22" t="str">
        <f>IMAGE("https://raw.githubusercontent.com/ltdimages/images/refs/heads/main/ClothTopsYshirtLongKungfu_04.png")</f>
        <v/>
      </c>
      <c r="H86" s="22" t="str">
        <f>IMAGE("https://raw.githubusercontent.com/ltdimages/images/refs/heads/main/ClothTopsYshirtLongKungfu_05.png")</f>
        <v/>
      </c>
      <c r="I86" s="22" t="s">
        <v>3095</v>
      </c>
      <c r="J86" s="22" t="s">
        <v>3095</v>
      </c>
      <c r="K86" s="63" t="s">
        <v>3103</v>
      </c>
      <c r="L86" s="23">
        <v>15.0</v>
      </c>
      <c r="M86" s="22" t="s">
        <v>3097</v>
      </c>
      <c r="N86" s="22" t="s">
        <v>3099</v>
      </c>
      <c r="O86" s="22" t="s">
        <v>45</v>
      </c>
      <c r="P86" s="22" t="s">
        <v>45</v>
      </c>
      <c r="Q86" s="22" t="s">
        <v>45</v>
      </c>
      <c r="R86" s="22" t="s">
        <v>45</v>
      </c>
      <c r="S86" s="22" t="s">
        <v>45</v>
      </c>
      <c r="T86" s="22" t="s">
        <v>2002</v>
      </c>
      <c r="U86" s="22" t="s">
        <v>45</v>
      </c>
      <c r="V86" s="22" t="s">
        <v>45</v>
      </c>
      <c r="W86" s="22" t="s">
        <v>4861</v>
      </c>
      <c r="X86" s="22" t="s">
        <v>3095</v>
      </c>
      <c r="Y86" s="22" t="s">
        <v>3095</v>
      </c>
      <c r="Z86" s="22" t="s">
        <v>3095</v>
      </c>
      <c r="AA86" s="22" t="s">
        <v>3095</v>
      </c>
      <c r="AB86" s="22" t="s">
        <v>3095</v>
      </c>
      <c r="AC86" s="22" t="s">
        <v>3095</v>
      </c>
      <c r="AD86" s="22" t="s">
        <v>3095</v>
      </c>
      <c r="AE86" s="22" t="s">
        <v>3095</v>
      </c>
      <c r="AF86" s="22" t="s">
        <v>3095</v>
      </c>
    </row>
    <row r="87" ht="45.0" customHeight="1">
      <c r="A87" s="55" t="s">
        <v>422</v>
      </c>
      <c r="B87" s="62" t="s">
        <v>3691</v>
      </c>
      <c r="C87" s="22" t="str">
        <f>IMAGE("https://raw.githubusercontent.com/ltdimages/images/refs/heads/main/ClothTopsCoatLongKurta_00.png")</f>
        <v/>
      </c>
      <c r="D87" s="22" t="str">
        <f>IMAGE("https://raw.githubusercontent.com/ltdimages/images/refs/heads/main/ClothTopsCoatLongKurta_01.png")</f>
        <v/>
      </c>
      <c r="E87" s="22" t="str">
        <f>IMAGE("https://raw.githubusercontent.com/ltdimages/images/refs/heads/main/ClothTopsCoatLongKurta_02.png")</f>
        <v/>
      </c>
      <c r="F87" s="22" t="str">
        <f>IMAGE("https://raw.githubusercontent.com/ltdimages/images/refs/heads/main/ClothTopsCoatLongKurta_03.png")</f>
        <v/>
      </c>
      <c r="G87" s="22" t="str">
        <f>IMAGE("https://raw.githubusercontent.com/ltdimages/images/refs/heads/main/ClothTopsCoatLongKurta_04.png")</f>
        <v/>
      </c>
      <c r="H87" s="22" t="str">
        <f>IMAGE("https://raw.githubusercontent.com/ltdimages/images/refs/heads/main/ClothTopsCoatLongKurta_05.png")</f>
        <v/>
      </c>
      <c r="I87" s="22" t="str">
        <f>IMAGE("https://raw.githubusercontent.com/ltdimages/images/refs/heads/main/ClothTopsCoatLongKurta_06.png")</f>
        <v/>
      </c>
      <c r="J87" s="22" t="str">
        <f>IMAGE("https://raw.githubusercontent.com/ltdimages/images/refs/heads/main/ClothTopsCoatLongKurta_07.png")</f>
        <v/>
      </c>
      <c r="K87" s="63" t="s">
        <v>3103</v>
      </c>
      <c r="L87" s="23">
        <v>24.0</v>
      </c>
      <c r="M87" s="22" t="s">
        <v>3097</v>
      </c>
      <c r="N87" s="22" t="s">
        <v>3099</v>
      </c>
      <c r="O87" s="22" t="s">
        <v>45</v>
      </c>
      <c r="P87" s="22" t="s">
        <v>45</v>
      </c>
      <c r="Q87" s="22" t="s">
        <v>45</v>
      </c>
      <c r="R87" s="22" t="s">
        <v>45</v>
      </c>
      <c r="S87" s="22" t="s">
        <v>45</v>
      </c>
      <c r="T87" s="22" t="s">
        <v>2002</v>
      </c>
      <c r="U87" s="22" t="s">
        <v>45</v>
      </c>
      <c r="V87" s="22" t="s">
        <v>45</v>
      </c>
      <c r="W87" s="22" t="s">
        <v>4862</v>
      </c>
      <c r="X87" s="22" t="s">
        <v>3095</v>
      </c>
      <c r="Y87" s="22" t="s">
        <v>3095</v>
      </c>
      <c r="Z87" s="22" t="s">
        <v>3095</v>
      </c>
      <c r="AA87" s="22" t="s">
        <v>3095</v>
      </c>
      <c r="AB87" s="22" t="s">
        <v>3095</v>
      </c>
      <c r="AC87" s="22" t="s">
        <v>3095</v>
      </c>
      <c r="AD87" s="22" t="s">
        <v>3095</v>
      </c>
      <c r="AE87" s="22" t="s">
        <v>3095</v>
      </c>
      <c r="AF87" s="22" t="s">
        <v>3095</v>
      </c>
    </row>
    <row r="88" ht="45.0" customHeight="1">
      <c r="A88" s="55" t="s">
        <v>426</v>
      </c>
      <c r="B88" s="62" t="s">
        <v>3696</v>
      </c>
      <c r="C88" s="22" t="str">
        <f>IMAGE("https://raw.githubusercontent.com/ltdimages/images/refs/heads/main/ClothTopsCoatLongDoctor_00.png")</f>
        <v/>
      </c>
      <c r="D88" s="22" t="s">
        <v>3095</v>
      </c>
      <c r="E88" s="22" t="s">
        <v>3095</v>
      </c>
      <c r="F88" s="22" t="s">
        <v>3095</v>
      </c>
      <c r="G88" s="22" t="s">
        <v>3095</v>
      </c>
      <c r="H88" s="22" t="s">
        <v>3095</v>
      </c>
      <c r="I88" s="22" t="s">
        <v>3095</v>
      </c>
      <c r="J88" s="22" t="s">
        <v>3095</v>
      </c>
      <c r="K88" s="63" t="s">
        <v>3103</v>
      </c>
      <c r="L88" s="23">
        <v>11.0</v>
      </c>
      <c r="M88" s="22" t="s">
        <v>3097</v>
      </c>
      <c r="N88" s="22" t="s">
        <v>3099</v>
      </c>
      <c r="O88" s="22" t="s">
        <v>45</v>
      </c>
      <c r="P88" s="22" t="s">
        <v>45</v>
      </c>
      <c r="Q88" s="22" t="s">
        <v>45</v>
      </c>
      <c r="R88" s="22" t="s">
        <v>49</v>
      </c>
      <c r="S88" s="22" t="s">
        <v>45</v>
      </c>
      <c r="T88" s="22" t="s">
        <v>2002</v>
      </c>
      <c r="U88" s="22" t="s">
        <v>45</v>
      </c>
      <c r="V88" s="22" t="s">
        <v>45</v>
      </c>
      <c r="W88" s="22" t="s">
        <v>4863</v>
      </c>
      <c r="X88" s="22" t="s">
        <v>3095</v>
      </c>
      <c r="Y88" s="22" t="s">
        <v>3095</v>
      </c>
      <c r="Z88" s="22" t="s">
        <v>3095</v>
      </c>
      <c r="AA88" s="22" t="s">
        <v>3095</v>
      </c>
      <c r="AB88" s="22" t="s">
        <v>3095</v>
      </c>
      <c r="AC88" s="22" t="s">
        <v>3095</v>
      </c>
      <c r="AD88" s="22" t="s">
        <v>3095</v>
      </c>
      <c r="AE88" s="22" t="s">
        <v>3095</v>
      </c>
      <c r="AF88" s="22" t="s">
        <v>3095</v>
      </c>
    </row>
    <row r="89" ht="45.0" customHeight="1">
      <c r="A89" s="55" t="s">
        <v>430</v>
      </c>
      <c r="B89" s="62" t="s">
        <v>4864</v>
      </c>
      <c r="C89" s="22" t="str">
        <f>IMAGE("https://raw.githubusercontent.com/ltdimages/images/refs/heads/main/ClothTopsCoatLongLayered_00.png")</f>
        <v/>
      </c>
      <c r="D89" s="22" t="str">
        <f>IMAGE("https://raw.githubusercontent.com/ltdimages/images/refs/heads/main/ClothTopsCoatLongLayered_01.png")</f>
        <v/>
      </c>
      <c r="E89" s="22" t="str">
        <f>IMAGE("https://raw.githubusercontent.com/ltdimages/images/refs/heads/main/ClothTopsCoatLongLayered_02.png")</f>
        <v/>
      </c>
      <c r="F89" s="22" t="str">
        <f>IMAGE("https://raw.githubusercontent.com/ltdimages/images/refs/heads/main/ClothTopsCoatLongLayered_03.png")</f>
        <v/>
      </c>
      <c r="G89" s="22" t="str">
        <f>IMAGE("https://raw.githubusercontent.com/ltdimages/images/refs/heads/main/ClothTopsCoatLongLayered_04.png")</f>
        <v/>
      </c>
      <c r="H89" s="22" t="str">
        <f>IMAGE("https://raw.githubusercontent.com/ltdimages/images/refs/heads/main/ClothTopsCoatLongLayered_05.png")</f>
        <v/>
      </c>
      <c r="I89" s="22" t="str">
        <f>IMAGE("https://raw.githubusercontent.com/ltdimages/images/refs/heads/main/ClothTopsCoatLongLayered_06.png")</f>
        <v/>
      </c>
      <c r="J89" s="22" t="str">
        <f>IMAGE("https://raw.githubusercontent.com/ltdimages/images/refs/heads/main/ClothTopsCoatLongLayered_07.png")</f>
        <v/>
      </c>
      <c r="K89" s="63" t="s">
        <v>3103</v>
      </c>
      <c r="L89" s="23">
        <v>15.7</v>
      </c>
      <c r="M89" s="22" t="s">
        <v>3097</v>
      </c>
      <c r="N89" s="22" t="s">
        <v>3099</v>
      </c>
      <c r="O89" s="22" t="s">
        <v>45</v>
      </c>
      <c r="P89" s="22" t="s">
        <v>45</v>
      </c>
      <c r="Q89" s="22" t="s">
        <v>45</v>
      </c>
      <c r="R89" s="22" t="s">
        <v>45</v>
      </c>
      <c r="S89" s="22" t="s">
        <v>45</v>
      </c>
      <c r="T89" s="22" t="s">
        <v>2002</v>
      </c>
      <c r="U89" s="22" t="s">
        <v>45</v>
      </c>
      <c r="V89" s="22" t="s">
        <v>45</v>
      </c>
      <c r="W89" s="22" t="s">
        <v>4865</v>
      </c>
      <c r="X89" s="22" t="s">
        <v>3095</v>
      </c>
      <c r="Y89" s="22" t="s">
        <v>3095</v>
      </c>
      <c r="Z89" s="22" t="s">
        <v>3095</v>
      </c>
      <c r="AA89" s="22" t="s">
        <v>3095</v>
      </c>
      <c r="AB89" s="22" t="s">
        <v>3095</v>
      </c>
      <c r="AC89" s="22" t="s">
        <v>3095</v>
      </c>
      <c r="AD89" s="22" t="s">
        <v>3095</v>
      </c>
      <c r="AE89" s="22" t="s">
        <v>3095</v>
      </c>
      <c r="AF89" s="22" t="s">
        <v>3095</v>
      </c>
    </row>
    <row r="90" ht="45.0" customHeight="1">
      <c r="A90" s="55" t="s">
        <v>434</v>
      </c>
      <c r="B90" s="62" t="s">
        <v>4673</v>
      </c>
      <c r="C90" s="22" t="str">
        <f>IMAGE("https://raw.githubusercontent.com/ltdimages/images/refs/heads/main/ClothTopsTshirtLongLayeredHeart_00.png")</f>
        <v/>
      </c>
      <c r="D90" s="22" t="str">
        <f>IMAGE("https://raw.githubusercontent.com/ltdimages/images/refs/heads/main/ClothTopsTshirtLongLayeredHeart_01.png")</f>
        <v/>
      </c>
      <c r="E90" s="22" t="str">
        <f>IMAGE("https://raw.githubusercontent.com/ltdimages/images/refs/heads/main/ClothTopsTshirtLongLayeredHeart_02.png")</f>
        <v/>
      </c>
      <c r="F90" s="22" t="str">
        <f>IMAGE("https://raw.githubusercontent.com/ltdimages/images/refs/heads/main/ClothTopsTshirtLongLayeredHeart_03.png")</f>
        <v/>
      </c>
      <c r="G90" s="22" t="str">
        <f>IMAGE("https://raw.githubusercontent.com/ltdimages/images/refs/heads/main/ClothTopsTshirtLongLayeredHeart_04.png")</f>
        <v/>
      </c>
      <c r="H90" s="22" t="str">
        <f>IMAGE("https://raw.githubusercontent.com/ltdimages/images/refs/heads/main/ClothTopsTshirtLongLayeredHeart_05.png")</f>
        <v/>
      </c>
      <c r="I90" s="22" t="str">
        <f>IMAGE("https://raw.githubusercontent.com/ltdimages/images/refs/heads/main/ClothTopsTshirtLongLayeredHeart_06.png")</f>
        <v/>
      </c>
      <c r="J90" s="22" t="str">
        <f>IMAGE("https://raw.githubusercontent.com/ltdimages/images/refs/heads/main/ClothTopsTshirtLongLayeredHeart_07.png")</f>
        <v/>
      </c>
      <c r="K90" s="63" t="s">
        <v>3103</v>
      </c>
      <c r="L90" s="23">
        <v>14.3</v>
      </c>
      <c r="M90" s="22" t="s">
        <v>3097</v>
      </c>
      <c r="N90" s="22" t="s">
        <v>3099</v>
      </c>
      <c r="O90" s="22" t="s">
        <v>45</v>
      </c>
      <c r="P90" s="22" t="s">
        <v>45</v>
      </c>
      <c r="Q90" s="22" t="s">
        <v>45</v>
      </c>
      <c r="R90" s="22" t="s">
        <v>45</v>
      </c>
      <c r="S90" s="22" t="s">
        <v>45</v>
      </c>
      <c r="T90" s="22" t="s">
        <v>2002</v>
      </c>
      <c r="U90" s="22" t="s">
        <v>45</v>
      </c>
      <c r="V90" s="22" t="s">
        <v>45</v>
      </c>
      <c r="W90" s="22" t="s">
        <v>4866</v>
      </c>
      <c r="X90" s="22" t="s">
        <v>3095</v>
      </c>
      <c r="Y90" s="22" t="s">
        <v>3095</v>
      </c>
      <c r="Z90" s="22" t="s">
        <v>3095</v>
      </c>
      <c r="AA90" s="22" t="s">
        <v>3095</v>
      </c>
      <c r="AB90" s="22" t="s">
        <v>3095</v>
      </c>
      <c r="AC90" s="22" t="s">
        <v>3095</v>
      </c>
      <c r="AD90" s="22" t="s">
        <v>3095</v>
      </c>
      <c r="AE90" s="22" t="s">
        <v>3095</v>
      </c>
      <c r="AF90" s="22" t="s">
        <v>3095</v>
      </c>
    </row>
    <row r="91" ht="45.0" customHeight="1">
      <c r="A91" s="55" t="s">
        <v>438</v>
      </c>
      <c r="B91" s="62" t="s">
        <v>4052</v>
      </c>
      <c r="C91" s="22" t="str">
        <f>IMAGE("https://raw.githubusercontent.com/ltdimages/images/refs/heads/main/ClothTopsTshirtLongLayered_00.png")</f>
        <v/>
      </c>
      <c r="D91" s="22" t="str">
        <f>IMAGE("https://raw.githubusercontent.com/ltdimages/images/refs/heads/main/ClothTopsTshirtLongLayered_01.png")</f>
        <v/>
      </c>
      <c r="E91" s="22" t="str">
        <f>IMAGE("https://raw.githubusercontent.com/ltdimages/images/refs/heads/main/ClothTopsTshirtLongLayered_02.png")</f>
        <v/>
      </c>
      <c r="F91" s="22" t="str">
        <f>IMAGE("https://raw.githubusercontent.com/ltdimages/images/refs/heads/main/ClothTopsTshirtLongLayered_03.png")</f>
        <v/>
      </c>
      <c r="G91" s="22" t="str">
        <f>IMAGE("https://raw.githubusercontent.com/ltdimages/images/refs/heads/main/ClothTopsTshirtLongLayered_04.png")</f>
        <v/>
      </c>
      <c r="H91" s="22" t="str">
        <f>IMAGE("https://raw.githubusercontent.com/ltdimages/images/refs/heads/main/ClothTopsTshirtLongLayered_05.png")</f>
        <v/>
      </c>
      <c r="I91" s="22" t="s">
        <v>3095</v>
      </c>
      <c r="J91" s="22" t="s">
        <v>3095</v>
      </c>
      <c r="K91" s="63" t="s">
        <v>3103</v>
      </c>
      <c r="L91" s="23">
        <v>10.0</v>
      </c>
      <c r="M91" s="22" t="s">
        <v>3097</v>
      </c>
      <c r="N91" s="22" t="s">
        <v>3099</v>
      </c>
      <c r="O91" s="22" t="s">
        <v>45</v>
      </c>
      <c r="P91" s="22" t="s">
        <v>45</v>
      </c>
      <c r="Q91" s="22" t="s">
        <v>45</v>
      </c>
      <c r="R91" s="22" t="s">
        <v>45</v>
      </c>
      <c r="S91" s="22" t="s">
        <v>45</v>
      </c>
      <c r="T91" s="22" t="s">
        <v>2002</v>
      </c>
      <c r="U91" s="22" t="s">
        <v>45</v>
      </c>
      <c r="V91" s="22" t="s">
        <v>45</v>
      </c>
      <c r="W91" s="22" t="s">
        <v>4867</v>
      </c>
      <c r="X91" s="22" t="s">
        <v>3095</v>
      </c>
      <c r="Y91" s="22" t="s">
        <v>3095</v>
      </c>
      <c r="Z91" s="22" t="s">
        <v>3095</v>
      </c>
      <c r="AA91" s="22" t="s">
        <v>3095</v>
      </c>
      <c r="AB91" s="22" t="s">
        <v>3095</v>
      </c>
      <c r="AC91" s="22" t="s">
        <v>3095</v>
      </c>
      <c r="AD91" s="22" t="s">
        <v>3095</v>
      </c>
      <c r="AE91" s="22" t="s">
        <v>3095</v>
      </c>
      <c r="AF91" s="22" t="s">
        <v>3095</v>
      </c>
    </row>
    <row r="92" ht="45.0" customHeight="1">
      <c r="A92" s="55" t="s">
        <v>442</v>
      </c>
      <c r="B92" s="62" t="s">
        <v>3763</v>
      </c>
      <c r="C92" s="22" t="str">
        <f>IMAGE("https://raw.githubusercontent.com/ltdimages/images/refs/heads/main/ClothTopsCoatLongLeather_00.png")</f>
        <v/>
      </c>
      <c r="D92" s="22" t="str">
        <f>IMAGE("https://raw.githubusercontent.com/ltdimages/images/refs/heads/main/ClothTopsCoatLongLeather_01.png")</f>
        <v/>
      </c>
      <c r="E92" s="22" t="str">
        <f>IMAGE("https://raw.githubusercontent.com/ltdimages/images/refs/heads/main/ClothTopsCoatLongLeather_02.png")</f>
        <v/>
      </c>
      <c r="F92" s="22" t="str">
        <f>IMAGE("https://raw.githubusercontent.com/ltdimages/images/refs/heads/main/ClothTopsCoatLongLeather_03.png")</f>
        <v/>
      </c>
      <c r="G92" s="22" t="str">
        <f>IMAGE("https://raw.githubusercontent.com/ltdimages/images/refs/heads/main/ClothTopsCoatLongLeather_04.png")</f>
        <v/>
      </c>
      <c r="H92" s="22" t="str">
        <f>IMAGE("https://raw.githubusercontent.com/ltdimages/images/refs/heads/main/ClothTopsCoatLongLeather_05.png")</f>
        <v/>
      </c>
      <c r="I92" s="22" t="s">
        <v>3095</v>
      </c>
      <c r="J92" s="22" t="s">
        <v>3095</v>
      </c>
      <c r="K92" s="63" t="s">
        <v>3103</v>
      </c>
      <c r="L92" s="23">
        <v>25.0</v>
      </c>
      <c r="M92" s="22" t="s">
        <v>3097</v>
      </c>
      <c r="N92" s="22" t="s">
        <v>3114</v>
      </c>
      <c r="O92" s="22" t="s">
        <v>45</v>
      </c>
      <c r="P92" s="22" t="s">
        <v>45</v>
      </c>
      <c r="Q92" s="22" t="s">
        <v>45</v>
      </c>
      <c r="R92" s="22" t="s">
        <v>45</v>
      </c>
      <c r="S92" s="22" t="s">
        <v>45</v>
      </c>
      <c r="T92" s="22" t="s">
        <v>2002</v>
      </c>
      <c r="U92" s="22" t="s">
        <v>45</v>
      </c>
      <c r="V92" s="22" t="s">
        <v>45</v>
      </c>
      <c r="W92" s="22" t="s">
        <v>4868</v>
      </c>
      <c r="X92" s="22" t="s">
        <v>3095</v>
      </c>
      <c r="Y92" s="22" t="s">
        <v>3095</v>
      </c>
      <c r="Z92" s="22" t="s">
        <v>3095</v>
      </c>
      <c r="AA92" s="22" t="s">
        <v>3095</v>
      </c>
      <c r="AB92" s="22" t="s">
        <v>3095</v>
      </c>
      <c r="AC92" s="22" t="s">
        <v>3095</v>
      </c>
      <c r="AD92" s="22" t="s">
        <v>3095</v>
      </c>
      <c r="AE92" s="22" t="s">
        <v>3095</v>
      </c>
      <c r="AF92" s="22" t="s">
        <v>3095</v>
      </c>
    </row>
    <row r="93" ht="45.0" customHeight="1">
      <c r="A93" s="55" t="s">
        <v>446</v>
      </c>
      <c r="B93" s="62" t="s">
        <v>4869</v>
      </c>
      <c r="C93" s="22" t="str">
        <f>IMAGE("https://raw.githubusercontent.com/ltdimages/images/refs/heads/main/ClothTopsCoatHalfLeopard_00.png")</f>
        <v/>
      </c>
      <c r="D93" s="22" t="str">
        <f>IMAGE("https://raw.githubusercontent.com/ltdimages/images/refs/heads/main/ClothTopsCoatHalfLeopard_01.png")</f>
        <v/>
      </c>
      <c r="E93" s="22" t="str">
        <f>IMAGE("https://raw.githubusercontent.com/ltdimages/images/refs/heads/main/ClothTopsCoatHalfLeopard_02.png")</f>
        <v/>
      </c>
      <c r="F93" s="22" t="str">
        <f>IMAGE("https://raw.githubusercontent.com/ltdimages/images/refs/heads/main/ClothTopsCoatHalfLeopard_03.png")</f>
        <v/>
      </c>
      <c r="G93" s="22" t="str">
        <f>IMAGE("https://raw.githubusercontent.com/ltdimages/images/refs/heads/main/ClothTopsCoatHalfLeopard_04.png")</f>
        <v/>
      </c>
      <c r="H93" s="22" t="str">
        <f>IMAGE("https://raw.githubusercontent.com/ltdimages/images/refs/heads/main/ClothTopsCoatHalfLeopard_05.png")</f>
        <v/>
      </c>
      <c r="I93" s="22" t="s">
        <v>3095</v>
      </c>
      <c r="J93" s="22" t="s">
        <v>3095</v>
      </c>
      <c r="K93" s="63" t="s">
        <v>3103</v>
      </c>
      <c r="L93" s="23">
        <v>16.5</v>
      </c>
      <c r="M93" s="22" t="s">
        <v>3097</v>
      </c>
      <c r="N93" s="22" t="s">
        <v>3099</v>
      </c>
      <c r="O93" s="22" t="s">
        <v>45</v>
      </c>
      <c r="P93" s="22" t="s">
        <v>45</v>
      </c>
      <c r="Q93" s="22" t="s">
        <v>45</v>
      </c>
      <c r="R93" s="22" t="s">
        <v>45</v>
      </c>
      <c r="S93" s="22" t="s">
        <v>45</v>
      </c>
      <c r="T93" s="22" t="s">
        <v>2002</v>
      </c>
      <c r="U93" s="22" t="s">
        <v>45</v>
      </c>
      <c r="V93" s="22" t="s">
        <v>45</v>
      </c>
      <c r="W93" s="22" t="s">
        <v>4870</v>
      </c>
      <c r="X93" s="22" t="s">
        <v>3095</v>
      </c>
      <c r="Y93" s="22" t="s">
        <v>3095</v>
      </c>
      <c r="Z93" s="22" t="s">
        <v>3095</v>
      </c>
      <c r="AA93" s="22" t="s">
        <v>3095</v>
      </c>
      <c r="AB93" s="22" t="s">
        <v>3095</v>
      </c>
      <c r="AC93" s="22" t="s">
        <v>3095</v>
      </c>
      <c r="AD93" s="22" t="s">
        <v>3095</v>
      </c>
      <c r="AE93" s="22" t="s">
        <v>3095</v>
      </c>
      <c r="AF93" s="22" t="s">
        <v>3095</v>
      </c>
    </row>
    <row r="94" ht="45.0" customHeight="1">
      <c r="A94" s="55" t="s">
        <v>450</v>
      </c>
      <c r="B94" s="62" t="s">
        <v>3700</v>
      </c>
      <c r="C94" s="22" t="str">
        <f>IMAGE("https://raw.githubusercontent.com/ltdimages/images/refs/heads/main/ClothTopsTshirtLongAlphabet_00.png")</f>
        <v/>
      </c>
      <c r="D94" s="22" t="str">
        <f>IMAGE("https://raw.githubusercontent.com/ltdimages/images/refs/heads/main/ClothTopsTshirtLongAlphabet_01.png")</f>
        <v/>
      </c>
      <c r="E94" s="22" t="str">
        <f>IMAGE("https://raw.githubusercontent.com/ltdimages/images/refs/heads/main/ClothTopsTshirtLongAlphabet_02.png")</f>
        <v/>
      </c>
      <c r="F94" s="22" t="str">
        <f>IMAGE("https://raw.githubusercontent.com/ltdimages/images/refs/heads/main/ClothTopsTshirtLongAlphabet_03.png")</f>
        <v/>
      </c>
      <c r="G94" s="22" t="s">
        <v>3095</v>
      </c>
      <c r="H94" s="22" t="s">
        <v>3095</v>
      </c>
      <c r="I94" s="22" t="s">
        <v>3095</v>
      </c>
      <c r="J94" s="22" t="s">
        <v>3095</v>
      </c>
      <c r="K94" s="63" t="s">
        <v>3103</v>
      </c>
      <c r="L94" s="23">
        <v>11.0</v>
      </c>
      <c r="M94" s="22" t="s">
        <v>3097</v>
      </c>
      <c r="N94" s="22" t="s">
        <v>3099</v>
      </c>
      <c r="O94" s="22" t="s">
        <v>45</v>
      </c>
      <c r="P94" s="22" t="s">
        <v>45</v>
      </c>
      <c r="Q94" s="22" t="s">
        <v>45</v>
      </c>
      <c r="R94" s="22" t="s">
        <v>45</v>
      </c>
      <c r="S94" s="22" t="s">
        <v>45</v>
      </c>
      <c r="T94" s="22" t="s">
        <v>2002</v>
      </c>
      <c r="U94" s="22" t="s">
        <v>45</v>
      </c>
      <c r="V94" s="22" t="s">
        <v>45</v>
      </c>
      <c r="W94" s="22" t="s">
        <v>4871</v>
      </c>
      <c r="X94" s="22" t="s">
        <v>3095</v>
      </c>
      <c r="Y94" s="22" t="s">
        <v>3095</v>
      </c>
      <c r="Z94" s="22" t="s">
        <v>3095</v>
      </c>
      <c r="AA94" s="22" t="s">
        <v>3095</v>
      </c>
      <c r="AB94" s="22" t="s">
        <v>3095</v>
      </c>
      <c r="AC94" s="22" t="s">
        <v>3095</v>
      </c>
      <c r="AD94" s="22" t="s">
        <v>3095</v>
      </c>
      <c r="AE94" s="22" t="s">
        <v>3095</v>
      </c>
      <c r="AF94" s="22" t="s">
        <v>3095</v>
      </c>
    </row>
    <row r="95" ht="45.0" customHeight="1">
      <c r="A95" s="55" t="s">
        <v>454</v>
      </c>
      <c r="B95" s="62" t="s">
        <v>4482</v>
      </c>
      <c r="C95" s="22" t="str">
        <f>IMAGE("https://raw.githubusercontent.com/ltdimages/images/refs/heads/main/ClothTopsCoatLongKnitGown_00.png")</f>
        <v/>
      </c>
      <c r="D95" s="22" t="str">
        <f>IMAGE("https://raw.githubusercontent.com/ltdimages/images/refs/heads/main/ClothTopsCoatLongKnitGown_01.png")</f>
        <v/>
      </c>
      <c r="E95" s="22" t="str">
        <f>IMAGE("https://raw.githubusercontent.com/ltdimages/images/refs/heads/main/ClothTopsCoatLongKnitGown_02.png")</f>
        <v/>
      </c>
      <c r="F95" s="22" t="str">
        <f>IMAGE("https://raw.githubusercontent.com/ltdimages/images/refs/heads/main/ClothTopsCoatLongKnitGown_03.png")</f>
        <v/>
      </c>
      <c r="G95" s="22" t="str">
        <f>IMAGE("https://raw.githubusercontent.com/ltdimages/images/refs/heads/main/ClothTopsCoatLongKnitGown_04.png")</f>
        <v/>
      </c>
      <c r="H95" s="22" t="str">
        <f>IMAGE("https://raw.githubusercontent.com/ltdimages/images/refs/heads/main/ClothTopsCoatLongKnitGown_05.png")</f>
        <v/>
      </c>
      <c r="I95" s="22" t="str">
        <f>IMAGE("https://raw.githubusercontent.com/ltdimages/images/refs/heads/main/ClothTopsCoatLongKnitGown_06.png")</f>
        <v/>
      </c>
      <c r="J95" s="22" t="str">
        <f>IMAGE("https://raw.githubusercontent.com/ltdimages/images/refs/heads/main/ClothTopsCoatLongKnitGown_07.png")</f>
        <v/>
      </c>
      <c r="K95" s="63" t="s">
        <v>3103</v>
      </c>
      <c r="L95" s="23">
        <v>19.9</v>
      </c>
      <c r="M95" s="22" t="s">
        <v>3097</v>
      </c>
      <c r="N95" s="22" t="s">
        <v>3099</v>
      </c>
      <c r="O95" s="22" t="s">
        <v>45</v>
      </c>
      <c r="P95" s="22" t="s">
        <v>45</v>
      </c>
      <c r="Q95" s="22" t="s">
        <v>45</v>
      </c>
      <c r="R95" s="22" t="s">
        <v>45</v>
      </c>
      <c r="S95" s="22" t="s">
        <v>45</v>
      </c>
      <c r="T95" s="22" t="s">
        <v>2002</v>
      </c>
      <c r="U95" s="22" t="s">
        <v>45</v>
      </c>
      <c r="V95" s="22" t="s">
        <v>45</v>
      </c>
      <c r="W95" s="22" t="s">
        <v>4872</v>
      </c>
      <c r="X95" s="22" t="s">
        <v>3095</v>
      </c>
      <c r="Y95" s="22" t="s">
        <v>3095</v>
      </c>
      <c r="Z95" s="22" t="s">
        <v>3095</v>
      </c>
      <c r="AA95" s="22" t="s">
        <v>3095</v>
      </c>
      <c r="AB95" s="22" t="s">
        <v>3095</v>
      </c>
      <c r="AC95" s="22" t="s">
        <v>3095</v>
      </c>
      <c r="AD95" s="22" t="s">
        <v>3095</v>
      </c>
      <c r="AE95" s="22" t="s">
        <v>3095</v>
      </c>
      <c r="AF95" s="22" t="s">
        <v>3095</v>
      </c>
    </row>
    <row r="96" ht="45.0" customHeight="1">
      <c r="A96" s="55" t="s">
        <v>459</v>
      </c>
      <c r="B96" s="62" t="s">
        <v>4873</v>
      </c>
      <c r="C96" s="22" t="str">
        <f>IMAGE("https://raw.githubusercontent.com/ltdimages/images/refs/heads/main/ClothTopsTshirtLongPinBorder_00.png")</f>
        <v/>
      </c>
      <c r="D96" s="22" t="str">
        <f>IMAGE("https://raw.githubusercontent.com/ltdimages/images/refs/heads/main/ClothTopsTshirtLongPinBorder_01.png")</f>
        <v/>
      </c>
      <c r="E96" s="22" t="str">
        <f>IMAGE("https://raw.githubusercontent.com/ltdimages/images/refs/heads/main/ClothTopsTshirtLongPinBorder_02.png")</f>
        <v/>
      </c>
      <c r="F96" s="22" t="str">
        <f>IMAGE("https://raw.githubusercontent.com/ltdimages/images/refs/heads/main/ClothTopsTshirtLongPinBorder_03.png")</f>
        <v/>
      </c>
      <c r="G96" s="22" t="str">
        <f>IMAGE("https://raw.githubusercontent.com/ltdimages/images/refs/heads/main/ClothTopsTshirtLongPinBorder_04.png")</f>
        <v/>
      </c>
      <c r="H96" s="22" t="str">
        <f>IMAGE("https://raw.githubusercontent.com/ltdimages/images/refs/heads/main/ClothTopsTshirtLongPinBorder_05.png")</f>
        <v/>
      </c>
      <c r="I96" s="22" t="str">
        <f>IMAGE("https://raw.githubusercontent.com/ltdimages/images/refs/heads/main/ClothTopsTshirtLongPinBorder_06.png")</f>
        <v/>
      </c>
      <c r="J96" s="22" t="str">
        <f>IMAGE("https://raw.githubusercontent.com/ltdimages/images/refs/heads/main/ClothTopsTshirtLongPinBorder_07.png")</f>
        <v/>
      </c>
      <c r="K96" s="63" t="s">
        <v>3103</v>
      </c>
      <c r="L96" s="23">
        <v>13.0</v>
      </c>
      <c r="M96" s="22" t="s">
        <v>3097</v>
      </c>
      <c r="N96" s="22" t="s">
        <v>3099</v>
      </c>
      <c r="O96" s="22" t="s">
        <v>45</v>
      </c>
      <c r="P96" s="22" t="s">
        <v>45</v>
      </c>
      <c r="Q96" s="22" t="s">
        <v>45</v>
      </c>
      <c r="R96" s="22" t="s">
        <v>45</v>
      </c>
      <c r="S96" s="22" t="s">
        <v>45</v>
      </c>
      <c r="T96" s="22" t="s">
        <v>2002</v>
      </c>
      <c r="U96" s="22" t="s">
        <v>45</v>
      </c>
      <c r="V96" s="22" t="s">
        <v>45</v>
      </c>
      <c r="W96" s="22" t="s">
        <v>4874</v>
      </c>
      <c r="X96" s="22" t="s">
        <v>3095</v>
      </c>
      <c r="Y96" s="22" t="s">
        <v>3095</v>
      </c>
      <c r="Z96" s="22" t="s">
        <v>3095</v>
      </c>
      <c r="AA96" s="22" t="s">
        <v>3095</v>
      </c>
      <c r="AB96" s="22" t="s">
        <v>3095</v>
      </c>
      <c r="AC96" s="22" t="s">
        <v>3095</v>
      </c>
      <c r="AD96" s="22" t="s">
        <v>3095</v>
      </c>
      <c r="AE96" s="22" t="s">
        <v>3095</v>
      </c>
      <c r="AF96" s="22" t="s">
        <v>3095</v>
      </c>
    </row>
    <row r="97" ht="45.0" customHeight="1">
      <c r="A97" s="55" t="s">
        <v>463</v>
      </c>
      <c r="B97" s="62" t="s">
        <v>4875</v>
      </c>
      <c r="C97" s="22" t="str">
        <f>IMAGE("https://raw.githubusercontent.com/ltdimages/images/refs/heads/main/ClothTopsYshirtLongGrunge_00.png")</f>
        <v/>
      </c>
      <c r="D97" s="22" t="str">
        <f>IMAGE("https://raw.githubusercontent.com/ltdimages/images/refs/heads/main/ClothTopsYshirtLongGrunge_01.png")</f>
        <v/>
      </c>
      <c r="E97" s="22" t="str">
        <f>IMAGE("https://raw.githubusercontent.com/ltdimages/images/refs/heads/main/ClothTopsYshirtLongGrunge_02.png")</f>
        <v/>
      </c>
      <c r="F97" s="22" t="str">
        <f>IMAGE("https://raw.githubusercontent.com/ltdimages/images/refs/heads/main/ClothTopsYshirtLongGrunge_03.png")</f>
        <v/>
      </c>
      <c r="G97" s="22" t="str">
        <f>IMAGE("https://raw.githubusercontent.com/ltdimages/images/refs/heads/main/ClothTopsYshirtLongGrunge_04.png")</f>
        <v/>
      </c>
      <c r="H97" s="22" t="str">
        <f>IMAGE("https://raw.githubusercontent.com/ltdimages/images/refs/heads/main/ClothTopsYshirtLongGrunge_05.png")</f>
        <v/>
      </c>
      <c r="I97" s="22" t="str">
        <f>IMAGE("https://raw.githubusercontent.com/ltdimages/images/refs/heads/main/ClothTopsYshirtLongGrunge_06.png")</f>
        <v/>
      </c>
      <c r="J97" s="22" t="str">
        <f>IMAGE("https://raw.githubusercontent.com/ltdimages/images/refs/heads/main/ClothTopsYshirtLongGrunge_07.png")</f>
        <v/>
      </c>
      <c r="K97" s="63" t="s">
        <v>3103</v>
      </c>
      <c r="L97" s="23">
        <v>12.9</v>
      </c>
      <c r="M97" s="22" t="s">
        <v>3097</v>
      </c>
      <c r="N97" s="22" t="s">
        <v>3099</v>
      </c>
      <c r="O97" s="22" t="s">
        <v>45</v>
      </c>
      <c r="P97" s="22" t="s">
        <v>45</v>
      </c>
      <c r="Q97" s="22" t="s">
        <v>45</v>
      </c>
      <c r="R97" s="22" t="s">
        <v>45</v>
      </c>
      <c r="S97" s="22" t="s">
        <v>45</v>
      </c>
      <c r="T97" s="22" t="s">
        <v>2002</v>
      </c>
      <c r="U97" s="22" t="s">
        <v>45</v>
      </c>
      <c r="V97" s="22" t="s">
        <v>45</v>
      </c>
      <c r="W97" s="22" t="s">
        <v>4876</v>
      </c>
      <c r="X97" s="22" t="s">
        <v>3095</v>
      </c>
      <c r="Y97" s="22" t="s">
        <v>3095</v>
      </c>
      <c r="Z97" s="22" t="s">
        <v>3095</v>
      </c>
      <c r="AA97" s="22" t="s">
        <v>3095</v>
      </c>
      <c r="AB97" s="22" t="s">
        <v>3095</v>
      </c>
      <c r="AC97" s="22" t="s">
        <v>3095</v>
      </c>
      <c r="AD97" s="22" t="s">
        <v>3095</v>
      </c>
      <c r="AE97" s="22" t="s">
        <v>3095</v>
      </c>
      <c r="AF97" s="22" t="s">
        <v>3095</v>
      </c>
    </row>
    <row r="98" ht="45.0" customHeight="1">
      <c r="A98" s="55" t="s">
        <v>467</v>
      </c>
      <c r="B98" s="62" t="s">
        <v>3622</v>
      </c>
      <c r="C98" s="22" t="str">
        <f>IMAGE("https://raw.githubusercontent.com/ltdimages/images/refs/heads/main/ClothTopsOuterLongArmPrint_00.png")</f>
        <v/>
      </c>
      <c r="D98" s="22" t="str">
        <f>IMAGE("https://raw.githubusercontent.com/ltdimages/images/refs/heads/main/ClothTopsOuterLongArmPrint_01.png")</f>
        <v/>
      </c>
      <c r="E98" s="22" t="str">
        <f>IMAGE("https://raw.githubusercontent.com/ltdimages/images/refs/heads/main/ClothTopsOuterLongArmPrint_02.png")</f>
        <v/>
      </c>
      <c r="F98" s="22" t="str">
        <f>IMAGE("https://raw.githubusercontent.com/ltdimages/images/refs/heads/main/ClothTopsOuterLongArmPrint_03.png")</f>
        <v/>
      </c>
      <c r="G98" s="22" t="str">
        <f>IMAGE("https://raw.githubusercontent.com/ltdimages/images/refs/heads/main/ClothTopsOuterLongArmPrint_04.png")</f>
        <v/>
      </c>
      <c r="H98" s="22" t="s">
        <v>3095</v>
      </c>
      <c r="I98" s="22" t="s">
        <v>3095</v>
      </c>
      <c r="J98" s="22" t="s">
        <v>3095</v>
      </c>
      <c r="K98" s="63" t="s">
        <v>3103</v>
      </c>
      <c r="L98" s="23">
        <v>11.5</v>
      </c>
      <c r="M98" s="22" t="s">
        <v>3097</v>
      </c>
      <c r="N98" s="22" t="s">
        <v>3099</v>
      </c>
      <c r="O98" s="22" t="s">
        <v>45</v>
      </c>
      <c r="P98" s="22" t="s">
        <v>45</v>
      </c>
      <c r="Q98" s="22" t="s">
        <v>45</v>
      </c>
      <c r="R98" s="22" t="s">
        <v>45</v>
      </c>
      <c r="S98" s="22" t="s">
        <v>45</v>
      </c>
      <c r="T98" s="22" t="s">
        <v>2002</v>
      </c>
      <c r="U98" s="22" t="s">
        <v>45</v>
      </c>
      <c r="V98" s="22" t="s">
        <v>45</v>
      </c>
      <c r="W98" s="22" t="s">
        <v>4877</v>
      </c>
      <c r="X98" s="22" t="s">
        <v>3095</v>
      </c>
      <c r="Y98" s="22" t="s">
        <v>3095</v>
      </c>
      <c r="Z98" s="22" t="s">
        <v>3095</v>
      </c>
      <c r="AA98" s="22" t="s">
        <v>3095</v>
      </c>
      <c r="AB98" s="22" t="s">
        <v>3095</v>
      </c>
      <c r="AC98" s="22" t="s">
        <v>3095</v>
      </c>
      <c r="AD98" s="22" t="s">
        <v>3095</v>
      </c>
      <c r="AE98" s="22" t="s">
        <v>3095</v>
      </c>
      <c r="AF98" s="22" t="s">
        <v>3095</v>
      </c>
    </row>
    <row r="99" ht="45.0" customHeight="1">
      <c r="A99" s="55" t="s">
        <v>471</v>
      </c>
      <c r="B99" s="62" t="s">
        <v>4878</v>
      </c>
      <c r="C99" s="22" t="str">
        <f>IMAGE("https://raw.githubusercontent.com/ltdimages/images/refs/heads/main/ClothTopsYshirtLongNecktie_00.png")</f>
        <v/>
      </c>
      <c r="D99" s="22" t="str">
        <f>IMAGE("https://raw.githubusercontent.com/ltdimages/images/refs/heads/main/ClothTopsYshirtLongNecktie_01.png")</f>
        <v/>
      </c>
      <c r="E99" s="22" t="str">
        <f>IMAGE("https://raw.githubusercontent.com/ltdimages/images/refs/heads/main/ClothTopsYshirtLongNecktie_02.png")</f>
        <v/>
      </c>
      <c r="F99" s="22" t="str">
        <f>IMAGE("https://raw.githubusercontent.com/ltdimages/images/refs/heads/main/ClothTopsYshirtLongNecktie_03.png")</f>
        <v/>
      </c>
      <c r="G99" s="22" t="str">
        <f>IMAGE("https://raw.githubusercontent.com/ltdimages/images/refs/heads/main/ClothTopsYshirtLongNecktie_04.png")</f>
        <v/>
      </c>
      <c r="H99" s="22" t="str">
        <f>IMAGE("https://raw.githubusercontent.com/ltdimages/images/refs/heads/main/ClothTopsYshirtLongNecktie_05.png")</f>
        <v/>
      </c>
      <c r="I99" s="22" t="str">
        <f>IMAGE("https://raw.githubusercontent.com/ltdimages/images/refs/heads/main/ClothTopsYshirtLongNecktie_06.png")</f>
        <v/>
      </c>
      <c r="J99" s="22" t="str">
        <f>IMAGE("https://raw.githubusercontent.com/ltdimages/images/refs/heads/main/ClothTopsYshirtLongNecktie_07.png")</f>
        <v/>
      </c>
      <c r="K99" s="63" t="s">
        <v>3103</v>
      </c>
      <c r="L99" s="23">
        <v>12.5</v>
      </c>
      <c r="M99" s="22" t="s">
        <v>3097</v>
      </c>
      <c r="N99" s="22" t="s">
        <v>3099</v>
      </c>
      <c r="O99" s="22" t="s">
        <v>45</v>
      </c>
      <c r="P99" s="22" t="s">
        <v>45</v>
      </c>
      <c r="Q99" s="22" t="s">
        <v>45</v>
      </c>
      <c r="R99" s="22" t="s">
        <v>45</v>
      </c>
      <c r="S99" s="22" t="s">
        <v>45</v>
      </c>
      <c r="T99" s="22" t="s">
        <v>2002</v>
      </c>
      <c r="U99" s="22" t="s">
        <v>45</v>
      </c>
      <c r="V99" s="22" t="s">
        <v>45</v>
      </c>
      <c r="W99" s="22" t="s">
        <v>4879</v>
      </c>
      <c r="X99" s="22" t="s">
        <v>3095</v>
      </c>
      <c r="Y99" s="22" t="s">
        <v>3095</v>
      </c>
      <c r="Z99" s="22" t="s">
        <v>3095</v>
      </c>
      <c r="AA99" s="22" t="s">
        <v>3095</v>
      </c>
      <c r="AB99" s="22" t="s">
        <v>3095</v>
      </c>
      <c r="AC99" s="22" t="s">
        <v>3095</v>
      </c>
      <c r="AD99" s="22" t="s">
        <v>3095</v>
      </c>
      <c r="AE99" s="22" t="s">
        <v>3095</v>
      </c>
      <c r="AF99" s="22" t="s">
        <v>3095</v>
      </c>
    </row>
    <row r="100" ht="45.0" customHeight="1">
      <c r="A100" s="55" t="s">
        <v>475</v>
      </c>
      <c r="B100" s="62" t="s">
        <v>3712</v>
      </c>
      <c r="C100" s="22" t="str">
        <f>IMAGE("https://raw.githubusercontent.com/ltdimages/images/refs/heads/main/ClothTopsTshirtLongBorder_00.png")</f>
        <v/>
      </c>
      <c r="D100" s="22" t="str">
        <f>IMAGE("https://raw.githubusercontent.com/ltdimages/images/refs/heads/main/ClothTopsTshirtLongBorder_01.png")</f>
        <v/>
      </c>
      <c r="E100" s="22" t="str">
        <f>IMAGE("https://raw.githubusercontent.com/ltdimages/images/refs/heads/main/ClothTopsTshirtLongBorder_02.png")</f>
        <v/>
      </c>
      <c r="F100" s="22" t="str">
        <f>IMAGE("https://raw.githubusercontent.com/ltdimages/images/refs/heads/main/ClothTopsTshirtLongBorder_03.png")</f>
        <v/>
      </c>
      <c r="G100" s="22" t="str">
        <f>IMAGE("https://raw.githubusercontent.com/ltdimages/images/refs/heads/main/ClothTopsTshirtLongBorder_04.png")</f>
        <v/>
      </c>
      <c r="H100" s="22" t="str">
        <f>IMAGE("https://raw.githubusercontent.com/ltdimages/images/refs/heads/main/ClothTopsTshirtLongBorder_05.png")</f>
        <v/>
      </c>
      <c r="I100" s="22" t="str">
        <f>IMAGE("https://raw.githubusercontent.com/ltdimages/images/refs/heads/main/ClothTopsTshirtLongBorder_06.png")</f>
        <v/>
      </c>
      <c r="J100" s="22" t="str">
        <f>IMAGE("https://raw.githubusercontent.com/ltdimages/images/refs/heads/main/ClothTopsTshirtLongBorder_07.png")</f>
        <v/>
      </c>
      <c r="K100" s="63" t="s">
        <v>3103</v>
      </c>
      <c r="L100" s="23">
        <v>12.2</v>
      </c>
      <c r="M100" s="22" t="s">
        <v>3097</v>
      </c>
      <c r="N100" s="22" t="s">
        <v>3099</v>
      </c>
      <c r="O100" s="22" t="s">
        <v>45</v>
      </c>
      <c r="P100" s="22" t="s">
        <v>45</v>
      </c>
      <c r="Q100" s="22" t="s">
        <v>45</v>
      </c>
      <c r="R100" s="22" t="s">
        <v>45</v>
      </c>
      <c r="S100" s="22" t="s">
        <v>45</v>
      </c>
      <c r="T100" s="22" t="s">
        <v>2002</v>
      </c>
      <c r="U100" s="22" t="s">
        <v>45</v>
      </c>
      <c r="V100" s="22" t="s">
        <v>45</v>
      </c>
      <c r="W100" s="22" t="s">
        <v>4880</v>
      </c>
      <c r="X100" s="22" t="s">
        <v>3095</v>
      </c>
      <c r="Y100" s="22" t="s">
        <v>3095</v>
      </c>
      <c r="Z100" s="22" t="s">
        <v>3095</v>
      </c>
      <c r="AA100" s="22" t="s">
        <v>3095</v>
      </c>
      <c r="AB100" s="22" t="s">
        <v>3095</v>
      </c>
      <c r="AC100" s="22" t="s">
        <v>3095</v>
      </c>
      <c r="AD100" s="22" t="s">
        <v>3095</v>
      </c>
      <c r="AE100" s="22" t="s">
        <v>3095</v>
      </c>
      <c r="AF100" s="22" t="s">
        <v>3095</v>
      </c>
    </row>
    <row r="101" ht="45.0" customHeight="1">
      <c r="A101" s="55" t="s">
        <v>479</v>
      </c>
      <c r="B101" s="62" t="s">
        <v>3618</v>
      </c>
      <c r="C101" s="22" t="str">
        <f>IMAGE("https://raw.githubusercontent.com/ltdimages/images/refs/heads/main/ClothTopsOuterLongMountain_00.png")</f>
        <v/>
      </c>
      <c r="D101" s="22" t="str">
        <f>IMAGE("https://raw.githubusercontent.com/ltdimages/images/refs/heads/main/ClothTopsOuterLongMountain_01.png")</f>
        <v/>
      </c>
      <c r="E101" s="22" t="str">
        <f>IMAGE("https://raw.githubusercontent.com/ltdimages/images/refs/heads/main/ClothTopsOuterLongMountain_02.png")</f>
        <v/>
      </c>
      <c r="F101" s="22" t="str">
        <f>IMAGE("https://raw.githubusercontent.com/ltdimages/images/refs/heads/main/ClothTopsOuterLongMountain_03.png")</f>
        <v/>
      </c>
      <c r="G101" s="22" t="str">
        <f>IMAGE("https://raw.githubusercontent.com/ltdimages/images/refs/heads/main/ClothTopsOuterLongMountain_04.png")</f>
        <v/>
      </c>
      <c r="H101" s="22" t="str">
        <f>IMAGE("https://raw.githubusercontent.com/ltdimages/images/refs/heads/main/ClothTopsOuterLongMountain_05.png")</f>
        <v/>
      </c>
      <c r="I101" s="22" t="str">
        <f>IMAGE("https://raw.githubusercontent.com/ltdimages/images/refs/heads/main/ClothTopsOuterLongMountain_06.png")</f>
        <v/>
      </c>
      <c r="J101" s="22" t="str">
        <f>IMAGE("https://raw.githubusercontent.com/ltdimages/images/refs/heads/main/ClothTopsOuterLongMountain_07.png")</f>
        <v/>
      </c>
      <c r="K101" s="63" t="s">
        <v>3103</v>
      </c>
      <c r="L101" s="23">
        <v>12.0</v>
      </c>
      <c r="M101" s="22" t="s">
        <v>3097</v>
      </c>
      <c r="N101" s="22" t="s">
        <v>3099</v>
      </c>
      <c r="O101" s="22" t="s">
        <v>45</v>
      </c>
      <c r="P101" s="22" t="s">
        <v>45</v>
      </c>
      <c r="Q101" s="22" t="s">
        <v>45</v>
      </c>
      <c r="R101" s="22" t="s">
        <v>45</v>
      </c>
      <c r="S101" s="22" t="s">
        <v>45</v>
      </c>
      <c r="T101" s="22" t="s">
        <v>2002</v>
      </c>
      <c r="U101" s="22" t="s">
        <v>45</v>
      </c>
      <c r="V101" s="22" t="s">
        <v>45</v>
      </c>
      <c r="W101" s="22" t="s">
        <v>4881</v>
      </c>
      <c r="X101" s="22" t="s">
        <v>3095</v>
      </c>
      <c r="Y101" s="22" t="s">
        <v>3095</v>
      </c>
      <c r="Z101" s="22" t="s">
        <v>3095</v>
      </c>
      <c r="AA101" s="22" t="s">
        <v>3095</v>
      </c>
      <c r="AB101" s="22" t="s">
        <v>3095</v>
      </c>
      <c r="AC101" s="22" t="s">
        <v>3095</v>
      </c>
      <c r="AD101" s="22" t="s">
        <v>3095</v>
      </c>
      <c r="AE101" s="22" t="s">
        <v>3095</v>
      </c>
      <c r="AF101" s="22" t="s">
        <v>3095</v>
      </c>
    </row>
    <row r="102" ht="45.0" customHeight="1">
      <c r="A102" s="55" t="s">
        <v>483</v>
      </c>
      <c r="B102" s="62" t="s">
        <v>4882</v>
      </c>
      <c r="C102" s="22" t="str">
        <f>IMAGE("https://raw.githubusercontent.com/ltdimages/images/refs/heads/main/ClothTopsYshirtLongMultiStripe_00.png")</f>
        <v/>
      </c>
      <c r="D102" s="22" t="str">
        <f>IMAGE("https://raw.githubusercontent.com/ltdimages/images/refs/heads/main/ClothTopsYshirtLongMultiStripe_01.png")</f>
        <v/>
      </c>
      <c r="E102" s="22" t="str">
        <f>IMAGE("https://raw.githubusercontent.com/ltdimages/images/refs/heads/main/ClothTopsYshirtLongMultiStripe_02.png")</f>
        <v/>
      </c>
      <c r="F102" s="22" t="str">
        <f>IMAGE("https://raw.githubusercontent.com/ltdimages/images/refs/heads/main/ClothTopsYshirtLongMultiStripe_03.png")</f>
        <v/>
      </c>
      <c r="G102" s="22" t="str">
        <f>IMAGE("https://raw.githubusercontent.com/ltdimages/images/refs/heads/main/ClothTopsYshirtLongMultiStripe_04.png")</f>
        <v/>
      </c>
      <c r="H102" s="22" t="str">
        <f>IMAGE("https://raw.githubusercontent.com/ltdimages/images/refs/heads/main/ClothTopsYshirtLongMultiStripe_05.png")</f>
        <v/>
      </c>
      <c r="I102" s="22" t="str">
        <f>IMAGE("https://raw.githubusercontent.com/ltdimages/images/refs/heads/main/ClothTopsYshirtLongMultiStripe_06.png")</f>
        <v/>
      </c>
      <c r="J102" s="22" t="str">
        <f>IMAGE("https://raw.githubusercontent.com/ltdimages/images/refs/heads/main/ClothTopsYshirtLongMultiStripe_07.png")</f>
        <v/>
      </c>
      <c r="K102" s="63" t="s">
        <v>3103</v>
      </c>
      <c r="L102" s="23">
        <v>13.5</v>
      </c>
      <c r="M102" s="22" t="s">
        <v>3097</v>
      </c>
      <c r="N102" s="22" t="s">
        <v>3099</v>
      </c>
      <c r="O102" s="22" t="s">
        <v>45</v>
      </c>
      <c r="P102" s="22" t="s">
        <v>45</v>
      </c>
      <c r="Q102" s="22" t="s">
        <v>45</v>
      </c>
      <c r="R102" s="22" t="s">
        <v>45</v>
      </c>
      <c r="S102" s="22" t="s">
        <v>45</v>
      </c>
      <c r="T102" s="22" t="s">
        <v>2002</v>
      </c>
      <c r="U102" s="22" t="s">
        <v>45</v>
      </c>
      <c r="V102" s="22" t="s">
        <v>45</v>
      </c>
      <c r="W102" s="22" t="s">
        <v>4883</v>
      </c>
      <c r="X102" s="22" t="s">
        <v>3095</v>
      </c>
      <c r="Y102" s="22" t="s">
        <v>3095</v>
      </c>
      <c r="Z102" s="22" t="s">
        <v>3095</v>
      </c>
      <c r="AA102" s="22" t="s">
        <v>3095</v>
      </c>
      <c r="AB102" s="22" t="s">
        <v>3095</v>
      </c>
      <c r="AC102" s="22" t="s">
        <v>3095</v>
      </c>
      <c r="AD102" s="22" t="s">
        <v>3095</v>
      </c>
      <c r="AE102" s="22" t="s">
        <v>3095</v>
      </c>
      <c r="AF102" s="22" t="s">
        <v>3095</v>
      </c>
    </row>
    <row r="103" ht="45.0" customHeight="1">
      <c r="A103" s="55" t="s">
        <v>488</v>
      </c>
      <c r="B103" s="62" t="s">
        <v>4510</v>
      </c>
      <c r="C103" s="22" t="str">
        <f>IMAGE("https://raw.githubusercontent.com/ltdimages/images/refs/heads/main/ClothTopsTshirtLongMultiBorderKnit_00.png")</f>
        <v/>
      </c>
      <c r="D103" s="22" t="str">
        <f>IMAGE("https://raw.githubusercontent.com/ltdimages/images/refs/heads/main/ClothTopsTshirtLongMultiBorderKnit_01.png")</f>
        <v/>
      </c>
      <c r="E103" s="22" t="str">
        <f>IMAGE("https://raw.githubusercontent.com/ltdimages/images/refs/heads/main/ClothTopsTshirtLongMultiBorderKnit_02.png")</f>
        <v/>
      </c>
      <c r="F103" s="22" t="str">
        <f>IMAGE("https://raw.githubusercontent.com/ltdimages/images/refs/heads/main/ClothTopsTshirtLongMultiBorderKnit_03.png")</f>
        <v/>
      </c>
      <c r="G103" s="22" t="s">
        <v>3095</v>
      </c>
      <c r="H103" s="22" t="s">
        <v>3095</v>
      </c>
      <c r="I103" s="22" t="s">
        <v>3095</v>
      </c>
      <c r="J103" s="22" t="s">
        <v>3095</v>
      </c>
      <c r="K103" s="63" t="s">
        <v>3103</v>
      </c>
      <c r="L103" s="23">
        <v>11.0</v>
      </c>
      <c r="M103" s="22" t="s">
        <v>3097</v>
      </c>
      <c r="N103" s="22" t="s">
        <v>3099</v>
      </c>
      <c r="O103" s="22" t="s">
        <v>45</v>
      </c>
      <c r="P103" s="22" t="s">
        <v>45</v>
      </c>
      <c r="Q103" s="22" t="s">
        <v>45</v>
      </c>
      <c r="R103" s="22" t="s">
        <v>45</v>
      </c>
      <c r="S103" s="22" t="s">
        <v>45</v>
      </c>
      <c r="T103" s="22" t="s">
        <v>2002</v>
      </c>
      <c r="U103" s="22" t="s">
        <v>45</v>
      </c>
      <c r="V103" s="22" t="s">
        <v>45</v>
      </c>
      <c r="W103" s="22" t="s">
        <v>4884</v>
      </c>
      <c r="X103" s="22" t="s">
        <v>3095</v>
      </c>
      <c r="Y103" s="22" t="s">
        <v>3095</v>
      </c>
      <c r="Z103" s="22" t="s">
        <v>3095</v>
      </c>
      <c r="AA103" s="22" t="s">
        <v>3095</v>
      </c>
      <c r="AB103" s="22" t="s">
        <v>3095</v>
      </c>
      <c r="AC103" s="22" t="s">
        <v>3095</v>
      </c>
      <c r="AD103" s="22" t="s">
        <v>3095</v>
      </c>
      <c r="AE103" s="22" t="s">
        <v>3095</v>
      </c>
      <c r="AF103" s="22" t="s">
        <v>3095</v>
      </c>
    </row>
    <row r="104" ht="45.0" customHeight="1">
      <c r="A104" s="55" t="s">
        <v>492</v>
      </c>
      <c r="B104" s="62" t="s">
        <v>4885</v>
      </c>
      <c r="C104" s="22" t="str">
        <f>IMAGE("https://raw.githubusercontent.com/ltdimages/images/refs/heads/main/ClothTopsTshirtHalfMultiBorder_00.png")</f>
        <v/>
      </c>
      <c r="D104" s="22" t="str">
        <f>IMAGE("https://raw.githubusercontent.com/ltdimages/images/refs/heads/main/ClothTopsTshirtHalfMultiBorder_01.png")</f>
        <v/>
      </c>
      <c r="E104" s="22" t="str">
        <f>IMAGE("https://raw.githubusercontent.com/ltdimages/images/refs/heads/main/ClothTopsTshirtHalfMultiBorder_02.png")</f>
        <v/>
      </c>
      <c r="F104" s="22" t="str">
        <f>IMAGE("https://raw.githubusercontent.com/ltdimages/images/refs/heads/main/ClothTopsTshirtHalfMultiBorder_03.png")</f>
        <v/>
      </c>
      <c r="G104" s="22" t="str">
        <f>IMAGE("https://raw.githubusercontent.com/ltdimages/images/refs/heads/main/ClothTopsTshirtHalfMultiBorder_04.png")</f>
        <v/>
      </c>
      <c r="H104" s="22" t="str">
        <f>IMAGE("https://raw.githubusercontent.com/ltdimages/images/refs/heads/main/ClothTopsTshirtHalfMultiBorder_05.png")</f>
        <v/>
      </c>
      <c r="I104" s="22" t="str">
        <f>IMAGE("https://raw.githubusercontent.com/ltdimages/images/refs/heads/main/ClothTopsTshirtHalfMultiBorder_06.png")</f>
        <v/>
      </c>
      <c r="J104" s="22" t="str">
        <f>IMAGE("https://raw.githubusercontent.com/ltdimages/images/refs/heads/main/ClothTopsTshirtHalfMultiBorder_07.png")</f>
        <v/>
      </c>
      <c r="K104" s="63" t="s">
        <v>3103</v>
      </c>
      <c r="L104" s="23">
        <v>12.0</v>
      </c>
      <c r="M104" s="22" t="s">
        <v>3097</v>
      </c>
      <c r="N104" s="22" t="s">
        <v>3099</v>
      </c>
      <c r="O104" s="22" t="s">
        <v>45</v>
      </c>
      <c r="P104" s="22" t="s">
        <v>45</v>
      </c>
      <c r="Q104" s="22" t="s">
        <v>45</v>
      </c>
      <c r="R104" s="22" t="s">
        <v>45</v>
      </c>
      <c r="S104" s="22" t="s">
        <v>45</v>
      </c>
      <c r="T104" s="22" t="s">
        <v>2002</v>
      </c>
      <c r="U104" s="22" t="s">
        <v>45</v>
      </c>
      <c r="V104" s="22" t="s">
        <v>45</v>
      </c>
      <c r="W104" s="22" t="s">
        <v>4886</v>
      </c>
      <c r="X104" s="22" t="s">
        <v>3095</v>
      </c>
      <c r="Y104" s="22" t="s">
        <v>3095</v>
      </c>
      <c r="Z104" s="22" t="s">
        <v>3095</v>
      </c>
      <c r="AA104" s="22" t="s">
        <v>3095</v>
      </c>
      <c r="AB104" s="22" t="s">
        <v>3095</v>
      </c>
      <c r="AC104" s="22" t="s">
        <v>3095</v>
      </c>
      <c r="AD104" s="22" t="s">
        <v>3095</v>
      </c>
      <c r="AE104" s="22" t="s">
        <v>3095</v>
      </c>
      <c r="AF104" s="22" t="s">
        <v>3095</v>
      </c>
    </row>
    <row r="105" ht="45.0" customHeight="1">
      <c r="A105" s="55" t="s">
        <v>496</v>
      </c>
      <c r="B105" s="62" t="s">
        <v>4518</v>
      </c>
      <c r="C105" s="22" t="str">
        <f>IMAGE("https://raw.githubusercontent.com/ltdimages/images/refs/heads/main/ClothTopsOuterLongNordicSweater_00.png")</f>
        <v/>
      </c>
      <c r="D105" s="22" t="str">
        <f>IMAGE("https://raw.githubusercontent.com/ltdimages/images/refs/heads/main/ClothTopsOuterLongNordicSweater_01.png")</f>
        <v/>
      </c>
      <c r="E105" s="22" t="str">
        <f>IMAGE("https://raw.githubusercontent.com/ltdimages/images/refs/heads/main/ClothTopsOuterLongNordicSweater_02.png")</f>
        <v/>
      </c>
      <c r="F105" s="22" t="str">
        <f>IMAGE("https://raw.githubusercontent.com/ltdimages/images/refs/heads/main/ClothTopsOuterLongNordicSweater_03.png")</f>
        <v/>
      </c>
      <c r="G105" s="22" t="s">
        <v>3095</v>
      </c>
      <c r="H105" s="22" t="s">
        <v>3095</v>
      </c>
      <c r="I105" s="22" t="s">
        <v>3095</v>
      </c>
      <c r="J105" s="22" t="s">
        <v>3095</v>
      </c>
      <c r="K105" s="63" t="s">
        <v>3103</v>
      </c>
      <c r="L105" s="23">
        <v>11.0</v>
      </c>
      <c r="M105" s="22" t="s">
        <v>3097</v>
      </c>
      <c r="N105" s="22" t="s">
        <v>3114</v>
      </c>
      <c r="O105" s="22" t="s">
        <v>45</v>
      </c>
      <c r="P105" s="22" t="s">
        <v>45</v>
      </c>
      <c r="Q105" s="22" t="s">
        <v>45</v>
      </c>
      <c r="R105" s="22" t="s">
        <v>45</v>
      </c>
      <c r="S105" s="22" t="s">
        <v>45</v>
      </c>
      <c r="T105" s="22" t="s">
        <v>2002</v>
      </c>
      <c r="U105" s="22" t="s">
        <v>45</v>
      </c>
      <c r="V105" s="22" t="s">
        <v>45</v>
      </c>
      <c r="W105" s="22" t="s">
        <v>4887</v>
      </c>
      <c r="X105" s="22" t="s">
        <v>3095</v>
      </c>
      <c r="Y105" s="22" t="s">
        <v>3095</v>
      </c>
      <c r="Z105" s="22" t="s">
        <v>3095</v>
      </c>
      <c r="AA105" s="22" t="s">
        <v>3095</v>
      </c>
      <c r="AB105" s="22" t="s">
        <v>3095</v>
      </c>
      <c r="AC105" s="22" t="s">
        <v>3095</v>
      </c>
      <c r="AD105" s="22" t="s">
        <v>3095</v>
      </c>
      <c r="AE105" s="22" t="s">
        <v>3095</v>
      </c>
      <c r="AF105" s="22" t="s">
        <v>3095</v>
      </c>
    </row>
    <row r="106" ht="45.0" customHeight="1">
      <c r="A106" s="55" t="s">
        <v>500</v>
      </c>
      <c r="B106" s="62" t="s">
        <v>3899</v>
      </c>
      <c r="C106" s="22" t="str">
        <f>IMAGE("https://raw.githubusercontent.com/ltdimages/images/refs/heads/main/ClothTopsYshirtHalfNurse_00.png")</f>
        <v/>
      </c>
      <c r="D106" s="22" t="str">
        <f>IMAGE("https://raw.githubusercontent.com/ltdimages/images/refs/heads/main/ClothTopsYshirtHalfNurse_01.png")</f>
        <v/>
      </c>
      <c r="E106" s="22" t="str">
        <f>IMAGE("https://raw.githubusercontent.com/ltdimages/images/refs/heads/main/ClothTopsYshirtHalfNurse_02.png")</f>
        <v/>
      </c>
      <c r="F106" s="22" t="s">
        <v>3095</v>
      </c>
      <c r="G106" s="22" t="s">
        <v>3095</v>
      </c>
      <c r="H106" s="22" t="s">
        <v>3095</v>
      </c>
      <c r="I106" s="22" t="s">
        <v>3095</v>
      </c>
      <c r="J106" s="22" t="s">
        <v>3095</v>
      </c>
      <c r="K106" s="63" t="s">
        <v>3103</v>
      </c>
      <c r="L106" s="23">
        <v>18.0</v>
      </c>
      <c r="M106" s="22" t="s">
        <v>3097</v>
      </c>
      <c r="N106" s="22" t="s">
        <v>3099</v>
      </c>
      <c r="O106" s="22" t="s">
        <v>45</v>
      </c>
      <c r="P106" s="22" t="s">
        <v>45</v>
      </c>
      <c r="Q106" s="22" t="s">
        <v>45</v>
      </c>
      <c r="R106" s="22" t="s">
        <v>49</v>
      </c>
      <c r="S106" s="22" t="s">
        <v>45</v>
      </c>
      <c r="T106" s="22" t="s">
        <v>2002</v>
      </c>
      <c r="U106" s="22" t="s">
        <v>45</v>
      </c>
      <c r="V106" s="22" t="s">
        <v>45</v>
      </c>
      <c r="W106" s="22" t="s">
        <v>4888</v>
      </c>
      <c r="X106" s="22" t="s">
        <v>3095</v>
      </c>
      <c r="Y106" s="22" t="s">
        <v>3095</v>
      </c>
      <c r="Z106" s="22" t="s">
        <v>3095</v>
      </c>
      <c r="AA106" s="22" t="s">
        <v>3095</v>
      </c>
      <c r="AB106" s="22" t="s">
        <v>3095</v>
      </c>
      <c r="AC106" s="22" t="s">
        <v>3095</v>
      </c>
      <c r="AD106" s="22" t="s">
        <v>3095</v>
      </c>
      <c r="AE106" s="22" t="s">
        <v>3095</v>
      </c>
      <c r="AF106" s="22" t="s">
        <v>3095</v>
      </c>
    </row>
    <row r="107" ht="45.0" customHeight="1">
      <c r="A107" s="55" t="s">
        <v>504</v>
      </c>
      <c r="B107" s="62" t="s">
        <v>4889</v>
      </c>
      <c r="C107" s="22" t="str">
        <f>IMAGE("https://raw.githubusercontent.com/ltdimages/images/refs/heads/main/ClothTopsYshirtHalfOpenCollar_00.png")</f>
        <v/>
      </c>
      <c r="D107" s="22" t="str">
        <f>IMAGE("https://raw.githubusercontent.com/ltdimages/images/refs/heads/main/ClothTopsYshirtHalfOpenCollar_01.png")</f>
        <v/>
      </c>
      <c r="E107" s="22" t="str">
        <f>IMAGE("https://raw.githubusercontent.com/ltdimages/images/refs/heads/main/ClothTopsYshirtHalfOpenCollar_02.png")</f>
        <v/>
      </c>
      <c r="F107" s="22" t="str">
        <f>IMAGE("https://raw.githubusercontent.com/ltdimages/images/refs/heads/main/ClothTopsYshirtHalfOpenCollar_03.png")</f>
        <v/>
      </c>
      <c r="G107" s="22" t="str">
        <f>IMAGE("https://raw.githubusercontent.com/ltdimages/images/refs/heads/main/ClothTopsYshirtHalfOpenCollar_04.png")</f>
        <v/>
      </c>
      <c r="H107" s="22" t="str">
        <f>IMAGE("https://raw.githubusercontent.com/ltdimages/images/refs/heads/main/ClothTopsYshirtHalfOpenCollar_05.png")</f>
        <v/>
      </c>
      <c r="I107" s="22" t="s">
        <v>3095</v>
      </c>
      <c r="J107" s="22" t="s">
        <v>3095</v>
      </c>
      <c r="K107" s="63" t="s">
        <v>3103</v>
      </c>
      <c r="L107" s="23">
        <v>11.2</v>
      </c>
      <c r="M107" s="22" t="s">
        <v>3097</v>
      </c>
      <c r="N107" s="22" t="s">
        <v>3123</v>
      </c>
      <c r="O107" s="22" t="s">
        <v>45</v>
      </c>
      <c r="P107" s="22" t="s">
        <v>45</v>
      </c>
      <c r="Q107" s="22" t="s">
        <v>45</v>
      </c>
      <c r="R107" s="22" t="s">
        <v>45</v>
      </c>
      <c r="S107" s="22" t="s">
        <v>45</v>
      </c>
      <c r="T107" s="22" t="s">
        <v>2002</v>
      </c>
      <c r="U107" s="22" t="s">
        <v>45</v>
      </c>
      <c r="V107" s="22" t="s">
        <v>45</v>
      </c>
      <c r="W107" s="22" t="s">
        <v>4890</v>
      </c>
      <c r="X107" s="22" t="s">
        <v>3095</v>
      </c>
      <c r="Y107" s="22" t="s">
        <v>3095</v>
      </c>
      <c r="Z107" s="22" t="s">
        <v>3095</v>
      </c>
      <c r="AA107" s="22" t="s">
        <v>3095</v>
      </c>
      <c r="AB107" s="22" t="s">
        <v>3095</v>
      </c>
      <c r="AC107" s="22" t="s">
        <v>3095</v>
      </c>
      <c r="AD107" s="22" t="s">
        <v>3095</v>
      </c>
      <c r="AE107" s="22" t="s">
        <v>3095</v>
      </c>
      <c r="AF107" s="22" t="s">
        <v>3095</v>
      </c>
    </row>
    <row r="108" ht="45.0" customHeight="1">
      <c r="A108" s="55" t="s">
        <v>508</v>
      </c>
      <c r="B108" s="62" t="s">
        <v>3772</v>
      </c>
      <c r="C108" s="22" t="str">
        <f>IMAGE("https://raw.githubusercontent.com/ltdimages/images/refs/heads/main/ClothTopsYshirtLongGakuranOpen_00.png")</f>
        <v/>
      </c>
      <c r="D108" s="22" t="str">
        <f>IMAGE("https://raw.githubusercontent.com/ltdimages/images/refs/heads/main/ClothTopsYshirtLongGakuranOpen_01.png")</f>
        <v/>
      </c>
      <c r="E108" s="22" t="str">
        <f>IMAGE("https://raw.githubusercontent.com/ltdimages/images/refs/heads/main/ClothTopsYshirtLongGakuranOpen_02.png")</f>
        <v/>
      </c>
      <c r="F108" s="22" t="str">
        <f>IMAGE("https://raw.githubusercontent.com/ltdimages/images/refs/heads/main/ClothTopsYshirtLongGakuranOpen_03.png")</f>
        <v/>
      </c>
      <c r="G108" s="22" t="str">
        <f>IMAGE("https://raw.githubusercontent.com/ltdimages/images/refs/heads/main/ClothTopsYshirtLongGakuranOpen_04.png")</f>
        <v/>
      </c>
      <c r="H108" s="22" t="str">
        <f>IMAGE("https://raw.githubusercontent.com/ltdimages/images/refs/heads/main/ClothTopsYshirtLongGakuranOpen_05.png")</f>
        <v/>
      </c>
      <c r="I108" s="22" t="str">
        <f>IMAGE("https://raw.githubusercontent.com/ltdimages/images/refs/heads/main/ClothTopsYshirtLongGakuranOpen_06.png")</f>
        <v/>
      </c>
      <c r="J108" s="22" t="str">
        <f>IMAGE("https://raw.githubusercontent.com/ltdimages/images/refs/heads/main/ClothTopsYshirtLongGakuranOpen_07.png")</f>
        <v/>
      </c>
      <c r="K108" s="63" t="s">
        <v>3103</v>
      </c>
      <c r="L108" s="23">
        <v>15.0</v>
      </c>
      <c r="M108" s="22" t="s">
        <v>3097</v>
      </c>
      <c r="N108" s="22" t="s">
        <v>3099</v>
      </c>
      <c r="O108" s="22" t="s">
        <v>45</v>
      </c>
      <c r="P108" s="22" t="s">
        <v>45</v>
      </c>
      <c r="Q108" s="22" t="s">
        <v>45</v>
      </c>
      <c r="R108" s="22" t="s">
        <v>45</v>
      </c>
      <c r="S108" s="22" t="s">
        <v>45</v>
      </c>
      <c r="T108" s="22" t="s">
        <v>2002</v>
      </c>
      <c r="U108" s="22" t="s">
        <v>45</v>
      </c>
      <c r="V108" s="22" t="s">
        <v>45</v>
      </c>
      <c r="W108" s="22" t="s">
        <v>4891</v>
      </c>
      <c r="X108" s="22" t="s">
        <v>3095</v>
      </c>
      <c r="Y108" s="22" t="s">
        <v>3095</v>
      </c>
      <c r="Z108" s="22" t="s">
        <v>3095</v>
      </c>
      <c r="AA108" s="22" t="s">
        <v>3095</v>
      </c>
      <c r="AB108" s="22" t="s">
        <v>3095</v>
      </c>
      <c r="AC108" s="22" t="s">
        <v>3095</v>
      </c>
      <c r="AD108" s="22" t="s">
        <v>3095</v>
      </c>
      <c r="AE108" s="22" t="s">
        <v>3095</v>
      </c>
      <c r="AF108" s="22" t="s">
        <v>3095</v>
      </c>
    </row>
    <row r="109" ht="45.0" customHeight="1">
      <c r="A109" s="55" t="s">
        <v>512</v>
      </c>
      <c r="B109" s="62" t="s">
        <v>4082</v>
      </c>
      <c r="C109" s="22" t="str">
        <f>IMAGE("https://raw.githubusercontent.com/ltdimages/images/refs/heads/main/ClothTopsYshirtLongWork_00.png")</f>
        <v/>
      </c>
      <c r="D109" s="22" t="str">
        <f>IMAGE("https://raw.githubusercontent.com/ltdimages/images/refs/heads/main/ClothTopsYshirtLongWork_01.png")</f>
        <v/>
      </c>
      <c r="E109" s="22" t="str">
        <f>IMAGE("https://raw.githubusercontent.com/ltdimages/images/refs/heads/main/ClothTopsYshirtLongWork_02.png")</f>
        <v/>
      </c>
      <c r="F109" s="22" t="str">
        <f>IMAGE("https://raw.githubusercontent.com/ltdimages/images/refs/heads/main/ClothTopsYshirtLongWork_03.png")</f>
        <v/>
      </c>
      <c r="G109" s="22" t="str">
        <f>IMAGE("https://raw.githubusercontent.com/ltdimages/images/refs/heads/main/ClothTopsYshirtLongWork_04.png")</f>
        <v/>
      </c>
      <c r="H109" s="22" t="str">
        <f>IMAGE("https://raw.githubusercontent.com/ltdimages/images/refs/heads/main/ClothTopsYshirtLongWork_05.png")</f>
        <v/>
      </c>
      <c r="I109" s="22" t="str">
        <f>IMAGE("https://raw.githubusercontent.com/ltdimages/images/refs/heads/main/ClothTopsYshirtLongWork_06.png")</f>
        <v/>
      </c>
      <c r="J109" s="22" t="str">
        <f>IMAGE("https://raw.githubusercontent.com/ltdimages/images/refs/heads/main/ClothTopsYshirtLongWork_07.png")</f>
        <v/>
      </c>
      <c r="K109" s="63" t="s">
        <v>3103</v>
      </c>
      <c r="L109" s="23">
        <v>13.0</v>
      </c>
      <c r="M109" s="22" t="s">
        <v>3097</v>
      </c>
      <c r="N109" s="22" t="s">
        <v>3099</v>
      </c>
      <c r="O109" s="22" t="s">
        <v>45</v>
      </c>
      <c r="P109" s="22" t="s">
        <v>45</v>
      </c>
      <c r="Q109" s="22" t="s">
        <v>45</v>
      </c>
      <c r="R109" s="22" t="s">
        <v>45</v>
      </c>
      <c r="S109" s="22" t="s">
        <v>45</v>
      </c>
      <c r="T109" s="22" t="s">
        <v>2002</v>
      </c>
      <c r="U109" s="22" t="s">
        <v>45</v>
      </c>
      <c r="V109" s="22" t="s">
        <v>45</v>
      </c>
      <c r="W109" s="22" t="s">
        <v>4892</v>
      </c>
      <c r="X109" s="22" t="s">
        <v>3095</v>
      </c>
      <c r="Y109" s="22" t="s">
        <v>3095</v>
      </c>
      <c r="Z109" s="22" t="s">
        <v>3095</v>
      </c>
      <c r="AA109" s="22" t="s">
        <v>3095</v>
      </c>
      <c r="AB109" s="22" t="s">
        <v>3095</v>
      </c>
      <c r="AC109" s="22" t="s">
        <v>3095</v>
      </c>
      <c r="AD109" s="22" t="s">
        <v>3095</v>
      </c>
      <c r="AE109" s="22" t="s">
        <v>3095</v>
      </c>
      <c r="AF109" s="22" t="s">
        <v>3095</v>
      </c>
    </row>
    <row r="110" ht="45.0" customHeight="1">
      <c r="A110" s="55" t="s">
        <v>516</v>
      </c>
      <c r="B110" s="62" t="s">
        <v>4893</v>
      </c>
      <c r="C110" s="22" t="str">
        <f>IMAGE("https://raw.githubusercontent.com/ltdimages/images/refs/heads/main/ClothTopsCoatLongKnit_00.png")</f>
        <v/>
      </c>
      <c r="D110" s="22" t="str">
        <f>IMAGE("https://raw.githubusercontent.com/ltdimages/images/refs/heads/main/ClothTopsCoatLongKnit_01.png")</f>
        <v/>
      </c>
      <c r="E110" s="22" t="str">
        <f>IMAGE("https://raw.githubusercontent.com/ltdimages/images/refs/heads/main/ClothTopsCoatLongKnit_02.png")</f>
        <v/>
      </c>
      <c r="F110" s="22" t="str">
        <f>IMAGE("https://raw.githubusercontent.com/ltdimages/images/refs/heads/main/ClothTopsCoatLongKnit_03.png")</f>
        <v/>
      </c>
      <c r="G110" s="22" t="str">
        <f>IMAGE("https://raw.githubusercontent.com/ltdimages/images/refs/heads/main/ClothTopsCoatLongKnit_04.png")</f>
        <v/>
      </c>
      <c r="H110" s="22" t="str">
        <f>IMAGE("https://raw.githubusercontent.com/ltdimages/images/refs/heads/main/ClothTopsCoatLongKnit_05.png")</f>
        <v/>
      </c>
      <c r="I110" s="22" t="str">
        <f>IMAGE("https://raw.githubusercontent.com/ltdimages/images/refs/heads/main/ClothTopsCoatLongKnit_06.png")</f>
        <v/>
      </c>
      <c r="J110" s="22" t="str">
        <f>IMAGE("https://raw.githubusercontent.com/ltdimages/images/refs/heads/main/ClothTopsCoatLongKnit_07.png")</f>
        <v/>
      </c>
      <c r="K110" s="63" t="s">
        <v>3103</v>
      </c>
      <c r="L110" s="23">
        <v>16.2</v>
      </c>
      <c r="M110" s="22" t="s">
        <v>3097</v>
      </c>
      <c r="N110" s="22" t="s">
        <v>3114</v>
      </c>
      <c r="O110" s="22" t="s">
        <v>45</v>
      </c>
      <c r="P110" s="22" t="s">
        <v>45</v>
      </c>
      <c r="Q110" s="22" t="s">
        <v>45</v>
      </c>
      <c r="R110" s="22" t="s">
        <v>45</v>
      </c>
      <c r="S110" s="22" t="s">
        <v>45</v>
      </c>
      <c r="T110" s="22" t="s">
        <v>2002</v>
      </c>
      <c r="U110" s="22" t="s">
        <v>45</v>
      </c>
      <c r="V110" s="22" t="s">
        <v>45</v>
      </c>
      <c r="W110" s="22" t="s">
        <v>4894</v>
      </c>
      <c r="X110" s="22" t="s">
        <v>3095</v>
      </c>
      <c r="Y110" s="22" t="s">
        <v>3095</v>
      </c>
      <c r="Z110" s="22" t="s">
        <v>3095</v>
      </c>
      <c r="AA110" s="22" t="s">
        <v>3095</v>
      </c>
      <c r="AB110" s="22" t="s">
        <v>3095</v>
      </c>
      <c r="AC110" s="22" t="s">
        <v>3095</v>
      </c>
      <c r="AD110" s="22" t="s">
        <v>3095</v>
      </c>
      <c r="AE110" s="22" t="s">
        <v>3095</v>
      </c>
      <c r="AF110" s="22" t="s">
        <v>3095</v>
      </c>
    </row>
    <row r="111" ht="45.0" customHeight="1">
      <c r="A111" s="55" t="s">
        <v>521</v>
      </c>
      <c r="B111" s="62" t="s">
        <v>3777</v>
      </c>
      <c r="C111" s="22" t="str">
        <f>IMAGE("https://raw.githubusercontent.com/ltdimages/images/refs/heads/main/ClothTopsCoatHalfBigTee_00.png")</f>
        <v/>
      </c>
      <c r="D111" s="22" t="str">
        <f>IMAGE("https://raw.githubusercontent.com/ltdimages/images/refs/heads/main/ClothTopsCoatHalfBigTee_01.png")</f>
        <v/>
      </c>
      <c r="E111" s="22" t="str">
        <f>IMAGE("https://raw.githubusercontent.com/ltdimages/images/refs/heads/main/ClothTopsCoatHalfBigTee_02.png")</f>
        <v/>
      </c>
      <c r="F111" s="22" t="str">
        <f>IMAGE("https://raw.githubusercontent.com/ltdimages/images/refs/heads/main/ClothTopsCoatHalfBigTee_03.png")</f>
        <v/>
      </c>
      <c r="G111" s="22" t="str">
        <f>IMAGE("https://raw.githubusercontent.com/ltdimages/images/refs/heads/main/ClothTopsCoatHalfBigTee_04.png")</f>
        <v/>
      </c>
      <c r="H111" s="22" t="str">
        <f>IMAGE("https://raw.githubusercontent.com/ltdimages/images/refs/heads/main/ClothTopsCoatHalfBigTee_05.png")</f>
        <v/>
      </c>
      <c r="I111" s="22" t="str">
        <f>IMAGE("https://raw.githubusercontent.com/ltdimages/images/refs/heads/main/ClothTopsCoatHalfBigTee_06.png")</f>
        <v/>
      </c>
      <c r="J111" s="22" t="str">
        <f>IMAGE("https://raw.githubusercontent.com/ltdimages/images/refs/heads/main/ClothTopsCoatHalfBigTee_07.png")</f>
        <v/>
      </c>
      <c r="K111" s="63" t="s">
        <v>3103</v>
      </c>
      <c r="L111" s="23">
        <v>13.0</v>
      </c>
      <c r="M111" s="22" t="s">
        <v>3097</v>
      </c>
      <c r="N111" s="22" t="s">
        <v>3099</v>
      </c>
      <c r="O111" s="22" t="s">
        <v>45</v>
      </c>
      <c r="P111" s="22" t="s">
        <v>45</v>
      </c>
      <c r="Q111" s="22" t="s">
        <v>45</v>
      </c>
      <c r="R111" s="22" t="s">
        <v>45</v>
      </c>
      <c r="S111" s="22" t="s">
        <v>45</v>
      </c>
      <c r="T111" s="22" t="s">
        <v>2002</v>
      </c>
      <c r="U111" s="22" t="s">
        <v>45</v>
      </c>
      <c r="V111" s="22" t="s">
        <v>45</v>
      </c>
      <c r="W111" s="22" t="s">
        <v>4895</v>
      </c>
      <c r="X111" s="22" t="s">
        <v>3095</v>
      </c>
      <c r="Y111" s="22" t="s">
        <v>3095</v>
      </c>
      <c r="Z111" s="22" t="s">
        <v>3095</v>
      </c>
      <c r="AA111" s="22" t="s">
        <v>3095</v>
      </c>
      <c r="AB111" s="22" t="s">
        <v>3095</v>
      </c>
      <c r="AC111" s="22" t="s">
        <v>3095</v>
      </c>
      <c r="AD111" s="22" t="s">
        <v>3095</v>
      </c>
      <c r="AE111" s="22" t="s">
        <v>3095</v>
      </c>
      <c r="AF111" s="22" t="s">
        <v>3095</v>
      </c>
    </row>
    <row r="112" ht="45.0" customHeight="1">
      <c r="A112" s="55" t="s">
        <v>525</v>
      </c>
      <c r="B112" s="62" t="s">
        <v>3786</v>
      </c>
      <c r="C112" s="22" t="str">
        <f>IMAGE("https://raw.githubusercontent.com/ltdimages/images/refs/heads/main/ClothTopsTshirtLongPaisley_00.png")</f>
        <v/>
      </c>
      <c r="D112" s="22" t="str">
        <f>IMAGE("https://raw.githubusercontent.com/ltdimages/images/refs/heads/main/ClothTopsTshirtLongPaisley_01.png")</f>
        <v/>
      </c>
      <c r="E112" s="22" t="str">
        <f>IMAGE("https://raw.githubusercontent.com/ltdimages/images/refs/heads/main/ClothTopsTshirtLongPaisley_02.png")</f>
        <v/>
      </c>
      <c r="F112" s="22" t="s">
        <v>3095</v>
      </c>
      <c r="G112" s="22" t="s">
        <v>3095</v>
      </c>
      <c r="H112" s="22" t="s">
        <v>3095</v>
      </c>
      <c r="I112" s="22" t="s">
        <v>3095</v>
      </c>
      <c r="J112" s="22" t="s">
        <v>3095</v>
      </c>
      <c r="K112" s="63" t="s">
        <v>3103</v>
      </c>
      <c r="L112" s="23">
        <v>13.0</v>
      </c>
      <c r="M112" s="22" t="s">
        <v>3097</v>
      </c>
      <c r="N112" s="22" t="s">
        <v>3099</v>
      </c>
      <c r="O112" s="22" t="s">
        <v>45</v>
      </c>
      <c r="P112" s="22" t="s">
        <v>45</v>
      </c>
      <c r="Q112" s="22" t="s">
        <v>45</v>
      </c>
      <c r="R112" s="22" t="s">
        <v>45</v>
      </c>
      <c r="S112" s="22" t="s">
        <v>45</v>
      </c>
      <c r="T112" s="22" t="s">
        <v>2002</v>
      </c>
      <c r="U112" s="22" t="s">
        <v>45</v>
      </c>
      <c r="V112" s="22" t="s">
        <v>45</v>
      </c>
      <c r="W112" s="22" t="s">
        <v>4896</v>
      </c>
      <c r="X112" s="22" t="s">
        <v>3095</v>
      </c>
      <c r="Y112" s="22" t="s">
        <v>3095</v>
      </c>
      <c r="Z112" s="22" t="s">
        <v>3095</v>
      </c>
      <c r="AA112" s="22" t="s">
        <v>3095</v>
      </c>
      <c r="AB112" s="22" t="s">
        <v>3095</v>
      </c>
      <c r="AC112" s="22" t="s">
        <v>3095</v>
      </c>
      <c r="AD112" s="22" t="s">
        <v>3095</v>
      </c>
      <c r="AE112" s="22" t="s">
        <v>3095</v>
      </c>
      <c r="AF112" s="22" t="s">
        <v>3095</v>
      </c>
    </row>
    <row r="113" ht="45.0" customHeight="1">
      <c r="A113" s="55" t="s">
        <v>529</v>
      </c>
      <c r="B113" s="62" t="s">
        <v>3574</v>
      </c>
      <c r="C113" s="22" t="str">
        <f>IMAGE("https://raw.githubusercontent.com/ltdimages/images/refs/heads/main/ClothTopsTshirtLongPajama_00.png")</f>
        <v/>
      </c>
      <c r="D113" s="22" t="str">
        <f>IMAGE("https://raw.githubusercontent.com/ltdimages/images/refs/heads/main/ClothTopsTshirtLongPajama_01.png")</f>
        <v/>
      </c>
      <c r="E113" s="22" t="str">
        <f>IMAGE("https://raw.githubusercontent.com/ltdimages/images/refs/heads/main/ClothTopsTshirtLongPajama_02.png")</f>
        <v/>
      </c>
      <c r="F113" s="22" t="str">
        <f>IMAGE("https://raw.githubusercontent.com/ltdimages/images/refs/heads/main/ClothTopsTshirtLongPajama_03.png")</f>
        <v/>
      </c>
      <c r="G113" s="22" t="str">
        <f>IMAGE("https://raw.githubusercontent.com/ltdimages/images/refs/heads/main/ClothTopsTshirtLongPajama_04.png")</f>
        <v/>
      </c>
      <c r="H113" s="22" t="str">
        <f>IMAGE("https://raw.githubusercontent.com/ltdimages/images/refs/heads/main/ClothTopsTshirtLongPajama_05.png")</f>
        <v/>
      </c>
      <c r="I113" s="22" t="str">
        <f>IMAGE("https://raw.githubusercontent.com/ltdimages/images/refs/heads/main/ClothTopsTshirtLongPajama_06.png")</f>
        <v/>
      </c>
      <c r="J113" s="22" t="str">
        <f>IMAGE("https://raw.githubusercontent.com/ltdimages/images/refs/heads/main/ClothTopsTshirtLongPajama_07.png")</f>
        <v/>
      </c>
      <c r="K113" s="63" t="s">
        <v>3103</v>
      </c>
      <c r="L113" s="23">
        <v>10.0</v>
      </c>
      <c r="M113" s="22" t="s">
        <v>3097</v>
      </c>
      <c r="N113" s="22" t="s">
        <v>3099</v>
      </c>
      <c r="O113" s="22" t="s">
        <v>45</v>
      </c>
      <c r="P113" s="22" t="s">
        <v>45</v>
      </c>
      <c r="Q113" s="22" t="s">
        <v>45</v>
      </c>
      <c r="R113" s="22" t="s">
        <v>45</v>
      </c>
      <c r="S113" s="22" t="s">
        <v>45</v>
      </c>
      <c r="T113" s="22" t="s">
        <v>2002</v>
      </c>
      <c r="U113" s="22" t="s">
        <v>45</v>
      </c>
      <c r="V113" s="22" t="s">
        <v>45</v>
      </c>
      <c r="W113" s="22" t="s">
        <v>4897</v>
      </c>
      <c r="X113" s="22" t="s">
        <v>3095</v>
      </c>
      <c r="Y113" s="22" t="s">
        <v>3095</v>
      </c>
      <c r="Z113" s="22" t="s">
        <v>3095</v>
      </c>
      <c r="AA113" s="22" t="s">
        <v>3095</v>
      </c>
      <c r="AB113" s="22" t="s">
        <v>3095</v>
      </c>
      <c r="AC113" s="22" t="s">
        <v>3095</v>
      </c>
      <c r="AD113" s="22" t="s">
        <v>3095</v>
      </c>
      <c r="AE113" s="22" t="s">
        <v>3095</v>
      </c>
      <c r="AF113" s="22" t="s">
        <v>3095</v>
      </c>
    </row>
    <row r="114" ht="45.0" customHeight="1">
      <c r="A114" s="55" t="s">
        <v>533</v>
      </c>
      <c r="B114" s="62" t="s">
        <v>3790</v>
      </c>
      <c r="C114" s="22" t="str">
        <f>IMAGE("https://raw.githubusercontent.com/ltdimages/images/refs/heads/main/ClothTopsTshirtLongPastelJacket_00.png")</f>
        <v/>
      </c>
      <c r="D114" s="22" t="str">
        <f>IMAGE("https://raw.githubusercontent.com/ltdimages/images/refs/heads/main/ClothTopsTshirtLongPastelJacket_01.png")</f>
        <v/>
      </c>
      <c r="E114" s="22" t="str">
        <f>IMAGE("https://raw.githubusercontent.com/ltdimages/images/refs/heads/main/ClothTopsTshirtLongPastelJacket_02.png")</f>
        <v/>
      </c>
      <c r="F114" s="22" t="str">
        <f>IMAGE("https://raw.githubusercontent.com/ltdimages/images/refs/heads/main/ClothTopsTshirtLongPastelJacket_03.png")</f>
        <v/>
      </c>
      <c r="G114" s="22" t="str">
        <f>IMAGE("https://raw.githubusercontent.com/ltdimages/images/refs/heads/main/ClothTopsTshirtLongPastelJacket_04.png")</f>
        <v/>
      </c>
      <c r="H114" s="22" t="str">
        <f>IMAGE("https://raw.githubusercontent.com/ltdimages/images/refs/heads/main/ClothTopsTshirtLongPastelJacket_05.png")</f>
        <v/>
      </c>
      <c r="I114" s="22" t="str">
        <f>IMAGE("https://raw.githubusercontent.com/ltdimages/images/refs/heads/main/ClothTopsTshirtLongPastelJacket_06.png")</f>
        <v/>
      </c>
      <c r="J114" s="22" t="str">
        <f>IMAGE("https://raw.githubusercontent.com/ltdimages/images/refs/heads/main/ClothTopsTshirtLongPastelJacket_07.png")</f>
        <v/>
      </c>
      <c r="K114" s="63" t="s">
        <v>3103</v>
      </c>
      <c r="L114" s="23">
        <v>16.0</v>
      </c>
      <c r="M114" s="22" t="s">
        <v>3097</v>
      </c>
      <c r="N114" s="22" t="s">
        <v>3099</v>
      </c>
      <c r="O114" s="22" t="s">
        <v>45</v>
      </c>
      <c r="P114" s="22" t="s">
        <v>45</v>
      </c>
      <c r="Q114" s="22" t="s">
        <v>45</v>
      </c>
      <c r="R114" s="22" t="s">
        <v>45</v>
      </c>
      <c r="S114" s="22" t="s">
        <v>45</v>
      </c>
      <c r="T114" s="22" t="s">
        <v>2002</v>
      </c>
      <c r="U114" s="22" t="s">
        <v>45</v>
      </c>
      <c r="V114" s="22" t="s">
        <v>45</v>
      </c>
      <c r="W114" s="22" t="s">
        <v>4898</v>
      </c>
      <c r="X114" s="22" t="s">
        <v>3095</v>
      </c>
      <c r="Y114" s="22" t="s">
        <v>3095</v>
      </c>
      <c r="Z114" s="22" t="s">
        <v>3095</v>
      </c>
      <c r="AA114" s="22" t="s">
        <v>3095</v>
      </c>
      <c r="AB114" s="22" t="s">
        <v>3095</v>
      </c>
      <c r="AC114" s="22" t="s">
        <v>3095</v>
      </c>
      <c r="AD114" s="22" t="s">
        <v>3095</v>
      </c>
      <c r="AE114" s="22" t="s">
        <v>3095</v>
      </c>
      <c r="AF114" s="22" t="s">
        <v>3095</v>
      </c>
    </row>
    <row r="115" ht="45.0" customHeight="1">
      <c r="A115" s="55" t="s">
        <v>537</v>
      </c>
      <c r="B115" s="62" t="s">
        <v>4899</v>
      </c>
      <c r="C115" s="22" t="str">
        <f>IMAGE("https://raw.githubusercontent.com/ltdimages/images/refs/heads/main/ClothTopsOuterLongFleecePattern_00.png")</f>
        <v/>
      </c>
      <c r="D115" s="22" t="str">
        <f>IMAGE("https://raw.githubusercontent.com/ltdimages/images/refs/heads/main/ClothTopsOuterLongFleecePattern_01.png")</f>
        <v/>
      </c>
      <c r="E115" s="22" t="str">
        <f>IMAGE("https://raw.githubusercontent.com/ltdimages/images/refs/heads/main/ClothTopsOuterLongFleecePattern_02.png")</f>
        <v/>
      </c>
      <c r="F115" s="22" t="str">
        <f>IMAGE("https://raw.githubusercontent.com/ltdimages/images/refs/heads/main/ClothTopsOuterLongFleecePattern_03.png")</f>
        <v/>
      </c>
      <c r="G115" s="22" t="str">
        <f>IMAGE("https://raw.githubusercontent.com/ltdimages/images/refs/heads/main/ClothTopsOuterLongFleecePattern_04.png")</f>
        <v/>
      </c>
      <c r="H115" s="22" t="str">
        <f>IMAGE("https://raw.githubusercontent.com/ltdimages/images/refs/heads/main/ClothTopsOuterLongFleecePattern_05.png")</f>
        <v/>
      </c>
      <c r="I115" s="22" t="str">
        <f>IMAGE("https://raw.githubusercontent.com/ltdimages/images/refs/heads/main/ClothTopsOuterLongFleecePattern_06.png")</f>
        <v/>
      </c>
      <c r="J115" s="22" t="str">
        <f>IMAGE("https://raw.githubusercontent.com/ltdimages/images/refs/heads/main/ClothTopsOuterLongFleecePattern_07.png")</f>
        <v/>
      </c>
      <c r="K115" s="63" t="s">
        <v>3103</v>
      </c>
      <c r="L115" s="23">
        <v>13.1</v>
      </c>
      <c r="M115" s="22" t="s">
        <v>3097</v>
      </c>
      <c r="N115" s="22" t="s">
        <v>3114</v>
      </c>
      <c r="O115" s="22" t="s">
        <v>45</v>
      </c>
      <c r="P115" s="22" t="s">
        <v>45</v>
      </c>
      <c r="Q115" s="22" t="s">
        <v>45</v>
      </c>
      <c r="R115" s="22" t="s">
        <v>45</v>
      </c>
      <c r="S115" s="22" t="s">
        <v>45</v>
      </c>
      <c r="T115" s="22" t="s">
        <v>2002</v>
      </c>
      <c r="U115" s="22" t="s">
        <v>45</v>
      </c>
      <c r="V115" s="22" t="s">
        <v>45</v>
      </c>
      <c r="W115" s="22" t="s">
        <v>4900</v>
      </c>
      <c r="X115" s="22" t="s">
        <v>3095</v>
      </c>
      <c r="Y115" s="22" t="s">
        <v>3095</v>
      </c>
      <c r="Z115" s="22" t="s">
        <v>3095</v>
      </c>
      <c r="AA115" s="22" t="s">
        <v>3095</v>
      </c>
      <c r="AB115" s="22" t="s">
        <v>3095</v>
      </c>
      <c r="AC115" s="22" t="s">
        <v>3095</v>
      </c>
      <c r="AD115" s="22" t="s">
        <v>3095</v>
      </c>
      <c r="AE115" s="22" t="s">
        <v>3095</v>
      </c>
      <c r="AF115" s="22" t="s">
        <v>3095</v>
      </c>
    </row>
    <row r="116" ht="45.0" customHeight="1">
      <c r="A116" s="55" t="s">
        <v>541</v>
      </c>
      <c r="B116" s="62" t="s">
        <v>3795</v>
      </c>
      <c r="C116" s="22" t="str">
        <f>IMAGE("https://raw.githubusercontent.com/ltdimages/images/refs/heads/main/ClothTopsYshirtHalfPatterned_00.png")</f>
        <v/>
      </c>
      <c r="D116" s="22" t="str">
        <f>IMAGE("https://raw.githubusercontent.com/ltdimages/images/refs/heads/main/ClothTopsYshirtHalfPatterned_01.png")</f>
        <v/>
      </c>
      <c r="E116" s="22" t="str">
        <f>IMAGE("https://raw.githubusercontent.com/ltdimages/images/refs/heads/main/ClothTopsYshirtHalfPatterned_02.png")</f>
        <v/>
      </c>
      <c r="F116" s="22" t="str">
        <f>IMAGE("https://raw.githubusercontent.com/ltdimages/images/refs/heads/main/ClothTopsYshirtHalfPatterned_03.png")</f>
        <v/>
      </c>
      <c r="G116" s="22" t="str">
        <f>IMAGE("https://raw.githubusercontent.com/ltdimages/images/refs/heads/main/ClothTopsYshirtHalfPatterned_04.png")</f>
        <v/>
      </c>
      <c r="H116" s="22" t="str">
        <f>IMAGE("https://raw.githubusercontent.com/ltdimages/images/refs/heads/main/ClothTopsYshirtHalfPatterned_05.png")</f>
        <v/>
      </c>
      <c r="I116" s="22" t="s">
        <v>3095</v>
      </c>
      <c r="J116" s="22" t="s">
        <v>3095</v>
      </c>
      <c r="K116" s="63" t="s">
        <v>3103</v>
      </c>
      <c r="L116" s="23">
        <v>12.5</v>
      </c>
      <c r="M116" s="22" t="s">
        <v>3097</v>
      </c>
      <c r="N116" s="22" t="s">
        <v>3123</v>
      </c>
      <c r="O116" s="22" t="s">
        <v>45</v>
      </c>
      <c r="P116" s="22" t="s">
        <v>45</v>
      </c>
      <c r="Q116" s="22" t="s">
        <v>45</v>
      </c>
      <c r="R116" s="22" t="s">
        <v>45</v>
      </c>
      <c r="S116" s="22" t="s">
        <v>45</v>
      </c>
      <c r="T116" s="22" t="s">
        <v>2002</v>
      </c>
      <c r="U116" s="22" t="s">
        <v>45</v>
      </c>
      <c r="V116" s="22" t="s">
        <v>45</v>
      </c>
      <c r="W116" s="22" t="s">
        <v>4901</v>
      </c>
      <c r="X116" s="22" t="s">
        <v>3095</v>
      </c>
      <c r="Y116" s="22" t="s">
        <v>3095</v>
      </c>
      <c r="Z116" s="22" t="s">
        <v>3095</v>
      </c>
      <c r="AA116" s="22" t="s">
        <v>3095</v>
      </c>
      <c r="AB116" s="22" t="s">
        <v>3095</v>
      </c>
      <c r="AC116" s="22" t="s">
        <v>3095</v>
      </c>
      <c r="AD116" s="22" t="s">
        <v>3095</v>
      </c>
      <c r="AE116" s="22" t="s">
        <v>3095</v>
      </c>
      <c r="AF116" s="22" t="s">
        <v>3095</v>
      </c>
    </row>
    <row r="117" ht="45.0" customHeight="1">
      <c r="A117" s="55" t="s">
        <v>546</v>
      </c>
      <c r="B117" s="62" t="s">
        <v>4902</v>
      </c>
      <c r="C117" s="22" t="str">
        <f>IMAGE("https://raw.githubusercontent.com/ltdimages/images/refs/heads/main/ClothTopsOuterLongPatterned_00.png")</f>
        <v/>
      </c>
      <c r="D117" s="22" t="str">
        <f>IMAGE("https://raw.githubusercontent.com/ltdimages/images/refs/heads/main/ClothTopsOuterLongPatterned_01.png")</f>
        <v/>
      </c>
      <c r="E117" s="22" t="str">
        <f>IMAGE("https://raw.githubusercontent.com/ltdimages/images/refs/heads/main/ClothTopsOuterLongPatterned_02.png")</f>
        <v/>
      </c>
      <c r="F117" s="22" t="str">
        <f>IMAGE("https://raw.githubusercontent.com/ltdimages/images/refs/heads/main/ClothTopsOuterLongPatterned_03.png")</f>
        <v/>
      </c>
      <c r="G117" s="22" t="str">
        <f>IMAGE("https://raw.githubusercontent.com/ltdimages/images/refs/heads/main/ClothTopsOuterLongPatterned_04.png")</f>
        <v/>
      </c>
      <c r="H117" s="22" t="str">
        <f>IMAGE("https://raw.githubusercontent.com/ltdimages/images/refs/heads/main/ClothTopsOuterLongPatterned_05.png")</f>
        <v/>
      </c>
      <c r="I117" s="22" t="s">
        <v>3095</v>
      </c>
      <c r="J117" s="22" t="s">
        <v>3095</v>
      </c>
      <c r="K117" s="63" t="s">
        <v>3103</v>
      </c>
      <c r="L117" s="23">
        <v>14.0</v>
      </c>
      <c r="M117" s="22" t="s">
        <v>3097</v>
      </c>
      <c r="N117" s="22" t="s">
        <v>3099</v>
      </c>
      <c r="O117" s="22" t="s">
        <v>45</v>
      </c>
      <c r="P117" s="22" t="s">
        <v>45</v>
      </c>
      <c r="Q117" s="22" t="s">
        <v>45</v>
      </c>
      <c r="R117" s="22" t="s">
        <v>45</v>
      </c>
      <c r="S117" s="22" t="s">
        <v>45</v>
      </c>
      <c r="T117" s="22" t="s">
        <v>2002</v>
      </c>
      <c r="U117" s="22" t="s">
        <v>45</v>
      </c>
      <c r="V117" s="22" t="s">
        <v>45</v>
      </c>
      <c r="W117" s="22" t="s">
        <v>4903</v>
      </c>
      <c r="X117" s="22" t="s">
        <v>3095</v>
      </c>
      <c r="Y117" s="22" t="s">
        <v>3095</v>
      </c>
      <c r="Z117" s="22" t="s">
        <v>3095</v>
      </c>
      <c r="AA117" s="22" t="s">
        <v>3095</v>
      </c>
      <c r="AB117" s="22" t="s">
        <v>3095</v>
      </c>
      <c r="AC117" s="22" t="s">
        <v>3095</v>
      </c>
      <c r="AD117" s="22" t="s">
        <v>3095</v>
      </c>
      <c r="AE117" s="22" t="s">
        <v>3095</v>
      </c>
      <c r="AF117" s="22" t="s">
        <v>3095</v>
      </c>
    </row>
    <row r="118" ht="45.0" customHeight="1">
      <c r="A118" s="55" t="s">
        <v>550</v>
      </c>
      <c r="B118" s="62" t="s">
        <v>4904</v>
      </c>
      <c r="C118" s="22" t="str">
        <f>IMAGE("https://raw.githubusercontent.com/ltdimages/images/refs/heads/main/ClothTopsTshirtSleevelessPattern_00.png")</f>
        <v/>
      </c>
      <c r="D118" s="22" t="str">
        <f>IMAGE("https://raw.githubusercontent.com/ltdimages/images/refs/heads/main/ClothTopsTshirtSleevelessPattern_01.png")</f>
        <v/>
      </c>
      <c r="E118" s="22" t="str">
        <f>IMAGE("https://raw.githubusercontent.com/ltdimages/images/refs/heads/main/ClothTopsTshirtSleevelessPattern_02.png")</f>
        <v/>
      </c>
      <c r="F118" s="22" t="str">
        <f>IMAGE("https://raw.githubusercontent.com/ltdimages/images/refs/heads/main/ClothTopsTshirtSleevelessPattern_03.png")</f>
        <v/>
      </c>
      <c r="G118" s="22" t="str">
        <f>IMAGE("https://raw.githubusercontent.com/ltdimages/images/refs/heads/main/ClothTopsTshirtSleevelessPattern_04.png")</f>
        <v/>
      </c>
      <c r="H118" s="22" t="str">
        <f>IMAGE("https://raw.githubusercontent.com/ltdimages/images/refs/heads/main/ClothTopsTshirtSleevelessPattern_05.png")</f>
        <v/>
      </c>
      <c r="I118" s="22" t="str">
        <f>IMAGE("https://raw.githubusercontent.com/ltdimages/images/refs/heads/main/ClothTopsTshirtSleevelessPattern_06.png")</f>
        <v/>
      </c>
      <c r="J118" s="22" t="str">
        <f>IMAGE("https://raw.githubusercontent.com/ltdimages/images/refs/heads/main/ClothTopsTshirtSleevelessPattern_07.png")</f>
        <v/>
      </c>
      <c r="K118" s="63" t="s">
        <v>3103</v>
      </c>
      <c r="L118" s="23">
        <v>12.0</v>
      </c>
      <c r="M118" s="22" t="s">
        <v>3097</v>
      </c>
      <c r="N118" s="22" t="s">
        <v>3123</v>
      </c>
      <c r="O118" s="22" t="s">
        <v>45</v>
      </c>
      <c r="P118" s="22" t="s">
        <v>45</v>
      </c>
      <c r="Q118" s="22" t="s">
        <v>45</v>
      </c>
      <c r="R118" s="22" t="s">
        <v>45</v>
      </c>
      <c r="S118" s="22" t="s">
        <v>45</v>
      </c>
      <c r="T118" s="22" t="s">
        <v>2002</v>
      </c>
      <c r="U118" s="22" t="s">
        <v>45</v>
      </c>
      <c r="V118" s="22" t="s">
        <v>45</v>
      </c>
      <c r="W118" s="22" t="s">
        <v>4905</v>
      </c>
      <c r="X118" s="22" t="s">
        <v>3095</v>
      </c>
      <c r="Y118" s="22" t="s">
        <v>3095</v>
      </c>
      <c r="Z118" s="22" t="s">
        <v>3095</v>
      </c>
      <c r="AA118" s="22" t="s">
        <v>3095</v>
      </c>
      <c r="AB118" s="22" t="s">
        <v>3095</v>
      </c>
      <c r="AC118" s="22" t="s">
        <v>3095</v>
      </c>
      <c r="AD118" s="22" t="s">
        <v>3095</v>
      </c>
      <c r="AE118" s="22" t="s">
        <v>3095</v>
      </c>
      <c r="AF118" s="22" t="s">
        <v>3095</v>
      </c>
    </row>
    <row r="119" ht="45.0" customHeight="1">
      <c r="A119" s="55" t="s">
        <v>555</v>
      </c>
      <c r="B119" s="62" t="s">
        <v>4906</v>
      </c>
      <c r="C119" s="22" t="str">
        <f>IMAGE("https://raw.githubusercontent.com/ltdimages/images/refs/heads/main/ClothTopsTshirtLongPatternedVest_00.png")</f>
        <v/>
      </c>
      <c r="D119" s="22" t="str">
        <f>IMAGE("https://raw.githubusercontent.com/ltdimages/images/refs/heads/main/ClothTopsTshirtLongPatternedVest_01.png")</f>
        <v/>
      </c>
      <c r="E119" s="22" t="str">
        <f>IMAGE("https://raw.githubusercontent.com/ltdimages/images/refs/heads/main/ClothTopsTshirtLongPatternedVest_02.png")</f>
        <v/>
      </c>
      <c r="F119" s="22" t="str">
        <f>IMAGE("https://raw.githubusercontent.com/ltdimages/images/refs/heads/main/ClothTopsTshirtLongPatternedVest_03.png")</f>
        <v/>
      </c>
      <c r="G119" s="22" t="str">
        <f>IMAGE("https://raw.githubusercontent.com/ltdimages/images/refs/heads/main/ClothTopsTshirtLongPatternedVest_04.png")</f>
        <v/>
      </c>
      <c r="H119" s="22" t="str">
        <f>IMAGE("https://raw.githubusercontent.com/ltdimages/images/refs/heads/main/ClothTopsTshirtLongPatternedVest_05.png")</f>
        <v/>
      </c>
      <c r="I119" s="22" t="s">
        <v>3095</v>
      </c>
      <c r="J119" s="22" t="s">
        <v>3095</v>
      </c>
      <c r="K119" s="63" t="s">
        <v>3103</v>
      </c>
      <c r="L119" s="23">
        <v>17.0</v>
      </c>
      <c r="M119" s="22" t="s">
        <v>3097</v>
      </c>
      <c r="N119" s="22" t="s">
        <v>3099</v>
      </c>
      <c r="O119" s="22" t="s">
        <v>45</v>
      </c>
      <c r="P119" s="22" t="s">
        <v>45</v>
      </c>
      <c r="Q119" s="22" t="s">
        <v>45</v>
      </c>
      <c r="R119" s="22" t="s">
        <v>45</v>
      </c>
      <c r="S119" s="22" t="s">
        <v>45</v>
      </c>
      <c r="T119" s="22" t="s">
        <v>2002</v>
      </c>
      <c r="U119" s="22" t="s">
        <v>45</v>
      </c>
      <c r="V119" s="22" t="s">
        <v>45</v>
      </c>
      <c r="W119" s="22" t="s">
        <v>4907</v>
      </c>
      <c r="X119" s="22" t="s">
        <v>3095</v>
      </c>
      <c r="Y119" s="22" t="s">
        <v>3095</v>
      </c>
      <c r="Z119" s="22" t="s">
        <v>3095</v>
      </c>
      <c r="AA119" s="22" t="s">
        <v>3095</v>
      </c>
      <c r="AB119" s="22" t="s">
        <v>3095</v>
      </c>
      <c r="AC119" s="22" t="s">
        <v>3095</v>
      </c>
      <c r="AD119" s="22" t="s">
        <v>3095</v>
      </c>
      <c r="AE119" s="22" t="s">
        <v>3095</v>
      </c>
      <c r="AF119" s="22" t="s">
        <v>3095</v>
      </c>
    </row>
    <row r="120" ht="45.0" customHeight="1">
      <c r="A120" s="55" t="s">
        <v>559</v>
      </c>
      <c r="B120" s="62" t="s">
        <v>3798</v>
      </c>
      <c r="C120" s="22" t="str">
        <f>IMAGE("https://raw.githubusercontent.com/ltdimages/images/refs/heads/main/ClothTopsCoatLongPea_00.png")</f>
        <v/>
      </c>
      <c r="D120" s="22" t="str">
        <f>IMAGE("https://raw.githubusercontent.com/ltdimages/images/refs/heads/main/ClothTopsCoatLongPea_01.png")</f>
        <v/>
      </c>
      <c r="E120" s="22" t="str">
        <f>IMAGE("https://raw.githubusercontent.com/ltdimages/images/refs/heads/main/ClothTopsCoatLongPea_02.png")</f>
        <v/>
      </c>
      <c r="F120" s="22" t="str">
        <f>IMAGE("https://raw.githubusercontent.com/ltdimages/images/refs/heads/main/ClothTopsCoatLongPea_03.png")</f>
        <v/>
      </c>
      <c r="G120" s="22" t="str">
        <f>IMAGE("https://raw.githubusercontent.com/ltdimages/images/refs/heads/main/ClothTopsCoatLongPea_04.png")</f>
        <v/>
      </c>
      <c r="H120" s="22" t="str">
        <f>IMAGE("https://raw.githubusercontent.com/ltdimages/images/refs/heads/main/ClothTopsCoatLongPea_05.png")</f>
        <v/>
      </c>
      <c r="I120" s="22" t="s">
        <v>3095</v>
      </c>
      <c r="J120" s="22" t="s">
        <v>3095</v>
      </c>
      <c r="K120" s="63" t="s">
        <v>3103</v>
      </c>
      <c r="L120" s="23">
        <v>17.5</v>
      </c>
      <c r="M120" s="22" t="s">
        <v>3097</v>
      </c>
      <c r="N120" s="22" t="s">
        <v>3114</v>
      </c>
      <c r="O120" s="22" t="s">
        <v>45</v>
      </c>
      <c r="P120" s="22" t="s">
        <v>45</v>
      </c>
      <c r="Q120" s="22" t="s">
        <v>45</v>
      </c>
      <c r="R120" s="22" t="s">
        <v>45</v>
      </c>
      <c r="S120" s="22" t="s">
        <v>45</v>
      </c>
      <c r="T120" s="22" t="s">
        <v>2002</v>
      </c>
      <c r="U120" s="22" t="s">
        <v>45</v>
      </c>
      <c r="V120" s="22" t="s">
        <v>45</v>
      </c>
      <c r="W120" s="22" t="s">
        <v>4908</v>
      </c>
      <c r="X120" s="22" t="s">
        <v>3095</v>
      </c>
      <c r="Y120" s="22" t="s">
        <v>3095</v>
      </c>
      <c r="Z120" s="22" t="s">
        <v>3095</v>
      </c>
      <c r="AA120" s="22" t="s">
        <v>3095</v>
      </c>
      <c r="AB120" s="22" t="s">
        <v>3095</v>
      </c>
      <c r="AC120" s="22" t="s">
        <v>3095</v>
      </c>
      <c r="AD120" s="22" t="s">
        <v>3095</v>
      </c>
      <c r="AE120" s="22" t="s">
        <v>3095</v>
      </c>
      <c r="AF120" s="22" t="s">
        <v>3095</v>
      </c>
    </row>
    <row r="121" ht="45.0" customHeight="1">
      <c r="A121" s="55" t="s">
        <v>563</v>
      </c>
      <c r="B121" s="62" t="s">
        <v>3807</v>
      </c>
      <c r="C121" s="22" t="str">
        <f>IMAGE("https://raw.githubusercontent.com/ltdimages/images/refs/heads/main/ClothTopsMantleLongPhantomThief_00.png")</f>
        <v/>
      </c>
      <c r="D121" s="22" t="str">
        <f>IMAGE("https://raw.githubusercontent.com/ltdimages/images/refs/heads/main/ClothTopsMantleLongPhantomThief_01.png")</f>
        <v/>
      </c>
      <c r="E121" s="22" t="s">
        <v>3095</v>
      </c>
      <c r="F121" s="22" t="s">
        <v>3095</v>
      </c>
      <c r="G121" s="22" t="s">
        <v>3095</v>
      </c>
      <c r="H121" s="22" t="s">
        <v>3095</v>
      </c>
      <c r="I121" s="22" t="s">
        <v>3095</v>
      </c>
      <c r="J121" s="22" t="s">
        <v>3095</v>
      </c>
      <c r="K121" s="63" t="s">
        <v>3103</v>
      </c>
      <c r="L121" s="23">
        <v>25.5</v>
      </c>
      <c r="M121" s="22" t="s">
        <v>3097</v>
      </c>
      <c r="N121" s="22" t="s">
        <v>3099</v>
      </c>
      <c r="O121" s="22" t="s">
        <v>45</v>
      </c>
      <c r="P121" s="22" t="s">
        <v>45</v>
      </c>
      <c r="Q121" s="22" t="s">
        <v>45</v>
      </c>
      <c r="R121" s="22" t="s">
        <v>49</v>
      </c>
      <c r="S121" s="22" t="s">
        <v>45</v>
      </c>
      <c r="T121" s="22" t="s">
        <v>2002</v>
      </c>
      <c r="U121" s="22" t="s">
        <v>45</v>
      </c>
      <c r="V121" s="22" t="s">
        <v>45</v>
      </c>
      <c r="W121" s="22" t="s">
        <v>4909</v>
      </c>
      <c r="X121" s="22" t="s">
        <v>3095</v>
      </c>
      <c r="Y121" s="22" t="s">
        <v>3095</v>
      </c>
      <c r="Z121" s="22" t="s">
        <v>3095</v>
      </c>
      <c r="AA121" s="22" t="s">
        <v>3095</v>
      </c>
      <c r="AB121" s="22" t="s">
        <v>3095</v>
      </c>
      <c r="AC121" s="22" t="s">
        <v>3095</v>
      </c>
      <c r="AD121" s="22" t="s">
        <v>3095</v>
      </c>
      <c r="AE121" s="22" t="s">
        <v>3095</v>
      </c>
      <c r="AF121" s="22" t="s">
        <v>3095</v>
      </c>
    </row>
    <row r="122" ht="45.0" customHeight="1">
      <c r="A122" s="55" t="s">
        <v>567</v>
      </c>
      <c r="B122" s="62" t="s">
        <v>3816</v>
      </c>
      <c r="C122" s="22" t="str">
        <f>IMAGE("https://raw.githubusercontent.com/ltdimages/images/refs/heads/main/ClothTopsTshirtHalfPhoto_00.png")</f>
        <v/>
      </c>
      <c r="D122" s="22" t="str">
        <f>IMAGE("https://raw.githubusercontent.com/ltdimages/images/refs/heads/main/ClothTopsTshirtHalfPhoto_01.png")</f>
        <v/>
      </c>
      <c r="E122" s="22" t="s">
        <v>3095</v>
      </c>
      <c r="F122" s="22" t="s">
        <v>3095</v>
      </c>
      <c r="G122" s="22" t="s">
        <v>3095</v>
      </c>
      <c r="H122" s="22" t="s">
        <v>3095</v>
      </c>
      <c r="I122" s="22" t="s">
        <v>3095</v>
      </c>
      <c r="J122" s="22" t="s">
        <v>3095</v>
      </c>
      <c r="K122" s="63" t="s">
        <v>3103</v>
      </c>
      <c r="L122" s="23">
        <v>12.0</v>
      </c>
      <c r="M122" s="22" t="s">
        <v>3097</v>
      </c>
      <c r="N122" s="22" t="s">
        <v>3123</v>
      </c>
      <c r="O122" s="22" t="s">
        <v>45</v>
      </c>
      <c r="P122" s="22" t="s">
        <v>45</v>
      </c>
      <c r="Q122" s="22" t="s">
        <v>45</v>
      </c>
      <c r="R122" s="22" t="s">
        <v>45</v>
      </c>
      <c r="S122" s="22" t="s">
        <v>45</v>
      </c>
      <c r="T122" s="22" t="s">
        <v>2002</v>
      </c>
      <c r="U122" s="22" t="s">
        <v>45</v>
      </c>
      <c r="V122" s="22" t="s">
        <v>45</v>
      </c>
      <c r="W122" s="22" t="s">
        <v>4910</v>
      </c>
      <c r="X122" s="22" t="s">
        <v>3095</v>
      </c>
      <c r="Y122" s="22" t="s">
        <v>3095</v>
      </c>
      <c r="Z122" s="22" t="s">
        <v>3095</v>
      </c>
      <c r="AA122" s="22" t="s">
        <v>3095</v>
      </c>
      <c r="AB122" s="22" t="s">
        <v>3095</v>
      </c>
      <c r="AC122" s="22" t="s">
        <v>3095</v>
      </c>
      <c r="AD122" s="22" t="s">
        <v>3095</v>
      </c>
      <c r="AE122" s="22" t="s">
        <v>3095</v>
      </c>
      <c r="AF122" s="22" t="s">
        <v>3095</v>
      </c>
    </row>
    <row r="123" ht="45.0" customHeight="1">
      <c r="A123" s="55" t="s">
        <v>571</v>
      </c>
      <c r="B123" s="62" t="s">
        <v>3823</v>
      </c>
      <c r="C123" s="22" t="str">
        <f>IMAGE("https://raw.githubusercontent.com/ltdimages/images/refs/heads/main/ClothTopsYshirtLongPilotUniform_00.png")</f>
        <v/>
      </c>
      <c r="D123" s="22" t="str">
        <f>IMAGE("https://raw.githubusercontent.com/ltdimages/images/refs/heads/main/ClothTopsYshirtLongPilotUniform_01.png")</f>
        <v/>
      </c>
      <c r="E123" s="22" t="str">
        <f>IMAGE("https://raw.githubusercontent.com/ltdimages/images/refs/heads/main/ClothTopsYshirtLongPilotUniform_02.png")</f>
        <v/>
      </c>
      <c r="F123" s="22" t="str">
        <f>IMAGE("https://raw.githubusercontent.com/ltdimages/images/refs/heads/main/ClothTopsYshirtLongPilotUniform_03.png")</f>
        <v/>
      </c>
      <c r="G123" s="22" t="str">
        <f>IMAGE("https://raw.githubusercontent.com/ltdimages/images/refs/heads/main/ClothTopsYshirtLongPilotUniform_04.png")</f>
        <v/>
      </c>
      <c r="H123" s="22" t="s">
        <v>3095</v>
      </c>
      <c r="I123" s="22" t="s">
        <v>3095</v>
      </c>
      <c r="J123" s="22" t="s">
        <v>3095</v>
      </c>
      <c r="K123" s="63" t="s">
        <v>3103</v>
      </c>
      <c r="L123" s="23">
        <v>19.9</v>
      </c>
      <c r="M123" s="22" t="s">
        <v>3097</v>
      </c>
      <c r="N123" s="22" t="s">
        <v>3099</v>
      </c>
      <c r="O123" s="22" t="s">
        <v>45</v>
      </c>
      <c r="P123" s="22" t="s">
        <v>45</v>
      </c>
      <c r="Q123" s="22" t="s">
        <v>45</v>
      </c>
      <c r="R123" s="22" t="s">
        <v>49</v>
      </c>
      <c r="S123" s="22" t="s">
        <v>45</v>
      </c>
      <c r="T123" s="22" t="s">
        <v>2002</v>
      </c>
      <c r="U123" s="22" t="s">
        <v>45</v>
      </c>
      <c r="V123" s="22" t="s">
        <v>45</v>
      </c>
      <c r="W123" s="22" t="s">
        <v>4911</v>
      </c>
      <c r="X123" s="22" t="s">
        <v>3095</v>
      </c>
      <c r="Y123" s="22" t="s">
        <v>3095</v>
      </c>
      <c r="Z123" s="22" t="s">
        <v>3095</v>
      </c>
      <c r="AA123" s="22" t="s">
        <v>3095</v>
      </c>
      <c r="AB123" s="22" t="s">
        <v>3095</v>
      </c>
      <c r="AC123" s="22" t="s">
        <v>3095</v>
      </c>
      <c r="AD123" s="22" t="s">
        <v>3095</v>
      </c>
      <c r="AE123" s="22" t="s">
        <v>3095</v>
      </c>
      <c r="AF123" s="22" t="s">
        <v>3095</v>
      </c>
    </row>
    <row r="124" ht="45.0" customHeight="1">
      <c r="A124" s="55" t="s">
        <v>576</v>
      </c>
      <c r="B124" s="62" t="s">
        <v>3832</v>
      </c>
      <c r="C124" s="22" t="str">
        <f>IMAGE("https://raw.githubusercontent.com/ltdimages/images/refs/heads/main/ClothTopsCoatLongPirate_00.png")</f>
        <v/>
      </c>
      <c r="D124" s="22" t="str">
        <f>IMAGE("https://raw.githubusercontent.com/ltdimages/images/refs/heads/main/ClothTopsCoatLongPirate_01.png")</f>
        <v/>
      </c>
      <c r="E124" s="22" t="str">
        <f>IMAGE("https://raw.githubusercontent.com/ltdimages/images/refs/heads/main/ClothTopsCoatLongPirate_02.png")</f>
        <v/>
      </c>
      <c r="F124" s="22" t="str">
        <f>IMAGE("https://raw.githubusercontent.com/ltdimages/images/refs/heads/main/ClothTopsCoatLongPirate_03.png")</f>
        <v/>
      </c>
      <c r="G124" s="22" t="s">
        <v>3095</v>
      </c>
      <c r="H124" s="22" t="s">
        <v>3095</v>
      </c>
      <c r="I124" s="22" t="s">
        <v>3095</v>
      </c>
      <c r="J124" s="22" t="s">
        <v>3095</v>
      </c>
      <c r="K124" s="63" t="s">
        <v>3103</v>
      </c>
      <c r="L124" s="23">
        <v>33.0</v>
      </c>
      <c r="M124" s="22" t="s">
        <v>3097</v>
      </c>
      <c r="N124" s="22" t="s">
        <v>3099</v>
      </c>
      <c r="O124" s="22" t="s">
        <v>45</v>
      </c>
      <c r="P124" s="22" t="s">
        <v>45</v>
      </c>
      <c r="Q124" s="22" t="s">
        <v>45</v>
      </c>
      <c r="R124" s="22" t="s">
        <v>49</v>
      </c>
      <c r="S124" s="22" t="s">
        <v>45</v>
      </c>
      <c r="T124" s="22" t="s">
        <v>2002</v>
      </c>
      <c r="U124" s="22" t="s">
        <v>45</v>
      </c>
      <c r="V124" s="22" t="s">
        <v>45</v>
      </c>
      <c r="W124" s="22" t="s">
        <v>4912</v>
      </c>
      <c r="X124" s="22" t="s">
        <v>3095</v>
      </c>
      <c r="Y124" s="22" t="s">
        <v>3095</v>
      </c>
      <c r="Z124" s="22" t="s">
        <v>3095</v>
      </c>
      <c r="AA124" s="22" t="s">
        <v>3095</v>
      </c>
      <c r="AB124" s="22" t="s">
        <v>3095</v>
      </c>
      <c r="AC124" s="22" t="s">
        <v>3095</v>
      </c>
      <c r="AD124" s="22" t="s">
        <v>3095</v>
      </c>
      <c r="AE124" s="22" t="s">
        <v>3095</v>
      </c>
      <c r="AF124" s="22" t="s">
        <v>3095</v>
      </c>
    </row>
    <row r="125" ht="45.0" customHeight="1">
      <c r="A125" s="55" t="s">
        <v>580</v>
      </c>
      <c r="B125" s="62" t="s">
        <v>4913</v>
      </c>
      <c r="C125" s="22" t="str">
        <f>IMAGE("https://raw.githubusercontent.com/ltdimages/images/refs/heads/main/ClothTopsCoatLongApronCheck_00.png")</f>
        <v/>
      </c>
      <c r="D125" s="22" t="str">
        <f>IMAGE("https://raw.githubusercontent.com/ltdimages/images/refs/heads/main/ClothTopsCoatLongApronCheck_01.png")</f>
        <v/>
      </c>
      <c r="E125" s="22" t="str">
        <f>IMAGE("https://raw.githubusercontent.com/ltdimages/images/refs/heads/main/ClothTopsCoatLongApronCheck_02.png")</f>
        <v/>
      </c>
      <c r="F125" s="22" t="str">
        <f>IMAGE("https://raw.githubusercontent.com/ltdimages/images/refs/heads/main/ClothTopsCoatLongApronCheck_03.png")</f>
        <v/>
      </c>
      <c r="G125" s="22" t="str">
        <f>IMAGE("https://raw.githubusercontent.com/ltdimages/images/refs/heads/main/ClothTopsCoatLongApronCheck_04.png")</f>
        <v/>
      </c>
      <c r="H125" s="22" t="str">
        <f>IMAGE("https://raw.githubusercontent.com/ltdimages/images/refs/heads/main/ClothTopsCoatLongApronCheck_05.png")</f>
        <v/>
      </c>
      <c r="I125" s="22" t="str">
        <f>IMAGE("https://raw.githubusercontent.com/ltdimages/images/refs/heads/main/ClothTopsCoatLongApronCheck_06.png")</f>
        <v/>
      </c>
      <c r="J125" s="22" t="str">
        <f>IMAGE("https://raw.githubusercontent.com/ltdimages/images/refs/heads/main/ClothTopsCoatLongApronCheck_07.png")</f>
        <v/>
      </c>
      <c r="K125" s="63" t="s">
        <v>3103</v>
      </c>
      <c r="L125" s="23">
        <v>11.5</v>
      </c>
      <c r="M125" s="22" t="s">
        <v>3097</v>
      </c>
      <c r="N125" s="22" t="s">
        <v>3099</v>
      </c>
      <c r="O125" s="22" t="s">
        <v>45</v>
      </c>
      <c r="P125" s="22" t="s">
        <v>45</v>
      </c>
      <c r="Q125" s="22" t="s">
        <v>45</v>
      </c>
      <c r="R125" s="22" t="s">
        <v>45</v>
      </c>
      <c r="S125" s="22" t="s">
        <v>45</v>
      </c>
      <c r="T125" s="22" t="s">
        <v>2002</v>
      </c>
      <c r="U125" s="22" t="s">
        <v>45</v>
      </c>
      <c r="V125" s="22" t="s">
        <v>45</v>
      </c>
      <c r="W125" s="22" t="s">
        <v>4914</v>
      </c>
      <c r="X125" s="22" t="s">
        <v>3095</v>
      </c>
      <c r="Y125" s="22" t="s">
        <v>3095</v>
      </c>
      <c r="Z125" s="22" t="s">
        <v>3095</v>
      </c>
      <c r="AA125" s="22" t="s">
        <v>3095</v>
      </c>
      <c r="AB125" s="22" t="s">
        <v>3095</v>
      </c>
      <c r="AC125" s="22" t="s">
        <v>3095</v>
      </c>
      <c r="AD125" s="22" t="s">
        <v>3095</v>
      </c>
      <c r="AE125" s="22" t="s">
        <v>3095</v>
      </c>
      <c r="AF125" s="22" t="s">
        <v>3095</v>
      </c>
    </row>
    <row r="126" ht="45.0" customHeight="1">
      <c r="A126" s="55" t="s">
        <v>584</v>
      </c>
      <c r="B126" s="62" t="s">
        <v>3837</v>
      </c>
      <c r="C126" s="22" t="str">
        <f>IMAGE("https://raw.githubusercontent.com/ltdimages/images/refs/heads/main/ClothTopsCoatLongCheck_00.png")</f>
        <v/>
      </c>
      <c r="D126" s="22" t="str">
        <f>IMAGE("https://raw.githubusercontent.com/ltdimages/images/refs/heads/main/ClothTopsCoatLongCheck_01.png")</f>
        <v/>
      </c>
      <c r="E126" s="22" t="str">
        <f>IMAGE("https://raw.githubusercontent.com/ltdimages/images/refs/heads/main/ClothTopsCoatLongCheck_02.png")</f>
        <v/>
      </c>
      <c r="F126" s="22" t="str">
        <f>IMAGE("https://raw.githubusercontent.com/ltdimages/images/refs/heads/main/ClothTopsCoatLongCheck_03.png")</f>
        <v/>
      </c>
      <c r="G126" s="22" t="str">
        <f>IMAGE("https://raw.githubusercontent.com/ltdimages/images/refs/heads/main/ClothTopsCoatLongCheck_04.png")</f>
        <v/>
      </c>
      <c r="H126" s="22" t="str">
        <f>IMAGE("https://raw.githubusercontent.com/ltdimages/images/refs/heads/main/ClothTopsCoatLongCheck_05.png")</f>
        <v/>
      </c>
      <c r="I126" s="22" t="str">
        <f>IMAGE("https://raw.githubusercontent.com/ltdimages/images/refs/heads/main/ClothTopsCoatLongCheck_06.png")</f>
        <v/>
      </c>
      <c r="J126" s="22" t="str">
        <f>IMAGE("https://raw.githubusercontent.com/ltdimages/images/refs/heads/main/ClothTopsCoatLongCheck_07.png")</f>
        <v/>
      </c>
      <c r="K126" s="63" t="s">
        <v>3103</v>
      </c>
      <c r="L126" s="23">
        <v>15.5</v>
      </c>
      <c r="M126" s="22" t="s">
        <v>3097</v>
      </c>
      <c r="N126" s="22" t="s">
        <v>3114</v>
      </c>
      <c r="O126" s="22" t="s">
        <v>45</v>
      </c>
      <c r="P126" s="22" t="s">
        <v>45</v>
      </c>
      <c r="Q126" s="22" t="s">
        <v>45</v>
      </c>
      <c r="R126" s="22" t="s">
        <v>45</v>
      </c>
      <c r="S126" s="22" t="s">
        <v>45</v>
      </c>
      <c r="T126" s="22" t="s">
        <v>2002</v>
      </c>
      <c r="U126" s="22" t="s">
        <v>45</v>
      </c>
      <c r="V126" s="22" t="s">
        <v>45</v>
      </c>
      <c r="W126" s="22" t="s">
        <v>4915</v>
      </c>
      <c r="X126" s="22" t="s">
        <v>3095</v>
      </c>
      <c r="Y126" s="22" t="s">
        <v>3095</v>
      </c>
      <c r="Z126" s="22" t="s">
        <v>3095</v>
      </c>
      <c r="AA126" s="22" t="s">
        <v>3095</v>
      </c>
      <c r="AB126" s="22" t="s">
        <v>3095</v>
      </c>
      <c r="AC126" s="22" t="s">
        <v>3095</v>
      </c>
      <c r="AD126" s="22" t="s">
        <v>3095</v>
      </c>
      <c r="AE126" s="22" t="s">
        <v>3095</v>
      </c>
      <c r="AF126" s="22" t="s">
        <v>3095</v>
      </c>
    </row>
    <row r="127" ht="45.0" customHeight="1">
      <c r="A127" s="55" t="s">
        <v>588</v>
      </c>
      <c r="B127" s="62" t="s">
        <v>3841</v>
      </c>
      <c r="C127" s="22" t="str">
        <f>IMAGE("https://raw.githubusercontent.com/ltdimages/images/refs/heads/main/ClothTopsYshirtLongRetroCheck_00.png")</f>
        <v/>
      </c>
      <c r="D127" s="22" t="str">
        <f>IMAGE("https://raw.githubusercontent.com/ltdimages/images/refs/heads/main/ClothTopsYshirtLongRetroCheck_01.png")</f>
        <v/>
      </c>
      <c r="E127" s="22" t="str">
        <f>IMAGE("https://raw.githubusercontent.com/ltdimages/images/refs/heads/main/ClothTopsYshirtLongRetroCheck_02.png")</f>
        <v/>
      </c>
      <c r="F127" s="22" t="str">
        <f>IMAGE("https://raw.githubusercontent.com/ltdimages/images/refs/heads/main/ClothTopsYshirtLongRetroCheck_03.png")</f>
        <v/>
      </c>
      <c r="G127" s="22" t="s">
        <v>3095</v>
      </c>
      <c r="H127" s="22" t="s">
        <v>3095</v>
      </c>
      <c r="I127" s="22" t="s">
        <v>3095</v>
      </c>
      <c r="J127" s="22" t="s">
        <v>3095</v>
      </c>
      <c r="K127" s="63" t="s">
        <v>3103</v>
      </c>
      <c r="L127" s="23">
        <v>12.0</v>
      </c>
      <c r="M127" s="22" t="s">
        <v>3097</v>
      </c>
      <c r="N127" s="22" t="s">
        <v>3099</v>
      </c>
      <c r="O127" s="22" t="s">
        <v>45</v>
      </c>
      <c r="P127" s="22" t="s">
        <v>45</v>
      </c>
      <c r="Q127" s="22" t="s">
        <v>45</v>
      </c>
      <c r="R127" s="22" t="s">
        <v>45</v>
      </c>
      <c r="S127" s="22" t="s">
        <v>45</v>
      </c>
      <c r="T127" s="22" t="s">
        <v>2002</v>
      </c>
      <c r="U127" s="22" t="s">
        <v>45</v>
      </c>
      <c r="V127" s="22" t="s">
        <v>45</v>
      </c>
      <c r="W127" s="22" t="s">
        <v>4916</v>
      </c>
      <c r="X127" s="22" t="s">
        <v>3095</v>
      </c>
      <c r="Y127" s="22" t="s">
        <v>3095</v>
      </c>
      <c r="Z127" s="22" t="s">
        <v>3095</v>
      </c>
      <c r="AA127" s="22" t="s">
        <v>3095</v>
      </c>
      <c r="AB127" s="22" t="s">
        <v>3095</v>
      </c>
      <c r="AC127" s="22" t="s">
        <v>3095</v>
      </c>
      <c r="AD127" s="22" t="s">
        <v>3095</v>
      </c>
      <c r="AE127" s="22" t="s">
        <v>3095</v>
      </c>
      <c r="AF127" s="22" t="s">
        <v>3095</v>
      </c>
    </row>
    <row r="128" ht="45.0" customHeight="1">
      <c r="A128" s="55" t="s">
        <v>593</v>
      </c>
      <c r="B128" s="62" t="s">
        <v>3845</v>
      </c>
      <c r="C128" s="22" t="str">
        <f>IMAGE("https://raw.githubusercontent.com/ltdimages/images/refs/heads/main/ClothTopsTshirtLongCheckJacket_00.png")</f>
        <v/>
      </c>
      <c r="D128" s="22" t="str">
        <f>IMAGE("https://raw.githubusercontent.com/ltdimages/images/refs/heads/main/ClothTopsTshirtLongCheckJacket_01.png")</f>
        <v/>
      </c>
      <c r="E128" s="22" t="str">
        <f>IMAGE("https://raw.githubusercontent.com/ltdimages/images/refs/heads/main/ClothTopsTshirtLongCheckJacket_02.png")</f>
        <v/>
      </c>
      <c r="F128" s="22" t="str">
        <f>IMAGE("https://raw.githubusercontent.com/ltdimages/images/refs/heads/main/ClothTopsTshirtLongCheckJacket_03.png")</f>
        <v/>
      </c>
      <c r="G128" s="22" t="str">
        <f>IMAGE("https://raw.githubusercontent.com/ltdimages/images/refs/heads/main/ClothTopsTshirtLongCheckJacket_04.png")</f>
        <v/>
      </c>
      <c r="H128" s="22" t="str">
        <f>IMAGE("https://raw.githubusercontent.com/ltdimages/images/refs/heads/main/ClothTopsTshirtLongCheckJacket_05.png")</f>
        <v/>
      </c>
      <c r="I128" s="22" t="str">
        <f>IMAGE("https://raw.githubusercontent.com/ltdimages/images/refs/heads/main/ClothTopsTshirtLongCheckJacket_06.png")</f>
        <v/>
      </c>
      <c r="J128" s="22" t="str">
        <f>IMAGE("https://raw.githubusercontent.com/ltdimages/images/refs/heads/main/ClothTopsTshirtLongCheckJacket_07.png")</f>
        <v/>
      </c>
      <c r="K128" s="63" t="s">
        <v>3103</v>
      </c>
      <c r="L128" s="23">
        <v>23.0</v>
      </c>
      <c r="M128" s="22" t="s">
        <v>3097</v>
      </c>
      <c r="N128" s="22" t="s">
        <v>3099</v>
      </c>
      <c r="O128" s="22" t="s">
        <v>45</v>
      </c>
      <c r="P128" s="22" t="s">
        <v>45</v>
      </c>
      <c r="Q128" s="22" t="s">
        <v>45</v>
      </c>
      <c r="R128" s="22" t="s">
        <v>45</v>
      </c>
      <c r="S128" s="22" t="s">
        <v>45</v>
      </c>
      <c r="T128" s="22" t="s">
        <v>2002</v>
      </c>
      <c r="U128" s="22" t="s">
        <v>45</v>
      </c>
      <c r="V128" s="22" t="s">
        <v>45</v>
      </c>
      <c r="W128" s="22" t="s">
        <v>4917</v>
      </c>
      <c r="X128" s="22" t="s">
        <v>3095</v>
      </c>
      <c r="Y128" s="22" t="s">
        <v>3095</v>
      </c>
      <c r="Z128" s="22" t="s">
        <v>3095</v>
      </c>
      <c r="AA128" s="22" t="s">
        <v>3095</v>
      </c>
      <c r="AB128" s="22" t="s">
        <v>3095</v>
      </c>
      <c r="AC128" s="22" t="s">
        <v>3095</v>
      </c>
      <c r="AD128" s="22" t="s">
        <v>3095</v>
      </c>
      <c r="AE128" s="22" t="s">
        <v>3095</v>
      </c>
      <c r="AF128" s="22" t="s">
        <v>3095</v>
      </c>
    </row>
    <row r="129" ht="45.0" customHeight="1">
      <c r="A129" s="55" t="s">
        <v>597</v>
      </c>
      <c r="B129" s="62" t="s">
        <v>4056</v>
      </c>
      <c r="C129" s="22" t="str">
        <f>IMAGE("https://raw.githubusercontent.com/ltdimages/images/refs/heads/main/ClothTopsTshirtHalfPocket_00.png")</f>
        <v/>
      </c>
      <c r="D129" s="22" t="str">
        <f>IMAGE("https://raw.githubusercontent.com/ltdimages/images/refs/heads/main/ClothTopsTshirtHalfPocket_01.png")</f>
        <v/>
      </c>
      <c r="E129" s="22" t="str">
        <f>IMAGE("https://raw.githubusercontent.com/ltdimages/images/refs/heads/main/ClothTopsTshirtHalfPocket_02.png")</f>
        <v/>
      </c>
      <c r="F129" s="22" t="str">
        <f>IMAGE("https://raw.githubusercontent.com/ltdimages/images/refs/heads/main/ClothTopsTshirtHalfPocket_03.png")</f>
        <v/>
      </c>
      <c r="G129" s="22" t="str">
        <f>IMAGE("https://raw.githubusercontent.com/ltdimages/images/refs/heads/main/ClothTopsTshirtHalfPocket_04.png")</f>
        <v/>
      </c>
      <c r="H129" s="22" t="str">
        <f>IMAGE("https://raw.githubusercontent.com/ltdimages/images/refs/heads/main/ClothTopsTshirtHalfPocket_05.png")</f>
        <v/>
      </c>
      <c r="I129" s="22" t="str">
        <f>IMAGE("https://raw.githubusercontent.com/ltdimages/images/refs/heads/main/ClothTopsTshirtHalfPocket_06.png")</f>
        <v/>
      </c>
      <c r="J129" s="22" t="str">
        <f>IMAGE("https://raw.githubusercontent.com/ltdimages/images/refs/heads/main/ClothTopsTshirtHalfPocket_07.png")</f>
        <v/>
      </c>
      <c r="K129" s="63" t="s">
        <v>3103</v>
      </c>
      <c r="L129" s="23">
        <v>11.5</v>
      </c>
      <c r="M129" s="22" t="s">
        <v>3097</v>
      </c>
      <c r="N129" s="22" t="s">
        <v>3099</v>
      </c>
      <c r="O129" s="22" t="s">
        <v>45</v>
      </c>
      <c r="P129" s="22" t="s">
        <v>45</v>
      </c>
      <c r="Q129" s="22" t="s">
        <v>45</v>
      </c>
      <c r="R129" s="22" t="s">
        <v>45</v>
      </c>
      <c r="S129" s="22" t="s">
        <v>45</v>
      </c>
      <c r="T129" s="22" t="s">
        <v>2002</v>
      </c>
      <c r="U129" s="22" t="s">
        <v>45</v>
      </c>
      <c r="V129" s="22" t="s">
        <v>45</v>
      </c>
      <c r="W129" s="22" t="s">
        <v>4918</v>
      </c>
      <c r="X129" s="22" t="s">
        <v>3095</v>
      </c>
      <c r="Y129" s="22" t="s">
        <v>3095</v>
      </c>
      <c r="Z129" s="22" t="s">
        <v>3095</v>
      </c>
      <c r="AA129" s="22" t="s">
        <v>3095</v>
      </c>
      <c r="AB129" s="22" t="s">
        <v>3095</v>
      </c>
      <c r="AC129" s="22" t="s">
        <v>3095</v>
      </c>
      <c r="AD129" s="22" t="s">
        <v>3095</v>
      </c>
      <c r="AE129" s="22" t="s">
        <v>3095</v>
      </c>
      <c r="AF129" s="22" t="s">
        <v>3095</v>
      </c>
    </row>
    <row r="130" ht="45.0" customHeight="1">
      <c r="A130" s="55" t="s">
        <v>601</v>
      </c>
      <c r="B130" s="62" t="s">
        <v>3850</v>
      </c>
      <c r="C130" s="22" t="str">
        <f>IMAGE("https://raw.githubusercontent.com/ltdimages/images/refs/heads/main/ClothTopsYshirtHalfPolice_00.png")</f>
        <v/>
      </c>
      <c r="D130" s="22" t="str">
        <f>IMAGE("https://raw.githubusercontent.com/ltdimages/images/refs/heads/main/ClothTopsYshirtHalfPolice_01.png")</f>
        <v/>
      </c>
      <c r="E130" s="22" t="str">
        <f>IMAGE("https://raw.githubusercontent.com/ltdimages/images/refs/heads/main/ClothTopsYshirtHalfPolice_02.png")</f>
        <v/>
      </c>
      <c r="F130" s="22" t="s">
        <v>3095</v>
      </c>
      <c r="G130" s="22" t="s">
        <v>3095</v>
      </c>
      <c r="H130" s="22" t="s">
        <v>3095</v>
      </c>
      <c r="I130" s="22" t="s">
        <v>3095</v>
      </c>
      <c r="J130" s="22" t="s">
        <v>3095</v>
      </c>
      <c r="K130" s="63" t="s">
        <v>3103</v>
      </c>
      <c r="L130" s="23">
        <v>14.0</v>
      </c>
      <c r="M130" s="22" t="s">
        <v>3097</v>
      </c>
      <c r="N130" s="22" t="s">
        <v>3099</v>
      </c>
      <c r="O130" s="22" t="s">
        <v>45</v>
      </c>
      <c r="P130" s="22" t="s">
        <v>45</v>
      </c>
      <c r="Q130" s="22" t="s">
        <v>45</v>
      </c>
      <c r="R130" s="22" t="s">
        <v>49</v>
      </c>
      <c r="S130" s="22" t="s">
        <v>45</v>
      </c>
      <c r="T130" s="22" t="s">
        <v>2002</v>
      </c>
      <c r="U130" s="22" t="s">
        <v>45</v>
      </c>
      <c r="V130" s="22" t="s">
        <v>45</v>
      </c>
      <c r="W130" s="22" t="s">
        <v>4919</v>
      </c>
      <c r="X130" s="22" t="s">
        <v>3095</v>
      </c>
      <c r="Y130" s="22" t="s">
        <v>3095</v>
      </c>
      <c r="Z130" s="22" t="s">
        <v>3095</v>
      </c>
      <c r="AA130" s="22" t="s">
        <v>3095</v>
      </c>
      <c r="AB130" s="22" t="s">
        <v>3095</v>
      </c>
      <c r="AC130" s="22" t="s">
        <v>3095</v>
      </c>
      <c r="AD130" s="22" t="s">
        <v>3095</v>
      </c>
      <c r="AE130" s="22" t="s">
        <v>3095</v>
      </c>
      <c r="AF130" s="22" t="s">
        <v>3095</v>
      </c>
    </row>
    <row r="131" ht="45.0" customHeight="1">
      <c r="A131" s="55" t="s">
        <v>605</v>
      </c>
      <c r="B131" s="62" t="s">
        <v>4693</v>
      </c>
      <c r="C131" s="22" t="str">
        <f>IMAGE("https://raw.githubusercontent.com/ltdimages/images/refs/heads/main/ClothTopsYshirtHalfPolo_00.png")</f>
        <v/>
      </c>
      <c r="D131" s="22" t="str">
        <f>IMAGE("https://raw.githubusercontent.com/ltdimages/images/refs/heads/main/ClothTopsYshirtHalfPolo_01.png")</f>
        <v/>
      </c>
      <c r="E131" s="22" t="str">
        <f>IMAGE("https://raw.githubusercontent.com/ltdimages/images/refs/heads/main/ClothTopsYshirtHalfPolo_02.png")</f>
        <v/>
      </c>
      <c r="F131" s="22" t="str">
        <f>IMAGE("https://raw.githubusercontent.com/ltdimages/images/refs/heads/main/ClothTopsYshirtHalfPolo_03.png")</f>
        <v/>
      </c>
      <c r="G131" s="22" t="str">
        <f>IMAGE("https://raw.githubusercontent.com/ltdimages/images/refs/heads/main/ClothTopsYshirtHalfPolo_04.png")</f>
        <v/>
      </c>
      <c r="H131" s="22" t="str">
        <f>IMAGE("https://raw.githubusercontent.com/ltdimages/images/refs/heads/main/ClothTopsYshirtHalfPolo_05.png")</f>
        <v/>
      </c>
      <c r="I131" s="22" t="str">
        <f>IMAGE("https://raw.githubusercontent.com/ltdimages/images/refs/heads/main/ClothTopsYshirtHalfPolo_06.png")</f>
        <v/>
      </c>
      <c r="J131" s="22" t="str">
        <f>IMAGE("https://raw.githubusercontent.com/ltdimages/images/refs/heads/main/ClothTopsYshirtHalfPolo_07.png")</f>
        <v/>
      </c>
      <c r="K131" s="63" t="s">
        <v>3103</v>
      </c>
      <c r="L131" s="23">
        <v>11.0</v>
      </c>
      <c r="M131" s="22" t="s">
        <v>3097</v>
      </c>
      <c r="N131" s="22" t="s">
        <v>3099</v>
      </c>
      <c r="O131" s="22" t="s">
        <v>45</v>
      </c>
      <c r="P131" s="22" t="s">
        <v>45</v>
      </c>
      <c r="Q131" s="22" t="s">
        <v>45</v>
      </c>
      <c r="R131" s="22" t="s">
        <v>45</v>
      </c>
      <c r="S131" s="22" t="s">
        <v>45</v>
      </c>
      <c r="T131" s="22" t="s">
        <v>2002</v>
      </c>
      <c r="U131" s="22" t="s">
        <v>45</v>
      </c>
      <c r="V131" s="22" t="s">
        <v>45</v>
      </c>
      <c r="W131" s="22" t="s">
        <v>4920</v>
      </c>
      <c r="X131" s="22" t="s">
        <v>3095</v>
      </c>
      <c r="Y131" s="22" t="s">
        <v>3095</v>
      </c>
      <c r="Z131" s="22" t="s">
        <v>3095</v>
      </c>
      <c r="AA131" s="22" t="s">
        <v>3095</v>
      </c>
      <c r="AB131" s="22" t="s">
        <v>3095</v>
      </c>
      <c r="AC131" s="22" t="s">
        <v>3095</v>
      </c>
      <c r="AD131" s="22" t="s">
        <v>3095</v>
      </c>
      <c r="AE131" s="22" t="s">
        <v>3095</v>
      </c>
      <c r="AF131" s="22" t="s">
        <v>3095</v>
      </c>
    </row>
    <row r="132" ht="45.0" customHeight="1">
      <c r="A132" s="55" t="s">
        <v>609</v>
      </c>
      <c r="B132" s="62" t="s">
        <v>3855</v>
      </c>
      <c r="C132" s="22" t="str">
        <f>IMAGE("https://raw.githubusercontent.com/ltdimages/images/refs/heads/main/ClothTopsMantleLongPrince_00.png")</f>
        <v/>
      </c>
      <c r="D132" s="22" t="str">
        <f>IMAGE("https://raw.githubusercontent.com/ltdimages/images/refs/heads/main/ClothTopsMantleLongPrince_01.png")</f>
        <v/>
      </c>
      <c r="E132" s="22" t="str">
        <f>IMAGE("https://raw.githubusercontent.com/ltdimages/images/refs/heads/main/ClothTopsMantleLongPrince_02.png")</f>
        <v/>
      </c>
      <c r="F132" s="22" t="str">
        <f>IMAGE("https://raw.githubusercontent.com/ltdimages/images/refs/heads/main/ClothTopsMantleLongPrince_03.png")</f>
        <v/>
      </c>
      <c r="G132" s="22" t="str">
        <f>IMAGE("https://raw.githubusercontent.com/ltdimages/images/refs/heads/main/ClothTopsMantleLongPrince_04.png")</f>
        <v/>
      </c>
      <c r="H132" s="22" t="str">
        <f>IMAGE("https://raw.githubusercontent.com/ltdimages/images/refs/heads/main/ClothTopsMantleLongPrince_05.png")</f>
        <v/>
      </c>
      <c r="I132" s="22" t="s">
        <v>3095</v>
      </c>
      <c r="J132" s="22" t="s">
        <v>3095</v>
      </c>
      <c r="K132" s="63" t="s">
        <v>3103</v>
      </c>
      <c r="L132" s="23">
        <v>45.0</v>
      </c>
      <c r="M132" s="22" t="s">
        <v>3097</v>
      </c>
      <c r="N132" s="22" t="s">
        <v>3099</v>
      </c>
      <c r="O132" s="22" t="s">
        <v>45</v>
      </c>
      <c r="P132" s="22" t="s">
        <v>45</v>
      </c>
      <c r="Q132" s="22" t="s">
        <v>45</v>
      </c>
      <c r="R132" s="22" t="s">
        <v>49</v>
      </c>
      <c r="S132" s="22" t="s">
        <v>45</v>
      </c>
      <c r="T132" s="22" t="s">
        <v>2002</v>
      </c>
      <c r="U132" s="22" t="s">
        <v>45</v>
      </c>
      <c r="V132" s="22" t="s">
        <v>45</v>
      </c>
      <c r="W132" s="22" t="s">
        <v>4921</v>
      </c>
      <c r="X132" s="22" t="s">
        <v>3095</v>
      </c>
      <c r="Y132" s="22" t="s">
        <v>3095</v>
      </c>
      <c r="Z132" s="22" t="s">
        <v>3095</v>
      </c>
      <c r="AA132" s="22" t="s">
        <v>3095</v>
      </c>
      <c r="AB132" s="22" t="s">
        <v>3095</v>
      </c>
      <c r="AC132" s="22" t="s">
        <v>3095</v>
      </c>
      <c r="AD132" s="22" t="s">
        <v>3095</v>
      </c>
      <c r="AE132" s="22" t="s">
        <v>3095</v>
      </c>
      <c r="AF132" s="22" t="s">
        <v>3095</v>
      </c>
    </row>
    <row r="133" ht="45.0" customHeight="1">
      <c r="A133" s="55" t="s">
        <v>613</v>
      </c>
      <c r="B133" s="62" t="s">
        <v>4922</v>
      </c>
      <c r="C133" s="22" t="str">
        <f>IMAGE("https://raw.githubusercontent.com/ltdimages/images/refs/heads/main/ClothTopsYshirtLongDownVest_00.png")</f>
        <v/>
      </c>
      <c r="D133" s="22" t="str">
        <f>IMAGE("https://raw.githubusercontent.com/ltdimages/images/refs/heads/main/ClothTopsYshirtLongDownVest_01.png")</f>
        <v/>
      </c>
      <c r="E133" s="22" t="str">
        <f>IMAGE("https://raw.githubusercontent.com/ltdimages/images/refs/heads/main/ClothTopsYshirtLongDownVest_02.png")</f>
        <v/>
      </c>
      <c r="F133" s="22" t="str">
        <f>IMAGE("https://raw.githubusercontent.com/ltdimages/images/refs/heads/main/ClothTopsYshirtLongDownVest_03.png")</f>
        <v/>
      </c>
      <c r="G133" s="22" t="str">
        <f>IMAGE("https://raw.githubusercontent.com/ltdimages/images/refs/heads/main/ClothTopsYshirtLongDownVest_04.png")</f>
        <v/>
      </c>
      <c r="H133" s="22" t="str">
        <f>IMAGE("https://raw.githubusercontent.com/ltdimages/images/refs/heads/main/ClothTopsYshirtLongDownVest_05.png")</f>
        <v/>
      </c>
      <c r="I133" s="22" t="str">
        <f>IMAGE("https://raw.githubusercontent.com/ltdimages/images/refs/heads/main/ClothTopsYshirtLongDownVest_06.png")</f>
        <v/>
      </c>
      <c r="J133" s="22" t="str">
        <f>IMAGE("https://raw.githubusercontent.com/ltdimages/images/refs/heads/main/ClothTopsYshirtLongDownVest_07.png")</f>
        <v/>
      </c>
      <c r="K133" s="63" t="s">
        <v>3103</v>
      </c>
      <c r="L133" s="23">
        <v>18.7</v>
      </c>
      <c r="M133" s="22" t="s">
        <v>3097</v>
      </c>
      <c r="N133" s="22" t="s">
        <v>3114</v>
      </c>
      <c r="O133" s="22" t="s">
        <v>45</v>
      </c>
      <c r="P133" s="22" t="s">
        <v>45</v>
      </c>
      <c r="Q133" s="22" t="s">
        <v>45</v>
      </c>
      <c r="R133" s="22" t="s">
        <v>45</v>
      </c>
      <c r="S133" s="22" t="s">
        <v>45</v>
      </c>
      <c r="T133" s="22" t="s">
        <v>2002</v>
      </c>
      <c r="U133" s="22" t="s">
        <v>45</v>
      </c>
      <c r="V133" s="22" t="s">
        <v>45</v>
      </c>
      <c r="W133" s="22" t="s">
        <v>4923</v>
      </c>
      <c r="X133" s="22" t="s">
        <v>3095</v>
      </c>
      <c r="Y133" s="22" t="s">
        <v>3095</v>
      </c>
      <c r="Z133" s="22" t="s">
        <v>3095</v>
      </c>
      <c r="AA133" s="22" t="s">
        <v>3095</v>
      </c>
      <c r="AB133" s="22" t="s">
        <v>3095</v>
      </c>
      <c r="AC133" s="22" t="s">
        <v>3095</v>
      </c>
      <c r="AD133" s="22" t="s">
        <v>3095</v>
      </c>
      <c r="AE133" s="22" t="s">
        <v>3095</v>
      </c>
      <c r="AF133" s="22" t="s">
        <v>3095</v>
      </c>
    </row>
    <row r="134" ht="45.0" customHeight="1">
      <c r="A134" s="55" t="s">
        <v>617</v>
      </c>
      <c r="B134" s="62" t="s">
        <v>3865</v>
      </c>
      <c r="C134" s="22" t="str">
        <f>IMAGE("https://raw.githubusercontent.com/ltdimages/images/refs/heads/main/ClothTopsYshirtLongQuilting_00.png")</f>
        <v/>
      </c>
      <c r="D134" s="22" t="str">
        <f>IMAGE("https://raw.githubusercontent.com/ltdimages/images/refs/heads/main/ClothTopsYshirtLongQuilting_01.png")</f>
        <v/>
      </c>
      <c r="E134" s="22" t="str">
        <f>IMAGE("https://raw.githubusercontent.com/ltdimages/images/refs/heads/main/ClothTopsYshirtLongQuilting_02.png")</f>
        <v/>
      </c>
      <c r="F134" s="22" t="str">
        <f>IMAGE("https://raw.githubusercontent.com/ltdimages/images/refs/heads/main/ClothTopsYshirtLongQuilting_03.png")</f>
        <v/>
      </c>
      <c r="G134" s="22" t="str">
        <f>IMAGE("https://raw.githubusercontent.com/ltdimages/images/refs/heads/main/ClothTopsYshirtLongQuilting_04.png")</f>
        <v/>
      </c>
      <c r="H134" s="22" t="str">
        <f>IMAGE("https://raw.githubusercontent.com/ltdimages/images/refs/heads/main/ClothTopsYshirtLongQuilting_05.png")</f>
        <v/>
      </c>
      <c r="I134" s="22" t="s">
        <v>3095</v>
      </c>
      <c r="J134" s="22" t="s">
        <v>3095</v>
      </c>
      <c r="K134" s="63" t="s">
        <v>3103</v>
      </c>
      <c r="L134" s="23">
        <v>12.5</v>
      </c>
      <c r="M134" s="22" t="s">
        <v>3097</v>
      </c>
      <c r="N134" s="22" t="s">
        <v>3114</v>
      </c>
      <c r="O134" s="22" t="s">
        <v>45</v>
      </c>
      <c r="P134" s="22" t="s">
        <v>45</v>
      </c>
      <c r="Q134" s="22" t="s">
        <v>45</v>
      </c>
      <c r="R134" s="22" t="s">
        <v>45</v>
      </c>
      <c r="S134" s="22" t="s">
        <v>45</v>
      </c>
      <c r="T134" s="22" t="s">
        <v>2002</v>
      </c>
      <c r="U134" s="22" t="s">
        <v>45</v>
      </c>
      <c r="V134" s="22" t="s">
        <v>45</v>
      </c>
      <c r="W134" s="22" t="s">
        <v>4924</v>
      </c>
      <c r="X134" s="22" t="s">
        <v>3095</v>
      </c>
      <c r="Y134" s="22" t="s">
        <v>3095</v>
      </c>
      <c r="Z134" s="22" t="s">
        <v>3095</v>
      </c>
      <c r="AA134" s="22" t="s">
        <v>3095</v>
      </c>
      <c r="AB134" s="22" t="s">
        <v>3095</v>
      </c>
      <c r="AC134" s="22" t="s">
        <v>3095</v>
      </c>
      <c r="AD134" s="22" t="s">
        <v>3095</v>
      </c>
      <c r="AE134" s="22" t="s">
        <v>3095</v>
      </c>
      <c r="AF134" s="22" t="s">
        <v>3095</v>
      </c>
    </row>
    <row r="135" ht="45.0" customHeight="1">
      <c r="A135" s="55" t="s">
        <v>622</v>
      </c>
      <c r="B135" s="62" t="s">
        <v>3878</v>
      </c>
      <c r="C135" s="22" t="str">
        <f>IMAGE("https://raw.githubusercontent.com/ltdimages/images/refs/heads/main/ClothTopsTshirtLongRagged_00.png")</f>
        <v/>
      </c>
      <c r="D135" s="22" t="str">
        <f>IMAGE("https://raw.githubusercontent.com/ltdimages/images/refs/heads/main/ClothTopsTshirtLongRagged_01.png")</f>
        <v/>
      </c>
      <c r="E135" s="22" t="str">
        <f>IMAGE("https://raw.githubusercontent.com/ltdimages/images/refs/heads/main/ClothTopsTshirtLongRagged_02.png")</f>
        <v/>
      </c>
      <c r="F135" s="22" t="s">
        <v>3095</v>
      </c>
      <c r="G135" s="22" t="s">
        <v>3095</v>
      </c>
      <c r="H135" s="22" t="s">
        <v>3095</v>
      </c>
      <c r="I135" s="22" t="s">
        <v>3095</v>
      </c>
      <c r="J135" s="22" t="s">
        <v>3095</v>
      </c>
      <c r="K135" s="63" t="s">
        <v>3103</v>
      </c>
      <c r="L135" s="23">
        <v>5.5</v>
      </c>
      <c r="M135" s="22" t="s">
        <v>3097</v>
      </c>
      <c r="N135" s="22" t="s">
        <v>3099</v>
      </c>
      <c r="O135" s="22" t="s">
        <v>45</v>
      </c>
      <c r="P135" s="22" t="s">
        <v>49</v>
      </c>
      <c r="Q135" s="22" t="s">
        <v>45</v>
      </c>
      <c r="R135" s="22" t="s">
        <v>45</v>
      </c>
      <c r="S135" s="22" t="s">
        <v>45</v>
      </c>
      <c r="T135" s="22" t="s">
        <v>2002</v>
      </c>
      <c r="U135" s="22" t="s">
        <v>45</v>
      </c>
      <c r="V135" s="22" t="s">
        <v>45</v>
      </c>
      <c r="W135" s="22" t="s">
        <v>4925</v>
      </c>
      <c r="X135" s="22" t="s">
        <v>3095</v>
      </c>
      <c r="Y135" s="22" t="s">
        <v>3095</v>
      </c>
      <c r="Z135" s="22" t="s">
        <v>3095</v>
      </c>
      <c r="AA135" s="22" t="s">
        <v>3095</v>
      </c>
      <c r="AB135" s="22" t="s">
        <v>3095</v>
      </c>
      <c r="AC135" s="22" t="s">
        <v>3095</v>
      </c>
      <c r="AD135" s="22" t="s">
        <v>3095</v>
      </c>
      <c r="AE135" s="22" t="s">
        <v>3095</v>
      </c>
      <c r="AF135" s="22" t="s">
        <v>3095</v>
      </c>
    </row>
    <row r="136" ht="45.0" customHeight="1">
      <c r="A136" s="55" t="s">
        <v>626</v>
      </c>
      <c r="B136" s="62" t="s">
        <v>4394</v>
      </c>
      <c r="C136" s="22" t="str">
        <f>IMAGE("https://raw.githubusercontent.com/ltdimages/images/refs/heads/main/ClothTopsTshirtLongRaglan_00.png")</f>
        <v/>
      </c>
      <c r="D136" s="22" t="str">
        <f>IMAGE("https://raw.githubusercontent.com/ltdimages/images/refs/heads/main/ClothTopsTshirtLongRaglan_01.png")</f>
        <v/>
      </c>
      <c r="E136" s="22" t="str">
        <f>IMAGE("https://raw.githubusercontent.com/ltdimages/images/refs/heads/main/ClothTopsTshirtLongRaglan_02.png")</f>
        <v/>
      </c>
      <c r="F136" s="22" t="str">
        <f>IMAGE("https://raw.githubusercontent.com/ltdimages/images/refs/heads/main/ClothTopsTshirtLongRaglan_03.png")</f>
        <v/>
      </c>
      <c r="G136" s="22" t="str">
        <f>IMAGE("https://raw.githubusercontent.com/ltdimages/images/refs/heads/main/ClothTopsTshirtLongRaglan_04.png")</f>
        <v/>
      </c>
      <c r="H136" s="22" t="str">
        <f>IMAGE("https://raw.githubusercontent.com/ltdimages/images/refs/heads/main/ClothTopsTshirtLongRaglan_05.png")</f>
        <v/>
      </c>
      <c r="I136" s="22" t="str">
        <f>IMAGE("https://raw.githubusercontent.com/ltdimages/images/refs/heads/main/ClothTopsTshirtLongRaglan_06.png")</f>
        <v/>
      </c>
      <c r="J136" s="22" t="str">
        <f>IMAGE("https://raw.githubusercontent.com/ltdimages/images/refs/heads/main/ClothTopsTshirtLongRaglan_07.png")</f>
        <v/>
      </c>
      <c r="K136" s="63" t="s">
        <v>3103</v>
      </c>
      <c r="L136" s="23">
        <v>12.0</v>
      </c>
      <c r="M136" s="22" t="s">
        <v>3097</v>
      </c>
      <c r="N136" s="22" t="s">
        <v>3099</v>
      </c>
      <c r="O136" s="22" t="s">
        <v>45</v>
      </c>
      <c r="P136" s="22" t="s">
        <v>45</v>
      </c>
      <c r="Q136" s="22" t="s">
        <v>45</v>
      </c>
      <c r="R136" s="22" t="s">
        <v>45</v>
      </c>
      <c r="S136" s="22" t="s">
        <v>45</v>
      </c>
      <c r="T136" s="22" t="s">
        <v>2002</v>
      </c>
      <c r="U136" s="22" t="s">
        <v>45</v>
      </c>
      <c r="V136" s="22" t="s">
        <v>45</v>
      </c>
      <c r="W136" s="22" t="s">
        <v>4926</v>
      </c>
      <c r="X136" s="22" t="s">
        <v>3095</v>
      </c>
      <c r="Y136" s="22" t="s">
        <v>3095</v>
      </c>
      <c r="Z136" s="22" t="s">
        <v>3095</v>
      </c>
      <c r="AA136" s="22" t="s">
        <v>3095</v>
      </c>
      <c r="AB136" s="22" t="s">
        <v>3095</v>
      </c>
      <c r="AC136" s="22" t="s">
        <v>3095</v>
      </c>
      <c r="AD136" s="22" t="s">
        <v>3095</v>
      </c>
      <c r="AE136" s="22" t="s">
        <v>3095</v>
      </c>
      <c r="AF136" s="22" t="s">
        <v>3095</v>
      </c>
    </row>
    <row r="137" ht="45.0" customHeight="1">
      <c r="A137" s="55" t="s">
        <v>630</v>
      </c>
      <c r="B137" s="62" t="s">
        <v>3883</v>
      </c>
      <c r="C137" s="22" t="str">
        <f>IMAGE("https://raw.githubusercontent.com/ltdimages/images/refs/heads/main/ClothTopsOuterLongRaglanParka_00.png")</f>
        <v/>
      </c>
      <c r="D137" s="22" t="str">
        <f>IMAGE("https://raw.githubusercontent.com/ltdimages/images/refs/heads/main/ClothTopsOuterLongRaglanParka_01.png")</f>
        <v/>
      </c>
      <c r="E137" s="22" t="str">
        <f>IMAGE("https://raw.githubusercontent.com/ltdimages/images/refs/heads/main/ClothTopsOuterLongRaglanParka_02.png")</f>
        <v/>
      </c>
      <c r="F137" s="22" t="str">
        <f>IMAGE("https://raw.githubusercontent.com/ltdimages/images/refs/heads/main/ClothTopsOuterLongRaglanParka_03.png")</f>
        <v/>
      </c>
      <c r="G137" s="22" t="str">
        <f>IMAGE("https://raw.githubusercontent.com/ltdimages/images/refs/heads/main/ClothTopsOuterLongRaglanParka_04.png")</f>
        <v/>
      </c>
      <c r="H137" s="22" t="str">
        <f>IMAGE("https://raw.githubusercontent.com/ltdimages/images/refs/heads/main/ClothTopsOuterLongRaglanParka_05.png")</f>
        <v/>
      </c>
      <c r="I137" s="22" t="str">
        <f>IMAGE("https://raw.githubusercontent.com/ltdimages/images/refs/heads/main/ClothTopsOuterLongRaglanParka_06.png")</f>
        <v/>
      </c>
      <c r="J137" s="22" t="str">
        <f>IMAGE("https://raw.githubusercontent.com/ltdimages/images/refs/heads/main/ClothTopsOuterLongRaglanParka_07.png")</f>
        <v/>
      </c>
      <c r="K137" s="63" t="s">
        <v>3103</v>
      </c>
      <c r="L137" s="23">
        <v>11.0</v>
      </c>
      <c r="M137" s="22" t="s">
        <v>3097</v>
      </c>
      <c r="N137" s="22" t="s">
        <v>3099</v>
      </c>
      <c r="O137" s="22" t="s">
        <v>45</v>
      </c>
      <c r="P137" s="22" t="s">
        <v>45</v>
      </c>
      <c r="Q137" s="22" t="s">
        <v>45</v>
      </c>
      <c r="R137" s="22" t="s">
        <v>45</v>
      </c>
      <c r="S137" s="22" t="s">
        <v>45</v>
      </c>
      <c r="T137" s="22" t="s">
        <v>2002</v>
      </c>
      <c r="U137" s="22" t="s">
        <v>45</v>
      </c>
      <c r="V137" s="22" t="s">
        <v>45</v>
      </c>
      <c r="W137" s="22" t="s">
        <v>4927</v>
      </c>
      <c r="X137" s="22" t="s">
        <v>3095</v>
      </c>
      <c r="Y137" s="22" t="s">
        <v>3095</v>
      </c>
      <c r="Z137" s="22" t="s">
        <v>3095</v>
      </c>
      <c r="AA137" s="22" t="s">
        <v>3095</v>
      </c>
      <c r="AB137" s="22" t="s">
        <v>3095</v>
      </c>
      <c r="AC137" s="22" t="s">
        <v>3095</v>
      </c>
      <c r="AD137" s="22" t="s">
        <v>3095</v>
      </c>
      <c r="AE137" s="22" t="s">
        <v>3095</v>
      </c>
      <c r="AF137" s="22" t="s">
        <v>3095</v>
      </c>
    </row>
    <row r="138" ht="45.0" customHeight="1">
      <c r="A138" s="55" t="s">
        <v>634</v>
      </c>
      <c r="B138" s="62" t="s">
        <v>3886</v>
      </c>
      <c r="C138" s="22" t="str">
        <f>IMAGE("https://raw.githubusercontent.com/ltdimages/images/refs/heads/main/ClothTopsCoatLongRain_00.png")</f>
        <v/>
      </c>
      <c r="D138" s="22" t="str">
        <f>IMAGE("https://raw.githubusercontent.com/ltdimages/images/refs/heads/main/ClothTopsCoatLongRain_01.png")</f>
        <v/>
      </c>
      <c r="E138" s="22" t="str">
        <f>IMAGE("https://raw.githubusercontent.com/ltdimages/images/refs/heads/main/ClothTopsCoatLongRain_02.png")</f>
        <v/>
      </c>
      <c r="F138" s="22" t="str">
        <f>IMAGE("https://raw.githubusercontent.com/ltdimages/images/refs/heads/main/ClothTopsCoatLongRain_03.png")</f>
        <v/>
      </c>
      <c r="G138" s="22" t="s">
        <v>3095</v>
      </c>
      <c r="H138" s="22" t="s">
        <v>3095</v>
      </c>
      <c r="I138" s="22" t="s">
        <v>3095</v>
      </c>
      <c r="J138" s="22" t="s">
        <v>3095</v>
      </c>
      <c r="K138" s="63" t="s">
        <v>3103</v>
      </c>
      <c r="L138" s="23">
        <v>11.5</v>
      </c>
      <c r="M138" s="22" t="s">
        <v>3097</v>
      </c>
      <c r="N138" s="22" t="s">
        <v>3099</v>
      </c>
      <c r="O138" s="22" t="s">
        <v>45</v>
      </c>
      <c r="P138" s="22" t="s">
        <v>45</v>
      </c>
      <c r="Q138" s="22" t="s">
        <v>45</v>
      </c>
      <c r="R138" s="22" t="s">
        <v>45</v>
      </c>
      <c r="S138" s="22" t="s">
        <v>45</v>
      </c>
      <c r="T138" s="22" t="s">
        <v>2002</v>
      </c>
      <c r="U138" s="22" t="s">
        <v>45</v>
      </c>
      <c r="V138" s="22" t="s">
        <v>45</v>
      </c>
      <c r="W138" s="22" t="s">
        <v>4928</v>
      </c>
      <c r="X138" s="22" t="s">
        <v>3095</v>
      </c>
      <c r="Y138" s="22" t="s">
        <v>3095</v>
      </c>
      <c r="Z138" s="22" t="s">
        <v>3095</v>
      </c>
      <c r="AA138" s="22" t="s">
        <v>3095</v>
      </c>
      <c r="AB138" s="22" t="s">
        <v>3095</v>
      </c>
      <c r="AC138" s="22" t="s">
        <v>3095</v>
      </c>
      <c r="AD138" s="22" t="s">
        <v>3095</v>
      </c>
      <c r="AE138" s="22" t="s">
        <v>3095</v>
      </c>
      <c r="AF138" s="22" t="s">
        <v>3095</v>
      </c>
    </row>
    <row r="139" ht="45.0" customHeight="1">
      <c r="A139" s="55" t="s">
        <v>638</v>
      </c>
      <c r="B139" s="62" t="s">
        <v>4194</v>
      </c>
      <c r="C139" s="22" t="str">
        <f>IMAGE("https://raw.githubusercontent.com/ltdimages/images/refs/heads/main/ClothTopsCoatHalfRestaurant_00.png")</f>
        <v/>
      </c>
      <c r="D139" s="22" t="str">
        <f>IMAGE("https://raw.githubusercontent.com/ltdimages/images/refs/heads/main/ClothTopsCoatHalfRestaurant_01.png")</f>
        <v/>
      </c>
      <c r="E139" s="22" t="str">
        <f>IMAGE("https://raw.githubusercontent.com/ltdimages/images/refs/heads/main/ClothTopsCoatHalfRestaurant_02.png")</f>
        <v/>
      </c>
      <c r="F139" s="22" t="str">
        <f>IMAGE("https://raw.githubusercontent.com/ltdimages/images/refs/heads/main/ClothTopsCoatHalfRestaurant_03.png")</f>
        <v/>
      </c>
      <c r="G139" s="22" t="str">
        <f>IMAGE("https://raw.githubusercontent.com/ltdimages/images/refs/heads/main/ClothTopsCoatHalfRestaurant_04.png")</f>
        <v/>
      </c>
      <c r="H139" s="22" t="str">
        <f>IMAGE("https://raw.githubusercontent.com/ltdimages/images/refs/heads/main/ClothTopsCoatHalfRestaurant_05.png")</f>
        <v/>
      </c>
      <c r="I139" s="22" t="str">
        <f>IMAGE("https://raw.githubusercontent.com/ltdimages/images/refs/heads/main/ClothTopsCoatHalfRestaurant_06.png")</f>
        <v/>
      </c>
      <c r="J139" s="22" t="str">
        <f>IMAGE("https://raw.githubusercontent.com/ltdimages/images/refs/heads/main/ClothTopsCoatHalfRestaurant_07.png")</f>
        <v/>
      </c>
      <c r="K139" s="63" t="s">
        <v>3103</v>
      </c>
      <c r="L139" s="23">
        <v>12.5</v>
      </c>
      <c r="M139" s="22" t="s">
        <v>3097</v>
      </c>
      <c r="N139" s="22" t="s">
        <v>3099</v>
      </c>
      <c r="O139" s="22" t="s">
        <v>45</v>
      </c>
      <c r="P139" s="22" t="s">
        <v>45</v>
      </c>
      <c r="Q139" s="22" t="s">
        <v>45</v>
      </c>
      <c r="R139" s="22" t="s">
        <v>49</v>
      </c>
      <c r="S139" s="22" t="s">
        <v>45</v>
      </c>
      <c r="T139" s="22" t="s">
        <v>2002</v>
      </c>
      <c r="U139" s="22" t="s">
        <v>45</v>
      </c>
      <c r="V139" s="22" t="s">
        <v>45</v>
      </c>
      <c r="W139" s="22" t="s">
        <v>4929</v>
      </c>
      <c r="X139" s="22" t="s">
        <v>3095</v>
      </c>
      <c r="Y139" s="22" t="s">
        <v>3095</v>
      </c>
      <c r="Z139" s="22" t="s">
        <v>3095</v>
      </c>
      <c r="AA139" s="22" t="s">
        <v>3095</v>
      </c>
      <c r="AB139" s="22" t="s">
        <v>3095</v>
      </c>
      <c r="AC139" s="22" t="s">
        <v>3095</v>
      </c>
      <c r="AD139" s="22" t="s">
        <v>3095</v>
      </c>
      <c r="AE139" s="22" t="s">
        <v>3095</v>
      </c>
      <c r="AF139" s="22" t="s">
        <v>3095</v>
      </c>
    </row>
    <row r="140" ht="45.0" customHeight="1">
      <c r="A140" s="55" t="s">
        <v>643</v>
      </c>
      <c r="B140" s="62" t="s">
        <v>3947</v>
      </c>
      <c r="C140" s="22" t="str">
        <f>IMAGE("https://raw.githubusercontent.com/ltdimages/images/refs/heads/main/ClothTopsTshirtLongRetro_00.png")</f>
        <v/>
      </c>
      <c r="D140" s="22" t="str">
        <f>IMAGE("https://raw.githubusercontent.com/ltdimages/images/refs/heads/main/ClothTopsTshirtLongRetro_01.png")</f>
        <v/>
      </c>
      <c r="E140" s="22" t="str">
        <f>IMAGE("https://raw.githubusercontent.com/ltdimages/images/refs/heads/main/ClothTopsTshirtLongRetro_02.png")</f>
        <v/>
      </c>
      <c r="F140" s="22" t="str">
        <f>IMAGE("https://raw.githubusercontent.com/ltdimages/images/refs/heads/main/ClothTopsTshirtLongRetro_03.png")</f>
        <v/>
      </c>
      <c r="G140" s="22" t="str">
        <f>IMAGE("https://raw.githubusercontent.com/ltdimages/images/refs/heads/main/ClothTopsTshirtLongRetro_04.png")</f>
        <v/>
      </c>
      <c r="H140" s="22" t="str">
        <f>IMAGE("https://raw.githubusercontent.com/ltdimages/images/refs/heads/main/ClothTopsTshirtLongRetro_05.png")</f>
        <v/>
      </c>
      <c r="I140" s="22" t="str">
        <f>IMAGE("https://raw.githubusercontent.com/ltdimages/images/refs/heads/main/ClothTopsTshirtLongRetro_06.png")</f>
        <v/>
      </c>
      <c r="J140" s="22" t="str">
        <f>IMAGE("https://raw.githubusercontent.com/ltdimages/images/refs/heads/main/ClothTopsTshirtLongRetro_07.png")</f>
        <v/>
      </c>
      <c r="K140" s="63" t="s">
        <v>3103</v>
      </c>
      <c r="L140" s="23">
        <v>15.4</v>
      </c>
      <c r="M140" s="22" t="s">
        <v>3097</v>
      </c>
      <c r="N140" s="22" t="s">
        <v>3099</v>
      </c>
      <c r="O140" s="22" t="s">
        <v>45</v>
      </c>
      <c r="P140" s="22" t="s">
        <v>45</v>
      </c>
      <c r="Q140" s="22" t="s">
        <v>45</v>
      </c>
      <c r="R140" s="22" t="s">
        <v>45</v>
      </c>
      <c r="S140" s="22" t="s">
        <v>45</v>
      </c>
      <c r="T140" s="22" t="s">
        <v>2002</v>
      </c>
      <c r="U140" s="22" t="s">
        <v>45</v>
      </c>
      <c r="V140" s="22" t="s">
        <v>45</v>
      </c>
      <c r="W140" s="22" t="s">
        <v>4930</v>
      </c>
      <c r="X140" s="22" t="s">
        <v>3095</v>
      </c>
      <c r="Y140" s="22" t="s">
        <v>3095</v>
      </c>
      <c r="Z140" s="22" t="s">
        <v>3095</v>
      </c>
      <c r="AA140" s="22" t="s">
        <v>3095</v>
      </c>
      <c r="AB140" s="22" t="s">
        <v>3095</v>
      </c>
      <c r="AC140" s="22" t="s">
        <v>3095</v>
      </c>
      <c r="AD140" s="22" t="s">
        <v>3095</v>
      </c>
      <c r="AE140" s="22" t="s">
        <v>3095</v>
      </c>
      <c r="AF140" s="22" t="s">
        <v>3095</v>
      </c>
    </row>
    <row r="141" ht="45.0" customHeight="1">
      <c r="A141" s="55" t="s">
        <v>647</v>
      </c>
      <c r="B141" s="62" t="s">
        <v>4491</v>
      </c>
      <c r="C141" s="22" t="str">
        <f>IMAGE("https://raw.githubusercontent.com/ltdimages/images/refs/heads/main/ClothTopsTshirtHalfRinger_00.png")</f>
        <v/>
      </c>
      <c r="D141" s="22" t="str">
        <f>IMAGE("https://raw.githubusercontent.com/ltdimages/images/refs/heads/main/ClothTopsTshirtHalfRinger_01.png")</f>
        <v/>
      </c>
      <c r="E141" s="22" t="str">
        <f>IMAGE("https://raw.githubusercontent.com/ltdimages/images/refs/heads/main/ClothTopsTshirtHalfRinger_02.png")</f>
        <v/>
      </c>
      <c r="F141" s="22" t="str">
        <f>IMAGE("https://raw.githubusercontent.com/ltdimages/images/refs/heads/main/ClothTopsTshirtHalfRinger_03.png")</f>
        <v/>
      </c>
      <c r="G141" s="22" t="str">
        <f>IMAGE("https://raw.githubusercontent.com/ltdimages/images/refs/heads/main/ClothTopsTshirtHalfRinger_04.png")</f>
        <v/>
      </c>
      <c r="H141" s="22" t="str">
        <f>IMAGE("https://raw.githubusercontent.com/ltdimages/images/refs/heads/main/ClothTopsTshirtHalfRinger_05.png")</f>
        <v/>
      </c>
      <c r="I141" s="22" t="s">
        <v>3095</v>
      </c>
      <c r="J141" s="22" t="s">
        <v>3095</v>
      </c>
      <c r="K141" s="63" t="s">
        <v>3103</v>
      </c>
      <c r="L141" s="23">
        <v>10.0</v>
      </c>
      <c r="M141" s="22" t="s">
        <v>3097</v>
      </c>
      <c r="N141" s="22" t="s">
        <v>3099</v>
      </c>
      <c r="O141" s="22" t="s">
        <v>45</v>
      </c>
      <c r="P141" s="22" t="s">
        <v>45</v>
      </c>
      <c r="Q141" s="22" t="s">
        <v>45</v>
      </c>
      <c r="R141" s="22" t="s">
        <v>45</v>
      </c>
      <c r="S141" s="22" t="s">
        <v>45</v>
      </c>
      <c r="T141" s="22" t="s">
        <v>2002</v>
      </c>
      <c r="U141" s="22" t="s">
        <v>45</v>
      </c>
      <c r="V141" s="22" t="s">
        <v>45</v>
      </c>
      <c r="W141" s="22" t="s">
        <v>4931</v>
      </c>
      <c r="X141" s="22" t="s">
        <v>3095</v>
      </c>
      <c r="Y141" s="22" t="s">
        <v>3095</v>
      </c>
      <c r="Z141" s="22" t="s">
        <v>3095</v>
      </c>
      <c r="AA141" s="22" t="s">
        <v>3095</v>
      </c>
      <c r="AB141" s="22" t="s">
        <v>3095</v>
      </c>
      <c r="AC141" s="22" t="s">
        <v>3095</v>
      </c>
      <c r="AD141" s="22" t="s">
        <v>3095</v>
      </c>
      <c r="AE141" s="22" t="s">
        <v>3095</v>
      </c>
      <c r="AF141" s="22" t="s">
        <v>3095</v>
      </c>
    </row>
    <row r="142" ht="45.0" customHeight="1">
      <c r="A142" s="55" t="s">
        <v>652</v>
      </c>
      <c r="B142" s="62" t="s">
        <v>4932</v>
      </c>
      <c r="C142" s="22" t="str">
        <f>IMAGE("https://raw.githubusercontent.com/ltdimages/images/refs/heads/main/ClothTopsTshirtHalfRockBand_00.png")</f>
        <v/>
      </c>
      <c r="D142" s="22" t="str">
        <f>IMAGE("https://raw.githubusercontent.com/ltdimages/images/refs/heads/main/ClothTopsTshirtHalfRockBand_01.png")</f>
        <v/>
      </c>
      <c r="E142" s="22" t="str">
        <f>IMAGE("https://raw.githubusercontent.com/ltdimages/images/refs/heads/main/ClothTopsTshirtHalfRockBand_02.png")</f>
        <v/>
      </c>
      <c r="F142" s="22" t="str">
        <f>IMAGE("https://raw.githubusercontent.com/ltdimages/images/refs/heads/main/ClothTopsTshirtHalfRockBand_03.png")</f>
        <v/>
      </c>
      <c r="G142" s="22" t="str">
        <f>IMAGE("https://raw.githubusercontent.com/ltdimages/images/refs/heads/main/ClothTopsTshirtHalfRockBand_04.png")</f>
        <v/>
      </c>
      <c r="H142" s="22" t="str">
        <f>IMAGE("https://raw.githubusercontent.com/ltdimages/images/refs/heads/main/ClothTopsTshirtHalfRockBand_05.png")</f>
        <v/>
      </c>
      <c r="I142" s="22" t="s">
        <v>3095</v>
      </c>
      <c r="J142" s="22" t="s">
        <v>3095</v>
      </c>
      <c r="K142" s="63" t="s">
        <v>3103</v>
      </c>
      <c r="L142" s="23">
        <v>13.4</v>
      </c>
      <c r="M142" s="22" t="s">
        <v>3097</v>
      </c>
      <c r="N142" s="22" t="s">
        <v>3099</v>
      </c>
      <c r="O142" s="22" t="s">
        <v>45</v>
      </c>
      <c r="P142" s="22" t="s">
        <v>45</v>
      </c>
      <c r="Q142" s="22" t="s">
        <v>45</v>
      </c>
      <c r="R142" s="22" t="s">
        <v>45</v>
      </c>
      <c r="S142" s="22" t="s">
        <v>45</v>
      </c>
      <c r="T142" s="22" t="s">
        <v>2002</v>
      </c>
      <c r="U142" s="22" t="s">
        <v>45</v>
      </c>
      <c r="V142" s="22" t="s">
        <v>45</v>
      </c>
      <c r="W142" s="22" t="s">
        <v>4933</v>
      </c>
      <c r="X142" s="22" t="s">
        <v>3095</v>
      </c>
      <c r="Y142" s="22" t="s">
        <v>3095</v>
      </c>
      <c r="Z142" s="22" t="s">
        <v>3095</v>
      </c>
      <c r="AA142" s="22" t="s">
        <v>3095</v>
      </c>
      <c r="AB142" s="22" t="s">
        <v>3095</v>
      </c>
      <c r="AC142" s="22" t="s">
        <v>3095</v>
      </c>
      <c r="AD142" s="22" t="s">
        <v>3095</v>
      </c>
      <c r="AE142" s="22" t="s">
        <v>3095</v>
      </c>
      <c r="AF142" s="22" t="s">
        <v>3095</v>
      </c>
    </row>
    <row r="143" ht="45.0" customHeight="1">
      <c r="A143" s="55" t="s">
        <v>656</v>
      </c>
      <c r="B143" s="62" t="s">
        <v>3905</v>
      </c>
      <c r="C143" s="22" t="str">
        <f>IMAGE("https://raw.githubusercontent.com/ltdimages/images/refs/heads/main/ClothTopsYshirtLongCowboy_00.png")</f>
        <v/>
      </c>
      <c r="D143" s="22" t="str">
        <f>IMAGE("https://raw.githubusercontent.com/ltdimages/images/refs/heads/main/ClothTopsYshirtLongCowboy_01.png")</f>
        <v/>
      </c>
      <c r="E143" s="22" t="str">
        <f>IMAGE("https://raw.githubusercontent.com/ltdimages/images/refs/heads/main/ClothTopsYshirtLongCowboy_02.png")</f>
        <v/>
      </c>
      <c r="F143" s="22" t="s">
        <v>3095</v>
      </c>
      <c r="G143" s="22" t="s">
        <v>3095</v>
      </c>
      <c r="H143" s="22" t="s">
        <v>3095</v>
      </c>
      <c r="I143" s="22" t="s">
        <v>3095</v>
      </c>
      <c r="J143" s="22" t="s">
        <v>3095</v>
      </c>
      <c r="K143" s="63" t="s">
        <v>3103</v>
      </c>
      <c r="L143" s="23">
        <v>23.0</v>
      </c>
      <c r="M143" s="22" t="s">
        <v>3097</v>
      </c>
      <c r="N143" s="22" t="s">
        <v>3099</v>
      </c>
      <c r="O143" s="22" t="s">
        <v>45</v>
      </c>
      <c r="P143" s="22" t="s">
        <v>45</v>
      </c>
      <c r="Q143" s="22" t="s">
        <v>45</v>
      </c>
      <c r="R143" s="22" t="s">
        <v>49</v>
      </c>
      <c r="S143" s="22" t="s">
        <v>45</v>
      </c>
      <c r="T143" s="22" t="s">
        <v>2002</v>
      </c>
      <c r="U143" s="22" t="s">
        <v>45</v>
      </c>
      <c r="V143" s="22" t="s">
        <v>45</v>
      </c>
      <c r="W143" s="22" t="s">
        <v>4934</v>
      </c>
      <c r="X143" s="22" t="s">
        <v>3095</v>
      </c>
      <c r="Y143" s="22" t="s">
        <v>3095</v>
      </c>
      <c r="Z143" s="22" t="s">
        <v>3095</v>
      </c>
      <c r="AA143" s="22" t="s">
        <v>3095</v>
      </c>
      <c r="AB143" s="22" t="s">
        <v>3095</v>
      </c>
      <c r="AC143" s="22" t="s">
        <v>3095</v>
      </c>
      <c r="AD143" s="22" t="s">
        <v>3095</v>
      </c>
      <c r="AE143" s="22" t="s">
        <v>3095</v>
      </c>
      <c r="AF143" s="22" t="s">
        <v>3095</v>
      </c>
    </row>
    <row r="144" ht="45.0" customHeight="1">
      <c r="A144" s="55" t="s">
        <v>662</v>
      </c>
      <c r="B144" s="62" t="s">
        <v>4935</v>
      </c>
      <c r="C144" s="22" t="str">
        <f>IMAGE("https://raw.githubusercontent.com/ltdimages/images/refs/heads/main/ClothTopsYshirtLongUniquePattern_00.png")</f>
        <v/>
      </c>
      <c r="D144" s="22" t="str">
        <f>IMAGE("https://raw.githubusercontent.com/ltdimages/images/refs/heads/main/ClothTopsYshirtLongUniquePattern_01.png")</f>
        <v/>
      </c>
      <c r="E144" s="22" t="str">
        <f>IMAGE("https://raw.githubusercontent.com/ltdimages/images/refs/heads/main/ClothTopsYshirtLongUniquePattern_02.png")</f>
        <v/>
      </c>
      <c r="F144" s="22" t="str">
        <f>IMAGE("https://raw.githubusercontent.com/ltdimages/images/refs/heads/main/ClothTopsYshirtLongUniquePattern_03.png")</f>
        <v/>
      </c>
      <c r="G144" s="22" t="str">
        <f>IMAGE("https://raw.githubusercontent.com/ltdimages/images/refs/heads/main/ClothTopsYshirtLongUniquePattern_04.png")</f>
        <v/>
      </c>
      <c r="H144" s="22" t="str">
        <f>IMAGE("https://raw.githubusercontent.com/ltdimages/images/refs/heads/main/ClothTopsYshirtLongUniquePattern_05.png")</f>
        <v/>
      </c>
      <c r="I144" s="22" t="str">
        <f>IMAGE("https://raw.githubusercontent.com/ltdimages/images/refs/heads/main/ClothTopsYshirtLongUniquePattern_06.png")</f>
        <v/>
      </c>
      <c r="J144" s="22" t="str">
        <f>IMAGE("https://raw.githubusercontent.com/ltdimages/images/refs/heads/main/ClothTopsYshirtLongUniquePattern_07.png")</f>
        <v/>
      </c>
      <c r="K144" s="63" t="s">
        <v>3103</v>
      </c>
      <c r="L144" s="23">
        <v>13.0</v>
      </c>
      <c r="M144" s="22" t="s">
        <v>3097</v>
      </c>
      <c r="N144" s="22" t="s">
        <v>3099</v>
      </c>
      <c r="O144" s="22" t="s">
        <v>45</v>
      </c>
      <c r="P144" s="22" t="s">
        <v>45</v>
      </c>
      <c r="Q144" s="22" t="s">
        <v>45</v>
      </c>
      <c r="R144" s="22" t="s">
        <v>45</v>
      </c>
      <c r="S144" s="22" t="s">
        <v>45</v>
      </c>
      <c r="T144" s="22" t="s">
        <v>2002</v>
      </c>
      <c r="U144" s="22" t="s">
        <v>45</v>
      </c>
      <c r="V144" s="22" t="s">
        <v>45</v>
      </c>
      <c r="W144" s="22" t="s">
        <v>4936</v>
      </c>
      <c r="X144" s="22" t="s">
        <v>3095</v>
      </c>
      <c r="Y144" s="22" t="s">
        <v>3095</v>
      </c>
      <c r="Z144" s="22" t="s">
        <v>3095</v>
      </c>
      <c r="AA144" s="22" t="s">
        <v>3095</v>
      </c>
      <c r="AB144" s="22" t="s">
        <v>3095</v>
      </c>
      <c r="AC144" s="22" t="s">
        <v>3095</v>
      </c>
      <c r="AD144" s="22" t="s">
        <v>3095</v>
      </c>
      <c r="AE144" s="22" t="s">
        <v>3095</v>
      </c>
      <c r="AF144" s="22" t="s">
        <v>3095</v>
      </c>
    </row>
    <row r="145" ht="45.0" customHeight="1">
      <c r="A145" s="55" t="s">
        <v>667</v>
      </c>
      <c r="B145" s="62" t="s">
        <v>4937</v>
      </c>
      <c r="C145" s="22" t="str">
        <f>IMAGE("https://raw.githubusercontent.com/ltdimages/images/refs/heads/main/ClothTopsYshirtHalfRugby_00.png")</f>
        <v/>
      </c>
      <c r="D145" s="22" t="str">
        <f>IMAGE("https://raw.githubusercontent.com/ltdimages/images/refs/heads/main/ClothTopsYshirtHalfRugby_01.png")</f>
        <v/>
      </c>
      <c r="E145" s="22" t="str">
        <f>IMAGE("https://raw.githubusercontent.com/ltdimages/images/refs/heads/main/ClothTopsYshirtHalfRugby_02.png")</f>
        <v/>
      </c>
      <c r="F145" s="22" t="str">
        <f>IMAGE("https://raw.githubusercontent.com/ltdimages/images/refs/heads/main/ClothTopsYshirtHalfRugby_03.png")</f>
        <v/>
      </c>
      <c r="G145" s="22" t="str">
        <f>IMAGE("https://raw.githubusercontent.com/ltdimages/images/refs/heads/main/ClothTopsYshirtHalfRugby_04.png")</f>
        <v/>
      </c>
      <c r="H145" s="22" t="str">
        <f>IMAGE("https://raw.githubusercontent.com/ltdimages/images/refs/heads/main/ClothTopsYshirtHalfRugby_05.png")</f>
        <v/>
      </c>
      <c r="I145" s="22" t="str">
        <f>IMAGE("https://raw.githubusercontent.com/ltdimages/images/refs/heads/main/ClothTopsYshirtHalfRugby_06.png")</f>
        <v/>
      </c>
      <c r="J145" s="22" t="str">
        <f>IMAGE("https://raw.githubusercontent.com/ltdimages/images/refs/heads/main/ClothTopsYshirtHalfRugby_07.png")</f>
        <v/>
      </c>
      <c r="K145" s="63" t="s">
        <v>3103</v>
      </c>
      <c r="L145" s="23">
        <v>12.0</v>
      </c>
      <c r="M145" s="22" t="s">
        <v>3097</v>
      </c>
      <c r="N145" s="22" t="s">
        <v>3099</v>
      </c>
      <c r="O145" s="22" t="s">
        <v>45</v>
      </c>
      <c r="P145" s="22" t="s">
        <v>45</v>
      </c>
      <c r="Q145" s="22" t="s">
        <v>45</v>
      </c>
      <c r="R145" s="22" t="s">
        <v>45</v>
      </c>
      <c r="S145" s="22" t="s">
        <v>45</v>
      </c>
      <c r="T145" s="22" t="s">
        <v>2002</v>
      </c>
      <c r="U145" s="22" t="s">
        <v>45</v>
      </c>
      <c r="V145" s="22" t="s">
        <v>45</v>
      </c>
      <c r="W145" s="22" t="s">
        <v>4938</v>
      </c>
      <c r="X145" s="22" t="s">
        <v>3095</v>
      </c>
      <c r="Y145" s="22" t="s">
        <v>3095</v>
      </c>
      <c r="Z145" s="22" t="s">
        <v>3095</v>
      </c>
      <c r="AA145" s="22" t="s">
        <v>3095</v>
      </c>
      <c r="AB145" s="22" t="s">
        <v>3095</v>
      </c>
      <c r="AC145" s="22" t="s">
        <v>3095</v>
      </c>
      <c r="AD145" s="22" t="s">
        <v>3095</v>
      </c>
      <c r="AE145" s="22" t="s">
        <v>3095</v>
      </c>
      <c r="AF145" s="22" t="s">
        <v>3095</v>
      </c>
    </row>
    <row r="146" ht="45.0" customHeight="1">
      <c r="A146" s="55" t="s">
        <v>671</v>
      </c>
      <c r="B146" s="62" t="s">
        <v>4067</v>
      </c>
      <c r="C146" s="22" t="str">
        <f>IMAGE("https://raw.githubusercontent.com/ltdimages/images/refs/heads/main/ClothTopsYshirtLongRugger_00.png")</f>
        <v/>
      </c>
      <c r="D146" s="22" t="str">
        <f>IMAGE("https://raw.githubusercontent.com/ltdimages/images/refs/heads/main/ClothTopsYshirtLongRugger_01.png")</f>
        <v/>
      </c>
      <c r="E146" s="22" t="str">
        <f>IMAGE("https://raw.githubusercontent.com/ltdimages/images/refs/heads/main/ClothTopsYshirtLongRugger_02.png")</f>
        <v/>
      </c>
      <c r="F146" s="22" t="str">
        <f>IMAGE("https://raw.githubusercontent.com/ltdimages/images/refs/heads/main/ClothTopsYshirtLongRugger_03.png")</f>
        <v/>
      </c>
      <c r="G146" s="22" t="str">
        <f>IMAGE("https://raw.githubusercontent.com/ltdimages/images/refs/heads/main/ClothTopsYshirtLongRugger_04.png")</f>
        <v/>
      </c>
      <c r="H146" s="22" t="str">
        <f>IMAGE("https://raw.githubusercontent.com/ltdimages/images/refs/heads/main/ClothTopsYshirtLongRugger_05.png")</f>
        <v/>
      </c>
      <c r="I146" s="22" t="s">
        <v>3095</v>
      </c>
      <c r="J146" s="22" t="s">
        <v>3095</v>
      </c>
      <c r="K146" s="63" t="s">
        <v>3103</v>
      </c>
      <c r="L146" s="23">
        <v>14.0</v>
      </c>
      <c r="M146" s="22" t="s">
        <v>3097</v>
      </c>
      <c r="N146" s="22" t="s">
        <v>3099</v>
      </c>
      <c r="O146" s="22" t="s">
        <v>45</v>
      </c>
      <c r="P146" s="22" t="s">
        <v>45</v>
      </c>
      <c r="Q146" s="22" t="s">
        <v>45</v>
      </c>
      <c r="R146" s="22" t="s">
        <v>45</v>
      </c>
      <c r="S146" s="22" t="s">
        <v>45</v>
      </c>
      <c r="T146" s="22" t="s">
        <v>2002</v>
      </c>
      <c r="U146" s="22" t="s">
        <v>45</v>
      </c>
      <c r="V146" s="22" t="s">
        <v>45</v>
      </c>
      <c r="W146" s="22" t="s">
        <v>4939</v>
      </c>
      <c r="X146" s="22" t="s">
        <v>3095</v>
      </c>
      <c r="Y146" s="22" t="s">
        <v>3095</v>
      </c>
      <c r="Z146" s="22" t="s">
        <v>3095</v>
      </c>
      <c r="AA146" s="22" t="s">
        <v>3095</v>
      </c>
      <c r="AB146" s="22" t="s">
        <v>3095</v>
      </c>
      <c r="AC146" s="22" t="s">
        <v>3095</v>
      </c>
      <c r="AD146" s="22" t="s">
        <v>3095</v>
      </c>
      <c r="AE146" s="22" t="s">
        <v>3095</v>
      </c>
      <c r="AF146" s="22" t="s">
        <v>3095</v>
      </c>
    </row>
    <row r="147" ht="45.0" customHeight="1">
      <c r="A147" s="55" t="s">
        <v>675</v>
      </c>
      <c r="B147" s="62" t="s">
        <v>3723</v>
      </c>
      <c r="C147" s="22" t="str">
        <f>IMAGE("https://raw.githubusercontent.com/ltdimages/images/refs/heads/main/ClothTopsTshirtSleevelessRunning_00.png")</f>
        <v/>
      </c>
      <c r="D147" s="22" t="str">
        <f>IMAGE("https://raw.githubusercontent.com/ltdimages/images/refs/heads/main/ClothTopsTshirtSleevelessRunning_01.png")</f>
        <v/>
      </c>
      <c r="E147" s="22" t="str">
        <f>IMAGE("https://raw.githubusercontent.com/ltdimages/images/refs/heads/main/ClothTopsTshirtSleevelessRunning_02.png")</f>
        <v/>
      </c>
      <c r="F147" s="22" t="str">
        <f>IMAGE("https://raw.githubusercontent.com/ltdimages/images/refs/heads/main/ClothTopsTshirtSleevelessRunning_03.png")</f>
        <v/>
      </c>
      <c r="G147" s="22" t="str">
        <f>IMAGE("https://raw.githubusercontent.com/ltdimages/images/refs/heads/main/ClothTopsTshirtSleevelessRunning_04.png")</f>
        <v/>
      </c>
      <c r="H147" s="22" t="str">
        <f>IMAGE("https://raw.githubusercontent.com/ltdimages/images/refs/heads/main/ClothTopsTshirtSleevelessRunning_05.png")</f>
        <v/>
      </c>
      <c r="I147" s="22" t="str">
        <f>IMAGE("https://raw.githubusercontent.com/ltdimages/images/refs/heads/main/ClothTopsTshirtSleevelessRunning_06.png")</f>
        <v/>
      </c>
      <c r="J147" s="22" t="str">
        <f>IMAGE("https://raw.githubusercontent.com/ltdimages/images/refs/heads/main/ClothTopsTshirtSleevelessRunning_07.png")</f>
        <v/>
      </c>
      <c r="K147" s="63" t="s">
        <v>3103</v>
      </c>
      <c r="L147" s="23">
        <v>11.5</v>
      </c>
      <c r="M147" s="22" t="s">
        <v>3097</v>
      </c>
      <c r="N147" s="22" t="s">
        <v>3099</v>
      </c>
      <c r="O147" s="22" t="s">
        <v>45</v>
      </c>
      <c r="P147" s="22" t="s">
        <v>45</v>
      </c>
      <c r="Q147" s="22" t="s">
        <v>45</v>
      </c>
      <c r="R147" s="22" t="s">
        <v>45</v>
      </c>
      <c r="S147" s="22" t="s">
        <v>45</v>
      </c>
      <c r="T147" s="22" t="s">
        <v>2002</v>
      </c>
      <c r="U147" s="22" t="s">
        <v>45</v>
      </c>
      <c r="V147" s="22" t="s">
        <v>45</v>
      </c>
      <c r="W147" s="22" t="s">
        <v>4940</v>
      </c>
      <c r="X147" s="22" t="s">
        <v>3095</v>
      </c>
      <c r="Y147" s="22" t="s">
        <v>3095</v>
      </c>
      <c r="Z147" s="22" t="s">
        <v>3095</v>
      </c>
      <c r="AA147" s="22" t="s">
        <v>3095</v>
      </c>
      <c r="AB147" s="22" t="s">
        <v>3095</v>
      </c>
      <c r="AC147" s="22" t="s">
        <v>3095</v>
      </c>
      <c r="AD147" s="22" t="s">
        <v>3095</v>
      </c>
      <c r="AE147" s="22" t="s">
        <v>3095</v>
      </c>
      <c r="AF147" s="22" t="s">
        <v>3095</v>
      </c>
    </row>
    <row r="148" ht="45.0" customHeight="1">
      <c r="A148" s="55" t="s">
        <v>679</v>
      </c>
      <c r="B148" s="62" t="s">
        <v>4142</v>
      </c>
      <c r="C148" s="22" t="str">
        <f>IMAGE("https://raw.githubusercontent.com/ltdimages/images/refs/heads/main/ClothTopsYshirtLongSafetyVest_00.png")</f>
        <v/>
      </c>
      <c r="D148" s="22" t="str">
        <f>IMAGE("https://raw.githubusercontent.com/ltdimages/images/refs/heads/main/ClothTopsYshirtLongSafetyVest_01.png")</f>
        <v/>
      </c>
      <c r="E148" s="22" t="str">
        <f>IMAGE("https://raw.githubusercontent.com/ltdimages/images/refs/heads/main/ClothTopsYshirtLongSafetyVest_02.png")</f>
        <v/>
      </c>
      <c r="F148" s="22" t="str">
        <f>IMAGE("https://raw.githubusercontent.com/ltdimages/images/refs/heads/main/ClothTopsYshirtLongSafetyVest_03.png")</f>
        <v/>
      </c>
      <c r="G148" s="22" t="str">
        <f>IMAGE("https://raw.githubusercontent.com/ltdimages/images/refs/heads/main/ClothTopsYshirtLongSafetyVest_04.png")</f>
        <v/>
      </c>
      <c r="H148" s="22" t="str">
        <f>IMAGE("https://raw.githubusercontent.com/ltdimages/images/refs/heads/main/ClothTopsYshirtLongSafetyVest_05.png")</f>
        <v/>
      </c>
      <c r="I148" s="22" t="s">
        <v>3095</v>
      </c>
      <c r="J148" s="22" t="s">
        <v>3095</v>
      </c>
      <c r="K148" s="63" t="s">
        <v>3103</v>
      </c>
      <c r="L148" s="23">
        <v>14.0</v>
      </c>
      <c r="M148" s="22" t="s">
        <v>3097</v>
      </c>
      <c r="N148" s="22" t="s">
        <v>3099</v>
      </c>
      <c r="O148" s="22" t="s">
        <v>45</v>
      </c>
      <c r="P148" s="22" t="s">
        <v>45</v>
      </c>
      <c r="Q148" s="22" t="s">
        <v>45</v>
      </c>
      <c r="R148" s="22" t="s">
        <v>45</v>
      </c>
      <c r="S148" s="22" t="s">
        <v>45</v>
      </c>
      <c r="T148" s="22" t="s">
        <v>2002</v>
      </c>
      <c r="U148" s="22" t="s">
        <v>45</v>
      </c>
      <c r="V148" s="22" t="s">
        <v>45</v>
      </c>
      <c r="W148" s="22" t="s">
        <v>4941</v>
      </c>
      <c r="X148" s="22" t="s">
        <v>3095</v>
      </c>
      <c r="Y148" s="22" t="s">
        <v>3095</v>
      </c>
      <c r="Z148" s="22" t="s">
        <v>3095</v>
      </c>
      <c r="AA148" s="22" t="s">
        <v>3095</v>
      </c>
      <c r="AB148" s="22" t="s">
        <v>3095</v>
      </c>
      <c r="AC148" s="22" t="s">
        <v>3095</v>
      </c>
      <c r="AD148" s="22" t="s">
        <v>3095</v>
      </c>
      <c r="AE148" s="22" t="s">
        <v>3095</v>
      </c>
      <c r="AF148" s="22" t="s">
        <v>3095</v>
      </c>
    </row>
    <row r="149" ht="45.0" customHeight="1">
      <c r="A149" s="55" t="s">
        <v>683</v>
      </c>
      <c r="B149" s="62" t="s">
        <v>4942</v>
      </c>
      <c r="C149" s="22" t="str">
        <f>IMAGE("https://raw.githubusercontent.com/ltdimages/images/refs/heads/main/ClothTopsCoatLongSamuraiArmor_00.png")</f>
        <v/>
      </c>
      <c r="D149" s="22" t="str">
        <f>IMAGE("https://raw.githubusercontent.com/ltdimages/images/refs/heads/main/ClothTopsCoatLongSamuraiArmor_01.png")</f>
        <v/>
      </c>
      <c r="E149" s="22" t="str">
        <f>IMAGE("https://raw.githubusercontent.com/ltdimages/images/refs/heads/main/ClothTopsCoatLongSamuraiArmor_02.png")</f>
        <v/>
      </c>
      <c r="F149" s="22" t="str">
        <f>IMAGE("https://raw.githubusercontent.com/ltdimages/images/refs/heads/main/ClothTopsCoatLongSamuraiArmor_03.png")</f>
        <v/>
      </c>
      <c r="G149" s="22" t="str">
        <f>IMAGE("https://raw.githubusercontent.com/ltdimages/images/refs/heads/main/ClothTopsCoatLongSamuraiArmor_04.png")</f>
        <v/>
      </c>
      <c r="H149" s="22" t="str">
        <f>IMAGE("https://raw.githubusercontent.com/ltdimages/images/refs/heads/main/ClothTopsCoatLongSamuraiArmor_05.png")</f>
        <v/>
      </c>
      <c r="I149" s="22" t="s">
        <v>3095</v>
      </c>
      <c r="J149" s="22" t="s">
        <v>3095</v>
      </c>
      <c r="K149" s="63" t="s">
        <v>3103</v>
      </c>
      <c r="L149" s="23">
        <v>500.0</v>
      </c>
      <c r="M149" s="22" t="s">
        <v>3097</v>
      </c>
      <c r="N149" s="22" t="s">
        <v>3099</v>
      </c>
      <c r="O149" s="22" t="s">
        <v>45</v>
      </c>
      <c r="P149" s="22" t="s">
        <v>45</v>
      </c>
      <c r="Q149" s="22" t="s">
        <v>45</v>
      </c>
      <c r="R149" s="22" t="s">
        <v>49</v>
      </c>
      <c r="S149" s="22" t="s">
        <v>45</v>
      </c>
      <c r="T149" s="22" t="s">
        <v>2002</v>
      </c>
      <c r="U149" s="22" t="s">
        <v>45</v>
      </c>
      <c r="V149" s="22" t="s">
        <v>45</v>
      </c>
      <c r="W149" s="22" t="s">
        <v>4943</v>
      </c>
      <c r="X149" s="22" t="s">
        <v>3095</v>
      </c>
      <c r="Y149" s="22" t="s">
        <v>3095</v>
      </c>
      <c r="Z149" s="22" t="s">
        <v>3095</v>
      </c>
      <c r="AA149" s="22" t="s">
        <v>3095</v>
      </c>
      <c r="AB149" s="22" t="s">
        <v>3095</v>
      </c>
      <c r="AC149" s="22" t="s">
        <v>3095</v>
      </c>
      <c r="AD149" s="22" t="s">
        <v>3095</v>
      </c>
      <c r="AE149" s="22" t="s">
        <v>3095</v>
      </c>
      <c r="AF149" s="22" t="s">
        <v>3095</v>
      </c>
    </row>
    <row r="150" ht="45.0" customHeight="1">
      <c r="A150" s="55" t="s">
        <v>687</v>
      </c>
      <c r="B150" s="62" t="s">
        <v>3941</v>
      </c>
      <c r="C150" s="22" t="str">
        <f>IMAGE("https://raw.githubusercontent.com/ltdimages/images/refs/heads/main/ClothTopsCoatLongSanta_00.png")</f>
        <v/>
      </c>
      <c r="D150" s="22" t="s">
        <v>3095</v>
      </c>
      <c r="E150" s="22" t="s">
        <v>3095</v>
      </c>
      <c r="F150" s="22" t="s">
        <v>3095</v>
      </c>
      <c r="G150" s="22" t="s">
        <v>3095</v>
      </c>
      <c r="H150" s="22" t="s">
        <v>3095</v>
      </c>
      <c r="I150" s="22" t="s">
        <v>3095</v>
      </c>
      <c r="J150" s="22" t="s">
        <v>3095</v>
      </c>
      <c r="K150" s="63" t="s">
        <v>3103</v>
      </c>
      <c r="L150" s="23">
        <v>23.0</v>
      </c>
      <c r="M150" s="22" t="s">
        <v>3097</v>
      </c>
      <c r="N150" s="22" t="s">
        <v>3114</v>
      </c>
      <c r="O150" s="22" t="s">
        <v>45</v>
      </c>
      <c r="P150" s="22" t="s">
        <v>45</v>
      </c>
      <c r="Q150" s="22" t="s">
        <v>45</v>
      </c>
      <c r="R150" s="22" t="s">
        <v>49</v>
      </c>
      <c r="S150" s="22" t="s">
        <v>45</v>
      </c>
      <c r="T150" s="22" t="s">
        <v>2002</v>
      </c>
      <c r="U150" s="22" t="s">
        <v>45</v>
      </c>
      <c r="V150" s="22" t="s">
        <v>45</v>
      </c>
      <c r="W150" s="22" t="s">
        <v>4944</v>
      </c>
      <c r="X150" s="22" t="s">
        <v>3095</v>
      </c>
      <c r="Y150" s="22" t="s">
        <v>3095</v>
      </c>
      <c r="Z150" s="22" t="s">
        <v>3095</v>
      </c>
      <c r="AA150" s="22" t="s">
        <v>3095</v>
      </c>
      <c r="AB150" s="22" t="s">
        <v>3095</v>
      </c>
      <c r="AC150" s="22" t="s">
        <v>3095</v>
      </c>
      <c r="AD150" s="22" t="s">
        <v>3095</v>
      </c>
      <c r="AE150" s="22" t="s">
        <v>3095</v>
      </c>
      <c r="AF150" s="22" t="s">
        <v>3095</v>
      </c>
    </row>
    <row r="151" ht="45.0" customHeight="1">
      <c r="A151" s="55" t="s">
        <v>691</v>
      </c>
      <c r="B151" s="62" t="s">
        <v>4945</v>
      </c>
      <c r="C151" s="22" t="str">
        <f>IMAGE("https://raw.githubusercontent.com/ltdimages/images/refs/heads/main/ClothTopsSarashi_00.png")</f>
        <v/>
      </c>
      <c r="D151" s="22" t="s">
        <v>3095</v>
      </c>
      <c r="E151" s="22" t="s">
        <v>3095</v>
      </c>
      <c r="F151" s="22" t="s">
        <v>3095</v>
      </c>
      <c r="G151" s="22" t="s">
        <v>3095</v>
      </c>
      <c r="H151" s="22" t="s">
        <v>3095</v>
      </c>
      <c r="I151" s="22" t="s">
        <v>3095</v>
      </c>
      <c r="J151" s="22" t="s">
        <v>3095</v>
      </c>
      <c r="K151" s="63" t="s">
        <v>3103</v>
      </c>
      <c r="L151" s="23">
        <v>9.5</v>
      </c>
      <c r="M151" s="22" t="s">
        <v>3097</v>
      </c>
      <c r="N151" s="22" t="s">
        <v>3099</v>
      </c>
      <c r="O151" s="22" t="s">
        <v>45</v>
      </c>
      <c r="P151" s="22" t="s">
        <v>45</v>
      </c>
      <c r="Q151" s="22" t="s">
        <v>45</v>
      </c>
      <c r="R151" s="22" t="s">
        <v>45</v>
      </c>
      <c r="S151" s="22" t="s">
        <v>45</v>
      </c>
      <c r="T151" s="22" t="s">
        <v>2002</v>
      </c>
      <c r="U151" s="22" t="s">
        <v>45</v>
      </c>
      <c r="V151" s="22" t="s">
        <v>45</v>
      </c>
      <c r="W151" s="22" t="s">
        <v>4946</v>
      </c>
      <c r="X151" s="22" t="s">
        <v>3095</v>
      </c>
      <c r="Y151" s="22" t="s">
        <v>3095</v>
      </c>
      <c r="Z151" s="22" t="s">
        <v>3095</v>
      </c>
      <c r="AA151" s="22" t="s">
        <v>3095</v>
      </c>
      <c r="AB151" s="22" t="s">
        <v>3095</v>
      </c>
      <c r="AC151" s="22" t="s">
        <v>3095</v>
      </c>
      <c r="AD151" s="22" t="s">
        <v>3095</v>
      </c>
      <c r="AE151" s="22" t="s">
        <v>3095</v>
      </c>
      <c r="AF151" s="22" t="s">
        <v>3095</v>
      </c>
    </row>
    <row r="152" ht="45.0" customHeight="1">
      <c r="A152" s="55" t="s">
        <v>695</v>
      </c>
      <c r="B152" s="62" t="s">
        <v>3961</v>
      </c>
      <c r="C152" s="22" t="str">
        <f>IMAGE("https://raw.githubusercontent.com/ltdimages/images/refs/heads/main/ClothTopsYshirtLongGakuran_00.png")</f>
        <v/>
      </c>
      <c r="D152" s="22" t="s">
        <v>3095</v>
      </c>
      <c r="E152" s="22" t="s">
        <v>3095</v>
      </c>
      <c r="F152" s="22" t="s">
        <v>3095</v>
      </c>
      <c r="G152" s="22" t="s">
        <v>3095</v>
      </c>
      <c r="H152" s="22" t="s">
        <v>3095</v>
      </c>
      <c r="I152" s="22" t="s">
        <v>3095</v>
      </c>
      <c r="J152" s="22" t="s">
        <v>3095</v>
      </c>
      <c r="K152" s="63" t="s">
        <v>3103</v>
      </c>
      <c r="L152" s="23">
        <v>15.0</v>
      </c>
      <c r="M152" s="22" t="s">
        <v>3097</v>
      </c>
      <c r="N152" s="22" t="s">
        <v>3099</v>
      </c>
      <c r="O152" s="22" t="s">
        <v>45</v>
      </c>
      <c r="P152" s="22" t="s">
        <v>45</v>
      </c>
      <c r="Q152" s="22" t="s">
        <v>45</v>
      </c>
      <c r="R152" s="22" t="s">
        <v>45</v>
      </c>
      <c r="S152" s="22" t="s">
        <v>45</v>
      </c>
      <c r="T152" s="22" t="s">
        <v>2002</v>
      </c>
      <c r="U152" s="22" t="s">
        <v>45</v>
      </c>
      <c r="V152" s="22" t="s">
        <v>45</v>
      </c>
      <c r="W152" s="22" t="s">
        <v>4947</v>
      </c>
      <c r="X152" s="22" t="s">
        <v>3095</v>
      </c>
      <c r="Y152" s="22" t="s">
        <v>3095</v>
      </c>
      <c r="Z152" s="22" t="s">
        <v>3095</v>
      </c>
      <c r="AA152" s="22" t="s">
        <v>3095</v>
      </c>
      <c r="AB152" s="22" t="s">
        <v>3095</v>
      </c>
      <c r="AC152" s="22" t="s">
        <v>3095</v>
      </c>
      <c r="AD152" s="22" t="s">
        <v>3095</v>
      </c>
      <c r="AE152" s="22" t="s">
        <v>3095</v>
      </c>
      <c r="AF152" s="22" t="s">
        <v>3095</v>
      </c>
    </row>
    <row r="153" ht="45.0" customHeight="1">
      <c r="A153" s="55" t="s">
        <v>699</v>
      </c>
      <c r="B153" s="62" t="s">
        <v>4948</v>
      </c>
      <c r="C153" s="22" t="str">
        <f>IMAGE("https://raw.githubusercontent.com/ltdimages/images/refs/heads/main/ClothTopsTshirtLongLayer_00.png")</f>
        <v/>
      </c>
      <c r="D153" s="22" t="str">
        <f>IMAGE("https://raw.githubusercontent.com/ltdimages/images/refs/heads/main/ClothTopsTshirtLongLayer_01.png")</f>
        <v/>
      </c>
      <c r="E153" s="22" t="str">
        <f>IMAGE("https://raw.githubusercontent.com/ltdimages/images/refs/heads/main/ClothTopsTshirtLongLayer_02.png")</f>
        <v/>
      </c>
      <c r="F153" s="22" t="str">
        <f>IMAGE("https://raw.githubusercontent.com/ltdimages/images/refs/heads/main/ClothTopsTshirtLongLayer_03.png")</f>
        <v/>
      </c>
      <c r="G153" s="22" t="str">
        <f>IMAGE("https://raw.githubusercontent.com/ltdimages/images/refs/heads/main/ClothTopsTshirtLongLayer_04.png")</f>
        <v/>
      </c>
      <c r="H153" s="22" t="str">
        <f>IMAGE("https://raw.githubusercontent.com/ltdimages/images/refs/heads/main/ClothTopsTshirtLongLayer_05.png")</f>
        <v/>
      </c>
      <c r="I153" s="22" t="str">
        <f>IMAGE("https://raw.githubusercontent.com/ltdimages/images/refs/heads/main/ClothTopsTshirtLongLayer_06.png")</f>
        <v/>
      </c>
      <c r="J153" s="22" t="str">
        <f>IMAGE("https://raw.githubusercontent.com/ltdimages/images/refs/heads/main/ClothTopsTshirtLongLayer_07.png")</f>
        <v/>
      </c>
      <c r="K153" s="63" t="s">
        <v>3103</v>
      </c>
      <c r="L153" s="23">
        <v>13.0</v>
      </c>
      <c r="M153" s="22" t="s">
        <v>3097</v>
      </c>
      <c r="N153" s="22" t="s">
        <v>3099</v>
      </c>
      <c r="O153" s="22" t="s">
        <v>45</v>
      </c>
      <c r="P153" s="22" t="s">
        <v>45</v>
      </c>
      <c r="Q153" s="22" t="s">
        <v>45</v>
      </c>
      <c r="R153" s="22" t="s">
        <v>45</v>
      </c>
      <c r="S153" s="22" t="s">
        <v>45</v>
      </c>
      <c r="T153" s="22" t="s">
        <v>2002</v>
      </c>
      <c r="U153" s="22" t="s">
        <v>45</v>
      </c>
      <c r="V153" s="22" t="s">
        <v>45</v>
      </c>
      <c r="W153" s="22" t="s">
        <v>4949</v>
      </c>
      <c r="X153" s="22" t="s">
        <v>3095</v>
      </c>
      <c r="Y153" s="22" t="s">
        <v>3095</v>
      </c>
      <c r="Z153" s="22" t="s">
        <v>3095</v>
      </c>
      <c r="AA153" s="22" t="s">
        <v>3095</v>
      </c>
      <c r="AB153" s="22" t="s">
        <v>3095</v>
      </c>
      <c r="AC153" s="22" t="s">
        <v>3095</v>
      </c>
      <c r="AD153" s="22" t="s">
        <v>3095</v>
      </c>
      <c r="AE153" s="22" t="s">
        <v>3095</v>
      </c>
      <c r="AF153" s="22" t="s">
        <v>3095</v>
      </c>
    </row>
    <row r="154" ht="45.0" customHeight="1">
      <c r="A154" s="55" t="s">
        <v>703</v>
      </c>
      <c r="B154" s="62" t="s">
        <v>4639</v>
      </c>
      <c r="C154" s="22" t="str">
        <f>IMAGE("https://raw.githubusercontent.com/ltdimages/images/refs/heads/main/ClothTopsYshirtLongHalfCardigan_00.png")</f>
        <v/>
      </c>
      <c r="D154" s="22" t="str">
        <f>IMAGE("https://raw.githubusercontent.com/ltdimages/images/refs/heads/main/ClothTopsYshirtLongHalfCardigan_01.png")</f>
        <v/>
      </c>
      <c r="E154" s="22" t="str">
        <f>IMAGE("https://raw.githubusercontent.com/ltdimages/images/refs/heads/main/ClothTopsYshirtLongHalfCardigan_02.png")</f>
        <v/>
      </c>
      <c r="F154" s="22" t="str">
        <f>IMAGE("https://raw.githubusercontent.com/ltdimages/images/refs/heads/main/ClothTopsYshirtLongHalfCardigan_03.png")</f>
        <v/>
      </c>
      <c r="G154" s="22" t="str">
        <f>IMAGE("https://raw.githubusercontent.com/ltdimages/images/refs/heads/main/ClothTopsYshirtLongHalfCardigan_04.png")</f>
        <v/>
      </c>
      <c r="H154" s="22" t="str">
        <f>IMAGE("https://raw.githubusercontent.com/ltdimages/images/refs/heads/main/ClothTopsYshirtLongHalfCardigan_05.png")</f>
        <v/>
      </c>
      <c r="I154" s="22" t="s">
        <v>3095</v>
      </c>
      <c r="J154" s="22" t="s">
        <v>3095</v>
      </c>
      <c r="K154" s="63" t="s">
        <v>3103</v>
      </c>
      <c r="L154" s="23">
        <v>11.0</v>
      </c>
      <c r="M154" s="22" t="s">
        <v>3097</v>
      </c>
      <c r="N154" s="22" t="s">
        <v>3099</v>
      </c>
      <c r="O154" s="22" t="s">
        <v>45</v>
      </c>
      <c r="P154" s="22" t="s">
        <v>45</v>
      </c>
      <c r="Q154" s="22" t="s">
        <v>45</v>
      </c>
      <c r="R154" s="22" t="s">
        <v>45</v>
      </c>
      <c r="S154" s="22" t="s">
        <v>45</v>
      </c>
      <c r="T154" s="22" t="s">
        <v>2002</v>
      </c>
      <c r="U154" s="22" t="s">
        <v>45</v>
      </c>
      <c r="V154" s="22" t="s">
        <v>45</v>
      </c>
      <c r="W154" s="22" t="s">
        <v>4950</v>
      </c>
      <c r="X154" s="22" t="s">
        <v>3095</v>
      </c>
      <c r="Y154" s="22" t="s">
        <v>3095</v>
      </c>
      <c r="Z154" s="22" t="s">
        <v>3095</v>
      </c>
      <c r="AA154" s="22" t="s">
        <v>3095</v>
      </c>
      <c r="AB154" s="22" t="s">
        <v>3095</v>
      </c>
      <c r="AC154" s="22" t="s">
        <v>3095</v>
      </c>
      <c r="AD154" s="22" t="s">
        <v>3095</v>
      </c>
      <c r="AE154" s="22" t="s">
        <v>3095</v>
      </c>
      <c r="AF154" s="22" t="s">
        <v>3095</v>
      </c>
    </row>
    <row r="155" ht="45.0" customHeight="1">
      <c r="A155" s="55" t="s">
        <v>708</v>
      </c>
      <c r="B155" s="62" t="s">
        <v>3591</v>
      </c>
      <c r="C155" s="22" t="str">
        <f>IMAGE("https://raw.githubusercontent.com/ltdimages/images/refs/heads/main/ClothTopsYshirtHalfGrunge_00.png")</f>
        <v/>
      </c>
      <c r="D155" s="22" t="str">
        <f>IMAGE("https://raw.githubusercontent.com/ltdimages/images/refs/heads/main/ClothTopsYshirtHalfGrunge_01.png")</f>
        <v/>
      </c>
      <c r="E155" s="22" t="str">
        <f>IMAGE("https://raw.githubusercontent.com/ltdimages/images/refs/heads/main/ClothTopsYshirtHalfGrunge_02.png")</f>
        <v/>
      </c>
      <c r="F155" s="22" t="str">
        <f>IMAGE("https://raw.githubusercontent.com/ltdimages/images/refs/heads/main/ClothTopsYshirtHalfGrunge_03.png")</f>
        <v/>
      </c>
      <c r="G155" s="22" t="str">
        <f>IMAGE("https://raw.githubusercontent.com/ltdimages/images/refs/heads/main/ClothTopsYshirtHalfGrunge_04.png")</f>
        <v/>
      </c>
      <c r="H155" s="22" t="str">
        <f>IMAGE("https://raw.githubusercontent.com/ltdimages/images/refs/heads/main/ClothTopsYshirtHalfGrunge_05.png")</f>
        <v/>
      </c>
      <c r="I155" s="22" t="s">
        <v>3095</v>
      </c>
      <c r="J155" s="22" t="s">
        <v>3095</v>
      </c>
      <c r="K155" s="63" t="s">
        <v>3103</v>
      </c>
      <c r="L155" s="23">
        <v>13.0</v>
      </c>
      <c r="M155" s="22" t="s">
        <v>3097</v>
      </c>
      <c r="N155" s="22" t="s">
        <v>3099</v>
      </c>
      <c r="O155" s="22" t="s">
        <v>45</v>
      </c>
      <c r="P155" s="22" t="s">
        <v>45</v>
      </c>
      <c r="Q155" s="22" t="s">
        <v>45</v>
      </c>
      <c r="R155" s="22" t="s">
        <v>45</v>
      </c>
      <c r="S155" s="22" t="s">
        <v>45</v>
      </c>
      <c r="T155" s="22" t="s">
        <v>2002</v>
      </c>
      <c r="U155" s="22" t="s">
        <v>45</v>
      </c>
      <c r="V155" s="22" t="s">
        <v>45</v>
      </c>
      <c r="W155" s="22" t="s">
        <v>4951</v>
      </c>
      <c r="X155" s="22" t="s">
        <v>3095</v>
      </c>
      <c r="Y155" s="22" t="s">
        <v>3095</v>
      </c>
      <c r="Z155" s="22" t="s">
        <v>3095</v>
      </c>
      <c r="AA155" s="22" t="s">
        <v>3095</v>
      </c>
      <c r="AB155" s="22" t="s">
        <v>3095</v>
      </c>
      <c r="AC155" s="22" t="s">
        <v>3095</v>
      </c>
      <c r="AD155" s="22" t="s">
        <v>3095</v>
      </c>
      <c r="AE155" s="22" t="s">
        <v>3095</v>
      </c>
      <c r="AF155" s="22" t="s">
        <v>3095</v>
      </c>
    </row>
    <row r="156" ht="45.0" customHeight="1">
      <c r="A156" s="55" t="s">
        <v>712</v>
      </c>
      <c r="B156" s="62" t="s">
        <v>3969</v>
      </c>
      <c r="C156" s="22" t="str">
        <f>IMAGE("https://raw.githubusercontent.com/ltdimages/images/refs/heads/main/ClothTopsYshirtHalfNecktie_00.png")</f>
        <v/>
      </c>
      <c r="D156" s="22" t="str">
        <f>IMAGE("https://raw.githubusercontent.com/ltdimages/images/refs/heads/main/ClothTopsYshirtHalfNecktie_01.png")</f>
        <v/>
      </c>
      <c r="E156" s="22" t="str">
        <f>IMAGE("https://raw.githubusercontent.com/ltdimages/images/refs/heads/main/ClothTopsYshirtHalfNecktie_02.png")</f>
        <v/>
      </c>
      <c r="F156" s="22" t="str">
        <f>IMAGE("https://raw.githubusercontent.com/ltdimages/images/refs/heads/main/ClothTopsYshirtHalfNecktie_03.png")</f>
        <v/>
      </c>
      <c r="G156" s="22" t="str">
        <f>IMAGE("https://raw.githubusercontent.com/ltdimages/images/refs/heads/main/ClothTopsYshirtHalfNecktie_04.png")</f>
        <v/>
      </c>
      <c r="H156" s="22" t="str">
        <f>IMAGE("https://raw.githubusercontent.com/ltdimages/images/refs/heads/main/ClothTopsYshirtHalfNecktie_05.png")</f>
        <v/>
      </c>
      <c r="I156" s="22" t="s">
        <v>3095</v>
      </c>
      <c r="J156" s="22" t="s">
        <v>3095</v>
      </c>
      <c r="K156" s="63" t="s">
        <v>3103</v>
      </c>
      <c r="L156" s="23">
        <v>12.0</v>
      </c>
      <c r="M156" s="22" t="s">
        <v>3097</v>
      </c>
      <c r="N156" s="22" t="s">
        <v>3123</v>
      </c>
      <c r="O156" s="22" t="s">
        <v>45</v>
      </c>
      <c r="P156" s="22" t="s">
        <v>45</v>
      </c>
      <c r="Q156" s="22" t="s">
        <v>45</v>
      </c>
      <c r="R156" s="22" t="s">
        <v>45</v>
      </c>
      <c r="S156" s="22" t="s">
        <v>45</v>
      </c>
      <c r="T156" s="22" t="s">
        <v>2002</v>
      </c>
      <c r="U156" s="22" t="s">
        <v>45</v>
      </c>
      <c r="V156" s="22" t="s">
        <v>45</v>
      </c>
      <c r="W156" s="22" t="s">
        <v>4952</v>
      </c>
      <c r="X156" s="22" t="s">
        <v>3095</v>
      </c>
      <c r="Y156" s="22" t="s">
        <v>3095</v>
      </c>
      <c r="Z156" s="22" t="s">
        <v>3095</v>
      </c>
      <c r="AA156" s="22" t="s">
        <v>3095</v>
      </c>
      <c r="AB156" s="22" t="s">
        <v>3095</v>
      </c>
      <c r="AC156" s="22" t="s">
        <v>3095</v>
      </c>
      <c r="AD156" s="22" t="s">
        <v>3095</v>
      </c>
      <c r="AE156" s="22" t="s">
        <v>3095</v>
      </c>
      <c r="AF156" s="22" t="s">
        <v>3095</v>
      </c>
    </row>
    <row r="157" ht="45.0" customHeight="1">
      <c r="A157" s="55" t="s">
        <v>716</v>
      </c>
      <c r="B157" s="62" t="s">
        <v>3973</v>
      </c>
      <c r="C157" s="22" t="str">
        <f>IMAGE("https://raw.githubusercontent.com/ltdimages/images/refs/heads/main/ClothTopsCoatLongMods_00.png")</f>
        <v/>
      </c>
      <c r="D157" s="22" t="str">
        <f>IMAGE("https://raw.githubusercontent.com/ltdimages/images/refs/heads/main/ClothTopsCoatLongMods_01.png")</f>
        <v/>
      </c>
      <c r="E157" s="22" t="str">
        <f>IMAGE("https://raw.githubusercontent.com/ltdimages/images/refs/heads/main/ClothTopsCoatLongMods_02.png")</f>
        <v/>
      </c>
      <c r="F157" s="22" t="str">
        <f>IMAGE("https://raw.githubusercontent.com/ltdimages/images/refs/heads/main/ClothTopsCoatLongMods_03.png")</f>
        <v/>
      </c>
      <c r="G157" s="22" t="str">
        <f>IMAGE("https://raw.githubusercontent.com/ltdimages/images/refs/heads/main/ClothTopsCoatLongMods_04.png")</f>
        <v/>
      </c>
      <c r="H157" s="22" t="str">
        <f>IMAGE("https://raw.githubusercontent.com/ltdimages/images/refs/heads/main/ClothTopsCoatLongMods_05.png")</f>
        <v/>
      </c>
      <c r="I157" s="22" t="s">
        <v>3095</v>
      </c>
      <c r="J157" s="22" t="s">
        <v>3095</v>
      </c>
      <c r="K157" s="63" t="s">
        <v>3103</v>
      </c>
      <c r="L157" s="23">
        <v>17.0</v>
      </c>
      <c r="M157" s="22" t="s">
        <v>3097</v>
      </c>
      <c r="N157" s="22" t="s">
        <v>3114</v>
      </c>
      <c r="O157" s="22" t="s">
        <v>45</v>
      </c>
      <c r="P157" s="22" t="s">
        <v>45</v>
      </c>
      <c r="Q157" s="22" t="s">
        <v>45</v>
      </c>
      <c r="R157" s="22" t="s">
        <v>45</v>
      </c>
      <c r="S157" s="22" t="s">
        <v>45</v>
      </c>
      <c r="T157" s="22" t="s">
        <v>2002</v>
      </c>
      <c r="U157" s="22" t="s">
        <v>45</v>
      </c>
      <c r="V157" s="22" t="s">
        <v>45</v>
      </c>
      <c r="W157" s="22" t="s">
        <v>4953</v>
      </c>
      <c r="X157" s="22" t="s">
        <v>3095</v>
      </c>
      <c r="Y157" s="22" t="s">
        <v>3095</v>
      </c>
      <c r="Z157" s="22" t="s">
        <v>3095</v>
      </c>
      <c r="AA157" s="22" t="s">
        <v>3095</v>
      </c>
      <c r="AB157" s="22" t="s">
        <v>3095</v>
      </c>
      <c r="AC157" s="22" t="s">
        <v>3095</v>
      </c>
      <c r="AD157" s="22" t="s">
        <v>3095</v>
      </c>
      <c r="AE157" s="22" t="s">
        <v>3095</v>
      </c>
      <c r="AF157" s="22" t="s">
        <v>3095</v>
      </c>
    </row>
    <row r="158" ht="45.0" customHeight="1">
      <c r="A158" s="55" t="s">
        <v>720</v>
      </c>
      <c r="B158" s="62" t="s">
        <v>3983</v>
      </c>
      <c r="C158" s="22" t="str">
        <f>IMAGE("https://raw.githubusercontent.com/ltdimages/images/refs/heads/main/ClothTopsOuterLongSki_00.png")</f>
        <v/>
      </c>
      <c r="D158" s="22" t="str">
        <f>IMAGE("https://raw.githubusercontent.com/ltdimages/images/refs/heads/main/ClothTopsOuterLongSki_01.png")</f>
        <v/>
      </c>
      <c r="E158" s="22" t="str">
        <f>IMAGE("https://raw.githubusercontent.com/ltdimages/images/refs/heads/main/ClothTopsOuterLongSki_02.png")</f>
        <v/>
      </c>
      <c r="F158" s="22" t="str">
        <f>IMAGE("https://raw.githubusercontent.com/ltdimages/images/refs/heads/main/ClothTopsOuterLongSki_03.png")</f>
        <v/>
      </c>
      <c r="G158" s="22" t="str">
        <f>IMAGE("https://raw.githubusercontent.com/ltdimages/images/refs/heads/main/ClothTopsOuterLongSki_04.png")</f>
        <v/>
      </c>
      <c r="H158" s="22" t="str">
        <f>IMAGE("https://raw.githubusercontent.com/ltdimages/images/refs/heads/main/ClothTopsOuterLongSki_05.png")</f>
        <v/>
      </c>
      <c r="I158" s="22" t="s">
        <v>3095</v>
      </c>
      <c r="J158" s="22" t="s">
        <v>3095</v>
      </c>
      <c r="K158" s="63" t="s">
        <v>3103</v>
      </c>
      <c r="L158" s="23">
        <v>13.0</v>
      </c>
      <c r="M158" s="22" t="s">
        <v>3097</v>
      </c>
      <c r="N158" s="22" t="s">
        <v>3114</v>
      </c>
      <c r="O158" s="22" t="s">
        <v>45</v>
      </c>
      <c r="P158" s="22" t="s">
        <v>45</v>
      </c>
      <c r="Q158" s="22" t="s">
        <v>45</v>
      </c>
      <c r="R158" s="22" t="s">
        <v>45</v>
      </c>
      <c r="S158" s="22" t="s">
        <v>45</v>
      </c>
      <c r="T158" s="22" t="s">
        <v>2002</v>
      </c>
      <c r="U158" s="22" t="s">
        <v>45</v>
      </c>
      <c r="V158" s="22" t="s">
        <v>45</v>
      </c>
      <c r="W158" s="22" t="s">
        <v>4954</v>
      </c>
      <c r="X158" s="22" t="s">
        <v>3095</v>
      </c>
      <c r="Y158" s="22" t="s">
        <v>3095</v>
      </c>
      <c r="Z158" s="22" t="s">
        <v>3095</v>
      </c>
      <c r="AA158" s="22" t="s">
        <v>3095</v>
      </c>
      <c r="AB158" s="22" t="s">
        <v>3095</v>
      </c>
      <c r="AC158" s="22" t="s">
        <v>3095</v>
      </c>
      <c r="AD158" s="22" t="s">
        <v>3095</v>
      </c>
      <c r="AE158" s="22" t="s">
        <v>3095</v>
      </c>
      <c r="AF158" s="22" t="s">
        <v>3095</v>
      </c>
    </row>
    <row r="159" ht="45.0" customHeight="1">
      <c r="A159" s="55" t="s">
        <v>724</v>
      </c>
      <c r="B159" s="62" t="s">
        <v>4651</v>
      </c>
      <c r="C159" s="22" t="str">
        <f>IMAGE("https://raw.githubusercontent.com/ltdimages/images/refs/heads/main/ClothTopsTshirtHalfSkipper_00.png")</f>
        <v/>
      </c>
      <c r="D159" s="22" t="str">
        <f>IMAGE("https://raw.githubusercontent.com/ltdimages/images/refs/heads/main/ClothTopsTshirtHalfSkipper_01.png")</f>
        <v/>
      </c>
      <c r="E159" s="22" t="str">
        <f>IMAGE("https://raw.githubusercontent.com/ltdimages/images/refs/heads/main/ClothTopsTshirtHalfSkipper_02.png")</f>
        <v/>
      </c>
      <c r="F159" s="22" t="str">
        <f>IMAGE("https://raw.githubusercontent.com/ltdimages/images/refs/heads/main/ClothTopsTshirtHalfSkipper_03.png")</f>
        <v/>
      </c>
      <c r="G159" s="22" t="str">
        <f>IMAGE("https://raw.githubusercontent.com/ltdimages/images/refs/heads/main/ClothTopsTshirtHalfSkipper_04.png")</f>
        <v/>
      </c>
      <c r="H159" s="22" t="str">
        <f>IMAGE("https://raw.githubusercontent.com/ltdimages/images/refs/heads/main/ClothTopsTshirtHalfSkipper_05.png")</f>
        <v/>
      </c>
      <c r="I159" s="22" t="s">
        <v>3095</v>
      </c>
      <c r="J159" s="22" t="s">
        <v>3095</v>
      </c>
      <c r="K159" s="63" t="s">
        <v>3103</v>
      </c>
      <c r="L159" s="23">
        <v>11.5</v>
      </c>
      <c r="M159" s="22" t="s">
        <v>3097</v>
      </c>
      <c r="N159" s="22" t="s">
        <v>3099</v>
      </c>
      <c r="O159" s="22" t="s">
        <v>45</v>
      </c>
      <c r="P159" s="22" t="s">
        <v>45</v>
      </c>
      <c r="Q159" s="22" t="s">
        <v>45</v>
      </c>
      <c r="R159" s="22" t="s">
        <v>45</v>
      </c>
      <c r="S159" s="22" t="s">
        <v>45</v>
      </c>
      <c r="T159" s="22" t="s">
        <v>2002</v>
      </c>
      <c r="U159" s="22" t="s">
        <v>45</v>
      </c>
      <c r="V159" s="22" t="s">
        <v>45</v>
      </c>
      <c r="W159" s="22" t="s">
        <v>4955</v>
      </c>
      <c r="X159" s="22" t="s">
        <v>3095</v>
      </c>
      <c r="Y159" s="22" t="s">
        <v>3095</v>
      </c>
      <c r="Z159" s="22" t="s">
        <v>3095</v>
      </c>
      <c r="AA159" s="22" t="s">
        <v>3095</v>
      </c>
      <c r="AB159" s="22" t="s">
        <v>3095</v>
      </c>
      <c r="AC159" s="22" t="s">
        <v>3095</v>
      </c>
      <c r="AD159" s="22" t="s">
        <v>3095</v>
      </c>
      <c r="AE159" s="22" t="s">
        <v>3095</v>
      </c>
      <c r="AF159" s="22" t="s">
        <v>3095</v>
      </c>
    </row>
    <row r="160" ht="45.0" customHeight="1">
      <c r="A160" s="55" t="s">
        <v>728</v>
      </c>
      <c r="B160" s="62" t="s">
        <v>3860</v>
      </c>
      <c r="C160" s="22" t="str">
        <f>IMAGE("https://raw.githubusercontent.com/ltdimages/images/refs/heads/main/ClothTopsTshirtLongSkull_00.png")</f>
        <v/>
      </c>
      <c r="D160" s="22" t="str">
        <f>IMAGE("https://raw.githubusercontent.com/ltdimages/images/refs/heads/main/ClothTopsTshirtLongSkull_01.png")</f>
        <v/>
      </c>
      <c r="E160" s="22" t="str">
        <f>IMAGE("https://raw.githubusercontent.com/ltdimages/images/refs/heads/main/ClothTopsTshirtLongSkull_02.png")</f>
        <v/>
      </c>
      <c r="F160" s="22" t="str">
        <f>IMAGE("https://raw.githubusercontent.com/ltdimages/images/refs/heads/main/ClothTopsTshirtLongSkull_03.png")</f>
        <v/>
      </c>
      <c r="G160" s="22" t="s">
        <v>3095</v>
      </c>
      <c r="H160" s="22" t="s">
        <v>3095</v>
      </c>
      <c r="I160" s="22" t="s">
        <v>3095</v>
      </c>
      <c r="J160" s="22" t="s">
        <v>3095</v>
      </c>
      <c r="K160" s="63" t="s">
        <v>3103</v>
      </c>
      <c r="L160" s="23">
        <v>10.0</v>
      </c>
      <c r="M160" s="22" t="s">
        <v>3097</v>
      </c>
      <c r="N160" s="22" t="s">
        <v>3099</v>
      </c>
      <c r="O160" s="22" t="s">
        <v>45</v>
      </c>
      <c r="P160" s="22" t="s">
        <v>45</v>
      </c>
      <c r="Q160" s="22" t="s">
        <v>45</v>
      </c>
      <c r="R160" s="22" t="s">
        <v>45</v>
      </c>
      <c r="S160" s="22" t="s">
        <v>45</v>
      </c>
      <c r="T160" s="22" t="s">
        <v>2002</v>
      </c>
      <c r="U160" s="22" t="s">
        <v>45</v>
      </c>
      <c r="V160" s="22" t="s">
        <v>45</v>
      </c>
      <c r="W160" s="22" t="s">
        <v>4956</v>
      </c>
      <c r="X160" s="22" t="s">
        <v>3095</v>
      </c>
      <c r="Y160" s="22" t="s">
        <v>3095</v>
      </c>
      <c r="Z160" s="22" t="s">
        <v>3095</v>
      </c>
      <c r="AA160" s="22" t="s">
        <v>3095</v>
      </c>
      <c r="AB160" s="22" t="s">
        <v>3095</v>
      </c>
      <c r="AC160" s="22" t="s">
        <v>3095</v>
      </c>
      <c r="AD160" s="22" t="s">
        <v>3095</v>
      </c>
      <c r="AE160" s="22" t="s">
        <v>3095</v>
      </c>
      <c r="AF160" s="22" t="s">
        <v>3095</v>
      </c>
    </row>
    <row r="161" ht="45.0" customHeight="1">
      <c r="A161" s="55" t="s">
        <v>732</v>
      </c>
      <c r="B161" s="62" t="s">
        <v>3995</v>
      </c>
      <c r="C161" s="22" t="str">
        <f>IMAGE("https://raw.githubusercontent.com/ltdimages/images/refs/heads/main/ClothTopsOuterLongCyber_00.png")</f>
        <v/>
      </c>
      <c r="D161" s="22" t="str">
        <f>IMAGE("https://raw.githubusercontent.com/ltdimages/images/refs/heads/main/ClothTopsOuterLongCyber_01.png")</f>
        <v/>
      </c>
      <c r="E161" s="22" t="str">
        <f>IMAGE("https://raw.githubusercontent.com/ltdimages/images/refs/heads/main/ClothTopsOuterLongCyber_02.png")</f>
        <v/>
      </c>
      <c r="F161" s="22" t="str">
        <f>IMAGE("https://raw.githubusercontent.com/ltdimages/images/refs/heads/main/ClothTopsOuterLongCyber_03.png")</f>
        <v/>
      </c>
      <c r="G161" s="22" t="str">
        <f>IMAGE("https://raw.githubusercontent.com/ltdimages/images/refs/heads/main/ClothTopsOuterLongCyber_04.png")</f>
        <v/>
      </c>
      <c r="H161" s="22" t="str">
        <f>IMAGE("https://raw.githubusercontent.com/ltdimages/images/refs/heads/main/ClothTopsOuterLongCyber_05.png")</f>
        <v/>
      </c>
      <c r="I161" s="22" t="s">
        <v>3095</v>
      </c>
      <c r="J161" s="22" t="s">
        <v>3095</v>
      </c>
      <c r="K161" s="63" t="s">
        <v>3103</v>
      </c>
      <c r="L161" s="23">
        <v>16.0</v>
      </c>
      <c r="M161" s="22" t="s">
        <v>3097</v>
      </c>
      <c r="N161" s="22" t="s">
        <v>3099</v>
      </c>
      <c r="O161" s="22" t="s">
        <v>45</v>
      </c>
      <c r="P161" s="22" t="s">
        <v>45</v>
      </c>
      <c r="Q161" s="22" t="s">
        <v>45</v>
      </c>
      <c r="R161" s="22" t="s">
        <v>45</v>
      </c>
      <c r="S161" s="22" t="s">
        <v>45</v>
      </c>
      <c r="T161" s="22" t="s">
        <v>2002</v>
      </c>
      <c r="U161" s="22" t="s">
        <v>45</v>
      </c>
      <c r="V161" s="22" t="s">
        <v>45</v>
      </c>
      <c r="W161" s="22" t="s">
        <v>4957</v>
      </c>
      <c r="X161" s="22" t="s">
        <v>3095</v>
      </c>
      <c r="Y161" s="22" t="s">
        <v>3095</v>
      </c>
      <c r="Z161" s="22" t="s">
        <v>3095</v>
      </c>
      <c r="AA161" s="22" t="s">
        <v>3095</v>
      </c>
      <c r="AB161" s="22" t="s">
        <v>3095</v>
      </c>
      <c r="AC161" s="22" t="s">
        <v>3095</v>
      </c>
      <c r="AD161" s="22" t="s">
        <v>3095</v>
      </c>
      <c r="AE161" s="22" t="s">
        <v>3095</v>
      </c>
      <c r="AF161" s="22" t="s">
        <v>3095</v>
      </c>
    </row>
    <row r="162" ht="45.0" customHeight="1">
      <c r="A162" s="55" t="s">
        <v>736</v>
      </c>
      <c r="B162" s="62" t="s">
        <v>4663</v>
      </c>
      <c r="C162" s="22" t="str">
        <f>IMAGE("https://raw.githubusercontent.com/ltdimages/images/refs/heads/main/ClothTopsYshirtSleevelessDenimShirt_00.png")</f>
        <v/>
      </c>
      <c r="D162" s="22" t="str">
        <f>IMAGE("https://raw.githubusercontent.com/ltdimages/images/refs/heads/main/ClothTopsYshirtSleevelessDenimShirt_01.png")</f>
        <v/>
      </c>
      <c r="E162" s="22" t="str">
        <f>IMAGE("https://raw.githubusercontent.com/ltdimages/images/refs/heads/main/ClothTopsYshirtSleevelessDenimShirt_02.png")</f>
        <v/>
      </c>
      <c r="F162" s="22" t="str">
        <f>IMAGE("https://raw.githubusercontent.com/ltdimages/images/refs/heads/main/ClothTopsYshirtSleevelessDenimShirt_03.png")</f>
        <v/>
      </c>
      <c r="G162" s="22" t="str">
        <f>IMAGE("https://raw.githubusercontent.com/ltdimages/images/refs/heads/main/ClothTopsYshirtSleevelessDenimShirt_04.png")</f>
        <v/>
      </c>
      <c r="H162" s="22" t="str">
        <f>IMAGE("https://raw.githubusercontent.com/ltdimages/images/refs/heads/main/ClothTopsYshirtSleevelessDenimShirt_05.png")</f>
        <v/>
      </c>
      <c r="I162" s="22" t="s">
        <v>3095</v>
      </c>
      <c r="J162" s="22" t="s">
        <v>3095</v>
      </c>
      <c r="K162" s="63" t="s">
        <v>3103</v>
      </c>
      <c r="L162" s="23">
        <v>15.0</v>
      </c>
      <c r="M162" s="22" t="s">
        <v>3097</v>
      </c>
      <c r="N162" s="22" t="s">
        <v>3123</v>
      </c>
      <c r="O162" s="22" t="s">
        <v>45</v>
      </c>
      <c r="P162" s="22" t="s">
        <v>45</v>
      </c>
      <c r="Q162" s="22" t="s">
        <v>45</v>
      </c>
      <c r="R162" s="22" t="s">
        <v>45</v>
      </c>
      <c r="S162" s="22" t="s">
        <v>45</v>
      </c>
      <c r="T162" s="22" t="s">
        <v>2002</v>
      </c>
      <c r="U162" s="22" t="s">
        <v>45</v>
      </c>
      <c r="V162" s="22" t="s">
        <v>45</v>
      </c>
      <c r="W162" s="22" t="s">
        <v>4958</v>
      </c>
      <c r="X162" s="22" t="s">
        <v>3095</v>
      </c>
      <c r="Y162" s="22" t="s">
        <v>3095</v>
      </c>
      <c r="Z162" s="22" t="s">
        <v>3095</v>
      </c>
      <c r="AA162" s="22" t="s">
        <v>3095</v>
      </c>
      <c r="AB162" s="22" t="s">
        <v>3095</v>
      </c>
      <c r="AC162" s="22" t="s">
        <v>3095</v>
      </c>
      <c r="AD162" s="22" t="s">
        <v>3095</v>
      </c>
      <c r="AE162" s="22" t="s">
        <v>3095</v>
      </c>
      <c r="AF162" s="22" t="s">
        <v>3095</v>
      </c>
    </row>
    <row r="163" ht="45.0" customHeight="1">
      <c r="A163" s="55" t="s">
        <v>740</v>
      </c>
      <c r="B163" s="62" t="s">
        <v>3443</v>
      </c>
      <c r="C163" s="22" t="str">
        <f>IMAGE("https://raw.githubusercontent.com/ltdimages/images/refs/heads/main/ClothTopsOuterSleevelessHoodie_00.png")</f>
        <v/>
      </c>
      <c r="D163" s="22" t="str">
        <f>IMAGE("https://raw.githubusercontent.com/ltdimages/images/refs/heads/main/ClothTopsOuterSleevelessHoodie_01.png")</f>
        <v/>
      </c>
      <c r="E163" s="22" t="str">
        <f>IMAGE("https://raw.githubusercontent.com/ltdimages/images/refs/heads/main/ClothTopsOuterSleevelessHoodie_02.png")</f>
        <v/>
      </c>
      <c r="F163" s="22" t="str">
        <f>IMAGE("https://raw.githubusercontent.com/ltdimages/images/refs/heads/main/ClothTopsOuterSleevelessHoodie_03.png")</f>
        <v/>
      </c>
      <c r="G163" s="22" t="str">
        <f>IMAGE("https://raw.githubusercontent.com/ltdimages/images/refs/heads/main/ClothTopsOuterSleevelessHoodie_04.png")</f>
        <v/>
      </c>
      <c r="H163" s="22" t="str">
        <f>IMAGE("https://raw.githubusercontent.com/ltdimages/images/refs/heads/main/ClothTopsOuterSleevelessHoodie_05.png")</f>
        <v/>
      </c>
      <c r="I163" s="22" t="str">
        <f>IMAGE("https://raw.githubusercontent.com/ltdimages/images/refs/heads/main/ClothTopsOuterSleevelessHoodie_06.png")</f>
        <v/>
      </c>
      <c r="J163" s="22" t="str">
        <f>IMAGE("https://raw.githubusercontent.com/ltdimages/images/refs/heads/main/ClothTopsOuterSleevelessHoodie_07.png")</f>
        <v/>
      </c>
      <c r="K163" s="63" t="s">
        <v>3103</v>
      </c>
      <c r="L163" s="23">
        <v>10.0</v>
      </c>
      <c r="M163" s="22" t="s">
        <v>3097</v>
      </c>
      <c r="N163" s="22" t="s">
        <v>3123</v>
      </c>
      <c r="O163" s="22" t="s">
        <v>45</v>
      </c>
      <c r="P163" s="22" t="s">
        <v>45</v>
      </c>
      <c r="Q163" s="22" t="s">
        <v>45</v>
      </c>
      <c r="R163" s="22" t="s">
        <v>45</v>
      </c>
      <c r="S163" s="22" t="s">
        <v>45</v>
      </c>
      <c r="T163" s="22" t="s">
        <v>2002</v>
      </c>
      <c r="U163" s="22" t="s">
        <v>45</v>
      </c>
      <c r="V163" s="22" t="s">
        <v>45</v>
      </c>
      <c r="W163" s="22" t="s">
        <v>4959</v>
      </c>
      <c r="X163" s="22" t="s">
        <v>3095</v>
      </c>
      <c r="Y163" s="22" t="s">
        <v>3095</v>
      </c>
      <c r="Z163" s="22" t="s">
        <v>3095</v>
      </c>
      <c r="AA163" s="22" t="s">
        <v>3095</v>
      </c>
      <c r="AB163" s="22" t="s">
        <v>3095</v>
      </c>
      <c r="AC163" s="22" t="s">
        <v>3095</v>
      </c>
      <c r="AD163" s="22" t="s">
        <v>3095</v>
      </c>
      <c r="AE163" s="22" t="s">
        <v>3095</v>
      </c>
      <c r="AF163" s="22" t="s">
        <v>3095</v>
      </c>
    </row>
    <row r="164" ht="45.0" customHeight="1">
      <c r="A164" s="55" t="s">
        <v>744</v>
      </c>
      <c r="B164" s="62" t="s">
        <v>4000</v>
      </c>
      <c r="C164" s="22" t="str">
        <f>IMAGE("https://raw.githubusercontent.com/ltdimages/images/refs/heads/main/ClothTopsOuterSleevelessKnit_00.png")</f>
        <v/>
      </c>
      <c r="D164" s="22" t="str">
        <f>IMAGE("https://raw.githubusercontent.com/ltdimages/images/refs/heads/main/ClothTopsOuterSleevelessKnit_01.png")</f>
        <v/>
      </c>
      <c r="E164" s="22" t="str">
        <f>IMAGE("https://raw.githubusercontent.com/ltdimages/images/refs/heads/main/ClothTopsOuterSleevelessKnit_02.png")</f>
        <v/>
      </c>
      <c r="F164" s="22" t="str">
        <f>IMAGE("https://raw.githubusercontent.com/ltdimages/images/refs/heads/main/ClothTopsOuterSleevelessKnit_03.png")</f>
        <v/>
      </c>
      <c r="G164" s="22" t="str">
        <f>IMAGE("https://raw.githubusercontent.com/ltdimages/images/refs/heads/main/ClothTopsOuterSleevelessKnit_04.png")</f>
        <v/>
      </c>
      <c r="H164" s="22" t="str">
        <f>IMAGE("https://raw.githubusercontent.com/ltdimages/images/refs/heads/main/ClothTopsOuterSleevelessKnit_05.png")</f>
        <v/>
      </c>
      <c r="I164" s="22" t="str">
        <f>IMAGE("https://raw.githubusercontent.com/ltdimages/images/refs/heads/main/ClothTopsOuterSleevelessKnit_06.png")</f>
        <v/>
      </c>
      <c r="J164" s="22" t="str">
        <f>IMAGE("https://raw.githubusercontent.com/ltdimages/images/refs/heads/main/ClothTopsOuterSleevelessKnit_07.png")</f>
        <v/>
      </c>
      <c r="K164" s="63" t="s">
        <v>3103</v>
      </c>
      <c r="L164" s="23">
        <v>10.0</v>
      </c>
      <c r="M164" s="22" t="s">
        <v>3097</v>
      </c>
      <c r="N164" s="22" t="s">
        <v>3123</v>
      </c>
      <c r="O164" s="22" t="s">
        <v>45</v>
      </c>
      <c r="P164" s="22" t="s">
        <v>45</v>
      </c>
      <c r="Q164" s="22" t="s">
        <v>45</v>
      </c>
      <c r="R164" s="22" t="s">
        <v>45</v>
      </c>
      <c r="S164" s="22" t="s">
        <v>45</v>
      </c>
      <c r="T164" s="22" t="s">
        <v>2002</v>
      </c>
      <c r="U164" s="22" t="s">
        <v>45</v>
      </c>
      <c r="V164" s="22" t="s">
        <v>45</v>
      </c>
      <c r="W164" s="22" t="s">
        <v>4960</v>
      </c>
      <c r="X164" s="22" t="s">
        <v>3095</v>
      </c>
      <c r="Y164" s="22" t="s">
        <v>3095</v>
      </c>
      <c r="Z164" s="22" t="s">
        <v>3095</v>
      </c>
      <c r="AA164" s="22" t="s">
        <v>3095</v>
      </c>
      <c r="AB164" s="22" t="s">
        <v>3095</v>
      </c>
      <c r="AC164" s="22" t="s">
        <v>3095</v>
      </c>
      <c r="AD164" s="22" t="s">
        <v>3095</v>
      </c>
      <c r="AE164" s="22" t="s">
        <v>3095</v>
      </c>
      <c r="AF164" s="22" t="s">
        <v>3095</v>
      </c>
    </row>
    <row r="165" ht="45.0" customHeight="1">
      <c r="A165" s="55" t="s">
        <v>748</v>
      </c>
      <c r="B165" s="62" t="s">
        <v>4961</v>
      </c>
      <c r="C165" s="22" t="str">
        <f>IMAGE("https://raw.githubusercontent.com/ltdimages/images/refs/heads/main/ClothTopsOuterSleevelessParka_00.png")</f>
        <v/>
      </c>
      <c r="D165" s="22" t="str">
        <f>IMAGE("https://raw.githubusercontent.com/ltdimages/images/refs/heads/main/ClothTopsOuterSleevelessParka_01.png")</f>
        <v/>
      </c>
      <c r="E165" s="22" t="str">
        <f>IMAGE("https://raw.githubusercontent.com/ltdimages/images/refs/heads/main/ClothTopsOuterSleevelessParka_02.png")</f>
        <v/>
      </c>
      <c r="F165" s="22" t="str">
        <f>IMAGE("https://raw.githubusercontent.com/ltdimages/images/refs/heads/main/ClothTopsOuterSleevelessParka_03.png")</f>
        <v/>
      </c>
      <c r="G165" s="22" t="str">
        <f>IMAGE("https://raw.githubusercontent.com/ltdimages/images/refs/heads/main/ClothTopsOuterSleevelessParka_04.png")</f>
        <v/>
      </c>
      <c r="H165" s="22" t="str">
        <f>IMAGE("https://raw.githubusercontent.com/ltdimages/images/refs/heads/main/ClothTopsOuterSleevelessParka_05.png")</f>
        <v/>
      </c>
      <c r="I165" s="22" t="str">
        <f>IMAGE("https://raw.githubusercontent.com/ltdimages/images/refs/heads/main/ClothTopsOuterSleevelessParka_06.png")</f>
        <v/>
      </c>
      <c r="J165" s="22" t="str">
        <f>IMAGE("https://raw.githubusercontent.com/ltdimages/images/refs/heads/main/ClothTopsOuterSleevelessParka_07.png")</f>
        <v/>
      </c>
      <c r="K165" s="63" t="s">
        <v>3103</v>
      </c>
      <c r="L165" s="23">
        <v>15.0</v>
      </c>
      <c r="M165" s="22" t="s">
        <v>3097</v>
      </c>
      <c r="N165" s="22" t="s">
        <v>3123</v>
      </c>
      <c r="O165" s="22" t="s">
        <v>45</v>
      </c>
      <c r="P165" s="22" t="s">
        <v>45</v>
      </c>
      <c r="Q165" s="22" t="s">
        <v>45</v>
      </c>
      <c r="R165" s="22" t="s">
        <v>45</v>
      </c>
      <c r="S165" s="22" t="s">
        <v>45</v>
      </c>
      <c r="T165" s="22" t="s">
        <v>2002</v>
      </c>
      <c r="U165" s="22" t="s">
        <v>45</v>
      </c>
      <c r="V165" s="22" t="s">
        <v>45</v>
      </c>
      <c r="W165" s="22" t="s">
        <v>4962</v>
      </c>
      <c r="X165" s="22" t="s">
        <v>3095</v>
      </c>
      <c r="Y165" s="22" t="s">
        <v>3095</v>
      </c>
      <c r="Z165" s="22" t="s">
        <v>3095</v>
      </c>
      <c r="AA165" s="22" t="s">
        <v>3095</v>
      </c>
      <c r="AB165" s="22" t="s">
        <v>3095</v>
      </c>
      <c r="AC165" s="22" t="s">
        <v>3095</v>
      </c>
      <c r="AD165" s="22" t="s">
        <v>3095</v>
      </c>
      <c r="AE165" s="22" t="s">
        <v>3095</v>
      </c>
      <c r="AF165" s="22" t="s">
        <v>3095</v>
      </c>
    </row>
    <row r="166" ht="45.0" customHeight="1">
      <c r="A166" s="55" t="s">
        <v>752</v>
      </c>
      <c r="B166" s="62" t="s">
        <v>4583</v>
      </c>
      <c r="C166" s="22" t="str">
        <f>IMAGE("https://raw.githubusercontent.com/ltdimages/images/refs/heads/main/ClothTopsYshirtSleevelessSimple_00.png")</f>
        <v/>
      </c>
      <c r="D166" s="22" t="str">
        <f>IMAGE("https://raw.githubusercontent.com/ltdimages/images/refs/heads/main/ClothTopsYshirtSleevelessSimple_01.png")</f>
        <v/>
      </c>
      <c r="E166" s="22" t="str">
        <f>IMAGE("https://raw.githubusercontent.com/ltdimages/images/refs/heads/main/ClothTopsYshirtSleevelessSimple_02.png")</f>
        <v/>
      </c>
      <c r="F166" s="22" t="str">
        <f>IMAGE("https://raw.githubusercontent.com/ltdimages/images/refs/heads/main/ClothTopsYshirtSleevelessSimple_03.png")</f>
        <v/>
      </c>
      <c r="G166" s="22" t="str">
        <f>IMAGE("https://raw.githubusercontent.com/ltdimages/images/refs/heads/main/ClothTopsYshirtSleevelessSimple_04.png")</f>
        <v/>
      </c>
      <c r="H166" s="22" t="str">
        <f>IMAGE("https://raw.githubusercontent.com/ltdimages/images/refs/heads/main/ClothTopsYshirtSleevelessSimple_05.png")</f>
        <v/>
      </c>
      <c r="I166" s="22" t="s">
        <v>3095</v>
      </c>
      <c r="J166" s="22" t="s">
        <v>3095</v>
      </c>
      <c r="K166" s="63" t="s">
        <v>3103</v>
      </c>
      <c r="L166" s="23">
        <v>11.0</v>
      </c>
      <c r="M166" s="22" t="s">
        <v>3097</v>
      </c>
      <c r="N166" s="22" t="s">
        <v>3123</v>
      </c>
      <c r="O166" s="22" t="s">
        <v>45</v>
      </c>
      <c r="P166" s="22" t="s">
        <v>45</v>
      </c>
      <c r="Q166" s="22" t="s">
        <v>45</v>
      </c>
      <c r="R166" s="22" t="s">
        <v>45</v>
      </c>
      <c r="S166" s="22" t="s">
        <v>45</v>
      </c>
      <c r="T166" s="22" t="s">
        <v>2002</v>
      </c>
      <c r="U166" s="22" t="s">
        <v>45</v>
      </c>
      <c r="V166" s="22" t="s">
        <v>45</v>
      </c>
      <c r="W166" s="22" t="s">
        <v>4963</v>
      </c>
      <c r="X166" s="22" t="s">
        <v>3095</v>
      </c>
      <c r="Y166" s="22" t="s">
        <v>3095</v>
      </c>
      <c r="Z166" s="22" t="s">
        <v>3095</v>
      </c>
      <c r="AA166" s="22" t="s">
        <v>3095</v>
      </c>
      <c r="AB166" s="22" t="s">
        <v>3095</v>
      </c>
      <c r="AC166" s="22" t="s">
        <v>3095</v>
      </c>
      <c r="AD166" s="22" t="s">
        <v>3095</v>
      </c>
      <c r="AE166" s="22" t="s">
        <v>3095</v>
      </c>
      <c r="AF166" s="22" t="s">
        <v>3095</v>
      </c>
    </row>
    <row r="167" ht="45.0" customHeight="1">
      <c r="A167" s="55" t="s">
        <v>756</v>
      </c>
      <c r="B167" s="62" t="s">
        <v>4964</v>
      </c>
      <c r="C167" s="22" t="str">
        <f>IMAGE("https://raw.githubusercontent.com/ltdimages/images/refs/heads/main/ClothTopsYshirtSleevelessStripe_00.png")</f>
        <v/>
      </c>
      <c r="D167" s="22" t="str">
        <f>IMAGE("https://raw.githubusercontent.com/ltdimages/images/refs/heads/main/ClothTopsYshirtSleevelessStripe_01.png")</f>
        <v/>
      </c>
      <c r="E167" s="22" t="str">
        <f>IMAGE("https://raw.githubusercontent.com/ltdimages/images/refs/heads/main/ClothTopsYshirtSleevelessStripe_02.png")</f>
        <v/>
      </c>
      <c r="F167" s="22" t="str">
        <f>IMAGE("https://raw.githubusercontent.com/ltdimages/images/refs/heads/main/ClothTopsYshirtSleevelessStripe_03.png")</f>
        <v/>
      </c>
      <c r="G167" s="22" t="str">
        <f>IMAGE("https://raw.githubusercontent.com/ltdimages/images/refs/heads/main/ClothTopsYshirtSleevelessStripe_04.png")</f>
        <v/>
      </c>
      <c r="H167" s="22" t="str">
        <f>IMAGE("https://raw.githubusercontent.com/ltdimages/images/refs/heads/main/ClothTopsYshirtSleevelessStripe_05.png")</f>
        <v/>
      </c>
      <c r="I167" s="22" t="str">
        <f>IMAGE("https://raw.githubusercontent.com/ltdimages/images/refs/heads/main/ClothTopsYshirtSleevelessStripe_06.png")</f>
        <v/>
      </c>
      <c r="J167" s="22" t="str">
        <f>IMAGE("https://raw.githubusercontent.com/ltdimages/images/refs/heads/main/ClothTopsYshirtSleevelessStripe_07.png")</f>
        <v/>
      </c>
      <c r="K167" s="63" t="s">
        <v>3103</v>
      </c>
      <c r="L167" s="23">
        <v>13.4</v>
      </c>
      <c r="M167" s="22" t="s">
        <v>3097</v>
      </c>
      <c r="N167" s="22" t="s">
        <v>3123</v>
      </c>
      <c r="O167" s="22" t="s">
        <v>45</v>
      </c>
      <c r="P167" s="22" t="s">
        <v>45</v>
      </c>
      <c r="Q167" s="22" t="s">
        <v>45</v>
      </c>
      <c r="R167" s="22" t="s">
        <v>45</v>
      </c>
      <c r="S167" s="22" t="s">
        <v>45</v>
      </c>
      <c r="T167" s="22" t="s">
        <v>2002</v>
      </c>
      <c r="U167" s="22" t="s">
        <v>45</v>
      </c>
      <c r="V167" s="22" t="s">
        <v>45</v>
      </c>
      <c r="W167" s="22" t="s">
        <v>4965</v>
      </c>
      <c r="X167" s="22" t="s">
        <v>3095</v>
      </c>
      <c r="Y167" s="22" t="s">
        <v>3095</v>
      </c>
      <c r="Z167" s="22" t="s">
        <v>3095</v>
      </c>
      <c r="AA167" s="22" t="s">
        <v>3095</v>
      </c>
      <c r="AB167" s="22" t="s">
        <v>3095</v>
      </c>
      <c r="AC167" s="22" t="s">
        <v>3095</v>
      </c>
      <c r="AD167" s="22" t="s">
        <v>3095</v>
      </c>
      <c r="AE167" s="22" t="s">
        <v>3095</v>
      </c>
      <c r="AF167" s="22" t="s">
        <v>3095</v>
      </c>
    </row>
    <row r="168" ht="45.0" customHeight="1">
      <c r="A168" s="55" t="s">
        <v>760</v>
      </c>
      <c r="B168" s="62" t="s">
        <v>4005</v>
      </c>
      <c r="C168" s="22" t="str">
        <f>IMAGE("https://raw.githubusercontent.com/ltdimages/images/refs/heads/main/ClothTopsYshirtSleevelessTurtleneckKnit_00.png")</f>
        <v/>
      </c>
      <c r="D168" s="22" t="str">
        <f>IMAGE("https://raw.githubusercontent.com/ltdimages/images/refs/heads/main/ClothTopsYshirtSleevelessTurtleneckKnit_01.png")</f>
        <v/>
      </c>
      <c r="E168" s="22" t="str">
        <f>IMAGE("https://raw.githubusercontent.com/ltdimages/images/refs/heads/main/ClothTopsYshirtSleevelessTurtleneckKnit_02.png")</f>
        <v/>
      </c>
      <c r="F168" s="22" t="str">
        <f>IMAGE("https://raw.githubusercontent.com/ltdimages/images/refs/heads/main/ClothTopsYshirtSleevelessTurtleneckKnit_03.png")</f>
        <v/>
      </c>
      <c r="G168" s="22" t="str">
        <f>IMAGE("https://raw.githubusercontent.com/ltdimages/images/refs/heads/main/ClothTopsYshirtSleevelessTurtleneckKnit_04.png")</f>
        <v/>
      </c>
      <c r="H168" s="22" t="str">
        <f>IMAGE("https://raw.githubusercontent.com/ltdimages/images/refs/heads/main/ClothTopsYshirtSleevelessTurtleneckKnit_05.png")</f>
        <v/>
      </c>
      <c r="I168" s="22" t="s">
        <v>3095</v>
      </c>
      <c r="J168" s="22" t="s">
        <v>3095</v>
      </c>
      <c r="K168" s="63" t="s">
        <v>3103</v>
      </c>
      <c r="L168" s="23">
        <v>12.0</v>
      </c>
      <c r="M168" s="22" t="s">
        <v>3097</v>
      </c>
      <c r="N168" s="22" t="s">
        <v>3123</v>
      </c>
      <c r="O168" s="22" t="s">
        <v>45</v>
      </c>
      <c r="P168" s="22" t="s">
        <v>45</v>
      </c>
      <c r="Q168" s="22" t="s">
        <v>45</v>
      </c>
      <c r="R168" s="22" t="s">
        <v>45</v>
      </c>
      <c r="S168" s="22" t="s">
        <v>45</v>
      </c>
      <c r="T168" s="22" t="s">
        <v>2002</v>
      </c>
      <c r="U168" s="22" t="s">
        <v>45</v>
      </c>
      <c r="V168" s="22" t="s">
        <v>45</v>
      </c>
      <c r="W168" s="22" t="s">
        <v>4966</v>
      </c>
      <c r="X168" s="22" t="s">
        <v>3095</v>
      </c>
      <c r="Y168" s="22" t="s">
        <v>3095</v>
      </c>
      <c r="Z168" s="22" t="s">
        <v>3095</v>
      </c>
      <c r="AA168" s="22" t="s">
        <v>3095</v>
      </c>
      <c r="AB168" s="22" t="s">
        <v>3095</v>
      </c>
      <c r="AC168" s="22" t="s">
        <v>3095</v>
      </c>
      <c r="AD168" s="22" t="s">
        <v>3095</v>
      </c>
      <c r="AE168" s="22" t="s">
        <v>3095</v>
      </c>
      <c r="AF168" s="22" t="s">
        <v>3095</v>
      </c>
    </row>
    <row r="169" ht="45.0" customHeight="1">
      <c r="A169" s="55" t="s">
        <v>765</v>
      </c>
      <c r="B169" s="62" t="s">
        <v>3956</v>
      </c>
      <c r="C169" s="22" t="str">
        <f>IMAGE("https://raw.githubusercontent.com/ltdimages/images/refs/heads/main/ClothTopsTshirtLongSmock_00.png")</f>
        <v/>
      </c>
      <c r="D169" s="22" t="str">
        <f>IMAGE("https://raw.githubusercontent.com/ltdimages/images/refs/heads/main/ClothTopsTshirtLongSmock_01.png")</f>
        <v/>
      </c>
      <c r="E169" s="22" t="str">
        <f>IMAGE("https://raw.githubusercontent.com/ltdimages/images/refs/heads/main/ClothTopsTshirtLongSmock_02.png")</f>
        <v/>
      </c>
      <c r="F169" s="22" t="str">
        <f>IMAGE("https://raw.githubusercontent.com/ltdimages/images/refs/heads/main/ClothTopsTshirtLongSmock_03.png")</f>
        <v/>
      </c>
      <c r="G169" s="22" t="s">
        <v>3095</v>
      </c>
      <c r="H169" s="22" t="s">
        <v>3095</v>
      </c>
      <c r="I169" s="22" t="s">
        <v>3095</v>
      </c>
      <c r="J169" s="22" t="s">
        <v>3095</v>
      </c>
      <c r="K169" s="63" t="s">
        <v>3103</v>
      </c>
      <c r="L169" s="23">
        <v>10.0</v>
      </c>
      <c r="M169" s="22" t="s">
        <v>3097</v>
      </c>
      <c r="N169" s="22" t="s">
        <v>3099</v>
      </c>
      <c r="O169" s="22" t="s">
        <v>49</v>
      </c>
      <c r="P169" s="22" t="s">
        <v>45</v>
      </c>
      <c r="Q169" s="22" t="s">
        <v>45</v>
      </c>
      <c r="R169" s="22" t="s">
        <v>45</v>
      </c>
      <c r="S169" s="22" t="s">
        <v>45</v>
      </c>
      <c r="T169" s="22" t="s">
        <v>2002</v>
      </c>
      <c r="U169" s="22" t="s">
        <v>45</v>
      </c>
      <c r="V169" s="22" t="s">
        <v>45</v>
      </c>
      <c r="W169" s="22" t="s">
        <v>4967</v>
      </c>
      <c r="X169" s="22" t="s">
        <v>3095</v>
      </c>
      <c r="Y169" s="22" t="s">
        <v>3095</v>
      </c>
      <c r="Z169" s="22" t="s">
        <v>3095</v>
      </c>
      <c r="AA169" s="22" t="s">
        <v>3095</v>
      </c>
      <c r="AB169" s="22" t="s">
        <v>3095</v>
      </c>
      <c r="AC169" s="22" t="s">
        <v>3095</v>
      </c>
      <c r="AD169" s="22" t="s">
        <v>3095</v>
      </c>
      <c r="AE169" s="22" t="s">
        <v>3095</v>
      </c>
      <c r="AF169" s="22" t="s">
        <v>3095</v>
      </c>
    </row>
    <row r="170" ht="45.0" customHeight="1">
      <c r="A170" s="55" t="s">
        <v>769</v>
      </c>
      <c r="B170" s="62" t="s">
        <v>4019</v>
      </c>
      <c r="C170" s="22" t="str">
        <f>IMAGE("https://raw.githubusercontent.com/ltdimages/images/refs/heads/main/ClothTopsTshirtHalfSoccer_00.png")</f>
        <v/>
      </c>
      <c r="D170" s="22" t="str">
        <f>IMAGE("https://raw.githubusercontent.com/ltdimages/images/refs/heads/main/ClothTopsTshirtHalfSoccer_01.png")</f>
        <v/>
      </c>
      <c r="E170" s="22" t="str">
        <f>IMAGE("https://raw.githubusercontent.com/ltdimages/images/refs/heads/main/ClothTopsTshirtHalfSoccer_02.png")</f>
        <v/>
      </c>
      <c r="F170" s="22" t="str">
        <f>IMAGE("https://raw.githubusercontent.com/ltdimages/images/refs/heads/main/ClothTopsTshirtHalfSoccer_03.png")</f>
        <v/>
      </c>
      <c r="G170" s="22" t="str">
        <f>IMAGE("https://raw.githubusercontent.com/ltdimages/images/refs/heads/main/ClothTopsTshirtHalfSoccer_04.png")</f>
        <v/>
      </c>
      <c r="H170" s="22" t="str">
        <f>IMAGE("https://raw.githubusercontent.com/ltdimages/images/refs/heads/main/ClothTopsTshirtHalfSoccer_05.png")</f>
        <v/>
      </c>
      <c r="I170" s="22" t="str">
        <f>IMAGE("https://raw.githubusercontent.com/ltdimages/images/refs/heads/main/ClothTopsTshirtHalfSoccer_06.png")</f>
        <v/>
      </c>
      <c r="J170" s="22" t="str">
        <f>IMAGE("https://raw.githubusercontent.com/ltdimages/images/refs/heads/main/ClothTopsTshirtHalfSoccer_07.png")</f>
        <v/>
      </c>
      <c r="K170" s="63" t="s">
        <v>3103</v>
      </c>
      <c r="L170" s="23">
        <v>13.0</v>
      </c>
      <c r="M170" s="22" t="s">
        <v>3097</v>
      </c>
      <c r="N170" s="22" t="s">
        <v>3099</v>
      </c>
      <c r="O170" s="22" t="s">
        <v>45</v>
      </c>
      <c r="P170" s="22" t="s">
        <v>45</v>
      </c>
      <c r="Q170" s="22" t="s">
        <v>45</v>
      </c>
      <c r="R170" s="22" t="s">
        <v>45</v>
      </c>
      <c r="S170" s="22" t="s">
        <v>45</v>
      </c>
      <c r="T170" s="22" t="s">
        <v>2002</v>
      </c>
      <c r="U170" s="22" t="s">
        <v>45</v>
      </c>
      <c r="V170" s="22" t="s">
        <v>45</v>
      </c>
      <c r="W170" s="22" t="s">
        <v>4968</v>
      </c>
      <c r="X170" s="22" t="s">
        <v>3095</v>
      </c>
      <c r="Y170" s="22" t="s">
        <v>3095</v>
      </c>
      <c r="Z170" s="22" t="s">
        <v>3095</v>
      </c>
      <c r="AA170" s="22" t="s">
        <v>3095</v>
      </c>
      <c r="AB170" s="22" t="s">
        <v>3095</v>
      </c>
      <c r="AC170" s="22" t="s">
        <v>3095</v>
      </c>
      <c r="AD170" s="22" t="s">
        <v>3095</v>
      </c>
      <c r="AE170" s="22" t="s">
        <v>3095</v>
      </c>
      <c r="AF170" s="22" t="s">
        <v>3095</v>
      </c>
    </row>
    <row r="171" ht="45.0" customHeight="1">
      <c r="A171" s="55" t="s">
        <v>774</v>
      </c>
      <c r="B171" s="62" t="s">
        <v>3380</v>
      </c>
      <c r="C171" s="22" t="str">
        <f>IMAGE("https://raw.githubusercontent.com/ltdimages/images/refs/heads/main/ClothTopsOuterLongSpace_00.png")</f>
        <v/>
      </c>
      <c r="D171" s="22" t="str">
        <f>IMAGE("https://raw.githubusercontent.com/ltdimages/images/refs/heads/main/ClothTopsOuterLongSpace_01.png")</f>
        <v/>
      </c>
      <c r="E171" s="22" t="str">
        <f>IMAGE("https://raw.githubusercontent.com/ltdimages/images/refs/heads/main/ClothTopsOuterLongSpace_02.png")</f>
        <v/>
      </c>
      <c r="F171" s="22" t="s">
        <v>3095</v>
      </c>
      <c r="G171" s="22" t="s">
        <v>3095</v>
      </c>
      <c r="H171" s="22" t="s">
        <v>3095</v>
      </c>
      <c r="I171" s="22" t="s">
        <v>3095</v>
      </c>
      <c r="J171" s="22" t="s">
        <v>3095</v>
      </c>
      <c r="K171" s="63" t="s">
        <v>3103</v>
      </c>
      <c r="L171" s="23">
        <v>16.0</v>
      </c>
      <c r="M171" s="22" t="s">
        <v>3097</v>
      </c>
      <c r="N171" s="22" t="s">
        <v>3099</v>
      </c>
      <c r="O171" s="22" t="s">
        <v>45</v>
      </c>
      <c r="P171" s="22" t="s">
        <v>45</v>
      </c>
      <c r="Q171" s="22" t="s">
        <v>45</v>
      </c>
      <c r="R171" s="22" t="s">
        <v>45</v>
      </c>
      <c r="S171" s="22" t="s">
        <v>45</v>
      </c>
      <c r="T171" s="22" t="s">
        <v>2002</v>
      </c>
      <c r="U171" s="22" t="s">
        <v>45</v>
      </c>
      <c r="V171" s="22" t="s">
        <v>45</v>
      </c>
      <c r="W171" s="22" t="s">
        <v>4969</v>
      </c>
      <c r="X171" s="22" t="s">
        <v>3095</v>
      </c>
      <c r="Y171" s="22" t="s">
        <v>3095</v>
      </c>
      <c r="Z171" s="22" t="s">
        <v>3095</v>
      </c>
      <c r="AA171" s="22" t="s">
        <v>3095</v>
      </c>
      <c r="AB171" s="22" t="s">
        <v>3095</v>
      </c>
      <c r="AC171" s="22" t="s">
        <v>3095</v>
      </c>
      <c r="AD171" s="22" t="s">
        <v>3095</v>
      </c>
      <c r="AE171" s="22" t="s">
        <v>3095</v>
      </c>
      <c r="AF171" s="22" t="s">
        <v>3095</v>
      </c>
    </row>
    <row r="172" ht="45.0" customHeight="1">
      <c r="A172" s="55" t="s">
        <v>778</v>
      </c>
      <c r="B172" s="62" t="s">
        <v>4039</v>
      </c>
      <c r="C172" s="22" t="str">
        <f>IMAGE("https://raw.githubusercontent.com/ltdimages/images/refs/heads/main/ClothTopsTshirtHalfStar_00.png")</f>
        <v/>
      </c>
      <c r="D172" s="22" t="str">
        <f>IMAGE("https://raw.githubusercontent.com/ltdimages/images/refs/heads/main/ClothTopsTshirtHalfStar_01.png")</f>
        <v/>
      </c>
      <c r="E172" s="22" t="str">
        <f>IMAGE("https://raw.githubusercontent.com/ltdimages/images/refs/heads/main/ClothTopsTshirtHalfStar_02.png")</f>
        <v/>
      </c>
      <c r="F172" s="22" t="str">
        <f>IMAGE("https://raw.githubusercontent.com/ltdimages/images/refs/heads/main/ClothTopsTshirtHalfStar_03.png")</f>
        <v/>
      </c>
      <c r="G172" s="22" t="str">
        <f>IMAGE("https://raw.githubusercontent.com/ltdimages/images/refs/heads/main/ClothTopsTshirtHalfStar_04.png")</f>
        <v/>
      </c>
      <c r="H172" s="22" t="str">
        <f>IMAGE("https://raw.githubusercontent.com/ltdimages/images/refs/heads/main/ClothTopsTshirtHalfStar_05.png")</f>
        <v/>
      </c>
      <c r="I172" s="22" t="s">
        <v>3095</v>
      </c>
      <c r="J172" s="22" t="s">
        <v>3095</v>
      </c>
      <c r="K172" s="63" t="s">
        <v>3103</v>
      </c>
      <c r="L172" s="23">
        <v>12.0</v>
      </c>
      <c r="M172" s="22" t="s">
        <v>3097</v>
      </c>
      <c r="N172" s="22" t="s">
        <v>3099</v>
      </c>
      <c r="O172" s="22" t="s">
        <v>45</v>
      </c>
      <c r="P172" s="22" t="s">
        <v>45</v>
      </c>
      <c r="Q172" s="22" t="s">
        <v>45</v>
      </c>
      <c r="R172" s="22" t="s">
        <v>45</v>
      </c>
      <c r="S172" s="22" t="s">
        <v>45</v>
      </c>
      <c r="T172" s="22" t="s">
        <v>2002</v>
      </c>
      <c r="U172" s="22" t="s">
        <v>45</v>
      </c>
      <c r="V172" s="22" t="s">
        <v>45</v>
      </c>
      <c r="W172" s="22" t="s">
        <v>4970</v>
      </c>
      <c r="X172" s="22" t="s">
        <v>3095</v>
      </c>
      <c r="Y172" s="22" t="s">
        <v>3095</v>
      </c>
      <c r="Z172" s="22" t="s">
        <v>3095</v>
      </c>
      <c r="AA172" s="22" t="s">
        <v>3095</v>
      </c>
      <c r="AB172" s="22" t="s">
        <v>3095</v>
      </c>
      <c r="AC172" s="22" t="s">
        <v>3095</v>
      </c>
      <c r="AD172" s="22" t="s">
        <v>3095</v>
      </c>
      <c r="AE172" s="22" t="s">
        <v>3095</v>
      </c>
      <c r="AF172" s="22" t="s">
        <v>3095</v>
      </c>
    </row>
    <row r="173" ht="45.0" customHeight="1">
      <c r="A173" s="55" t="s">
        <v>782</v>
      </c>
      <c r="B173" s="62" t="s">
        <v>4043</v>
      </c>
      <c r="C173" s="22" t="str">
        <f>IMAGE("https://raw.githubusercontent.com/ltdimages/images/refs/heads/main/ClothTopsMantleLongSteamPunk_00.png")</f>
        <v/>
      </c>
      <c r="D173" s="22" t="str">
        <f>IMAGE("https://raw.githubusercontent.com/ltdimages/images/refs/heads/main/ClothTopsMantleLongSteamPunk_01.png")</f>
        <v/>
      </c>
      <c r="E173" s="22" t="str">
        <f>IMAGE("https://raw.githubusercontent.com/ltdimages/images/refs/heads/main/ClothTopsMantleLongSteamPunk_02.png")</f>
        <v/>
      </c>
      <c r="F173" s="22" t="str">
        <f>IMAGE("https://raw.githubusercontent.com/ltdimages/images/refs/heads/main/ClothTopsMantleLongSteamPunk_03.png")</f>
        <v/>
      </c>
      <c r="G173" s="22" t="str">
        <f>IMAGE("https://raw.githubusercontent.com/ltdimages/images/refs/heads/main/ClothTopsMantleLongSteamPunk_04.png")</f>
        <v/>
      </c>
      <c r="H173" s="22" t="s">
        <v>3095</v>
      </c>
      <c r="I173" s="22" t="s">
        <v>3095</v>
      </c>
      <c r="J173" s="22" t="s">
        <v>3095</v>
      </c>
      <c r="K173" s="63" t="s">
        <v>3103</v>
      </c>
      <c r="L173" s="23">
        <v>33.5</v>
      </c>
      <c r="M173" s="22" t="s">
        <v>3097</v>
      </c>
      <c r="N173" s="22" t="s">
        <v>3099</v>
      </c>
      <c r="O173" s="22" t="s">
        <v>45</v>
      </c>
      <c r="P173" s="22" t="s">
        <v>45</v>
      </c>
      <c r="Q173" s="22" t="s">
        <v>45</v>
      </c>
      <c r="R173" s="22" t="s">
        <v>49</v>
      </c>
      <c r="S173" s="22" t="s">
        <v>45</v>
      </c>
      <c r="T173" s="22" t="s">
        <v>2002</v>
      </c>
      <c r="U173" s="22" t="s">
        <v>45</v>
      </c>
      <c r="V173" s="22" t="s">
        <v>45</v>
      </c>
      <c r="W173" s="22" t="s">
        <v>4971</v>
      </c>
      <c r="X173" s="22" t="s">
        <v>3095</v>
      </c>
      <c r="Y173" s="22" t="s">
        <v>3095</v>
      </c>
      <c r="Z173" s="22" t="s">
        <v>3095</v>
      </c>
      <c r="AA173" s="22" t="s">
        <v>3095</v>
      </c>
      <c r="AB173" s="22" t="s">
        <v>3095</v>
      </c>
      <c r="AC173" s="22" t="s">
        <v>3095</v>
      </c>
      <c r="AD173" s="22" t="s">
        <v>3095</v>
      </c>
      <c r="AE173" s="22" t="s">
        <v>3095</v>
      </c>
      <c r="AF173" s="22" t="s">
        <v>3095</v>
      </c>
    </row>
    <row r="174" ht="45.0" customHeight="1">
      <c r="A174" s="55" t="s">
        <v>786</v>
      </c>
      <c r="B174" s="62" t="s">
        <v>4972</v>
      </c>
      <c r="C174" s="22" t="str">
        <f>IMAGE("https://raw.githubusercontent.com/ltdimages/images/refs/heads/main/ClothTopsYshirtHalfSticker_00.png")</f>
        <v/>
      </c>
      <c r="D174" s="22" t="str">
        <f>IMAGE("https://raw.githubusercontent.com/ltdimages/images/refs/heads/main/ClothTopsYshirtHalfSticker_01.png")</f>
        <v/>
      </c>
      <c r="E174" s="22" t="str">
        <f>IMAGE("https://raw.githubusercontent.com/ltdimages/images/refs/heads/main/ClothTopsYshirtHalfSticker_02.png")</f>
        <v/>
      </c>
      <c r="F174" s="22" t="str">
        <f>IMAGE("https://raw.githubusercontent.com/ltdimages/images/refs/heads/main/ClothTopsYshirtHalfSticker_03.png")</f>
        <v/>
      </c>
      <c r="G174" s="22" t="str">
        <f>IMAGE("https://raw.githubusercontent.com/ltdimages/images/refs/heads/main/ClothTopsYshirtHalfSticker_04.png")</f>
        <v/>
      </c>
      <c r="H174" s="22" t="str">
        <f>IMAGE("https://raw.githubusercontent.com/ltdimages/images/refs/heads/main/ClothTopsYshirtHalfSticker_05.png")</f>
        <v/>
      </c>
      <c r="I174" s="22" t="s">
        <v>3095</v>
      </c>
      <c r="J174" s="22" t="s">
        <v>3095</v>
      </c>
      <c r="K174" s="63" t="s">
        <v>3103</v>
      </c>
      <c r="L174" s="23">
        <v>13.5</v>
      </c>
      <c r="M174" s="22" t="s">
        <v>3097</v>
      </c>
      <c r="N174" s="22" t="s">
        <v>3123</v>
      </c>
      <c r="O174" s="22" t="s">
        <v>45</v>
      </c>
      <c r="P174" s="22" t="s">
        <v>45</v>
      </c>
      <c r="Q174" s="22" t="s">
        <v>45</v>
      </c>
      <c r="R174" s="22" t="s">
        <v>45</v>
      </c>
      <c r="S174" s="22" t="s">
        <v>45</v>
      </c>
      <c r="T174" s="22" t="s">
        <v>2002</v>
      </c>
      <c r="U174" s="22" t="s">
        <v>45</v>
      </c>
      <c r="V174" s="22" t="s">
        <v>45</v>
      </c>
      <c r="W174" s="22" t="s">
        <v>4973</v>
      </c>
      <c r="X174" s="22" t="s">
        <v>3095</v>
      </c>
      <c r="Y174" s="22" t="s">
        <v>3095</v>
      </c>
      <c r="Z174" s="22" t="s">
        <v>3095</v>
      </c>
      <c r="AA174" s="22" t="s">
        <v>3095</v>
      </c>
      <c r="AB174" s="22" t="s">
        <v>3095</v>
      </c>
      <c r="AC174" s="22" t="s">
        <v>3095</v>
      </c>
      <c r="AD174" s="22" t="s">
        <v>3095</v>
      </c>
      <c r="AE174" s="22" t="s">
        <v>3095</v>
      </c>
      <c r="AF174" s="22" t="s">
        <v>3095</v>
      </c>
    </row>
    <row r="175" ht="45.0" customHeight="1">
      <c r="A175" s="55" t="s">
        <v>790</v>
      </c>
      <c r="B175" s="62" t="s">
        <v>4429</v>
      </c>
      <c r="C175" s="22" t="str">
        <f>IMAGE("https://raw.githubusercontent.com/ltdimages/images/refs/heads/main/ClothTopsYshirtLongRoomWear_00.png")</f>
        <v/>
      </c>
      <c r="D175" s="22" t="str">
        <f>IMAGE("https://raw.githubusercontent.com/ltdimages/images/refs/heads/main/ClothTopsYshirtLongRoomWear_01.png")</f>
        <v/>
      </c>
      <c r="E175" s="22" t="str">
        <f>IMAGE("https://raw.githubusercontent.com/ltdimages/images/refs/heads/main/ClothTopsYshirtLongRoomWear_02.png")</f>
        <v/>
      </c>
      <c r="F175" s="22" t="str">
        <f>IMAGE("https://raw.githubusercontent.com/ltdimages/images/refs/heads/main/ClothTopsYshirtLongRoomWear_03.png")</f>
        <v/>
      </c>
      <c r="G175" s="22" t="str">
        <f>IMAGE("https://raw.githubusercontent.com/ltdimages/images/refs/heads/main/ClothTopsYshirtLongRoomWear_04.png")</f>
        <v/>
      </c>
      <c r="H175" s="22" t="str">
        <f>IMAGE("https://raw.githubusercontent.com/ltdimages/images/refs/heads/main/ClothTopsYshirtLongRoomWear_05.png")</f>
        <v/>
      </c>
      <c r="I175" s="22" t="s">
        <v>3095</v>
      </c>
      <c r="J175" s="22" t="s">
        <v>3095</v>
      </c>
      <c r="K175" s="63" t="s">
        <v>3103</v>
      </c>
      <c r="L175" s="23">
        <v>12.0</v>
      </c>
      <c r="M175" s="22" t="s">
        <v>3097</v>
      </c>
      <c r="N175" s="22" t="s">
        <v>3099</v>
      </c>
      <c r="O175" s="22" t="s">
        <v>45</v>
      </c>
      <c r="P175" s="22" t="s">
        <v>45</v>
      </c>
      <c r="Q175" s="22" t="s">
        <v>45</v>
      </c>
      <c r="R175" s="22" t="s">
        <v>45</v>
      </c>
      <c r="S175" s="22" t="s">
        <v>45</v>
      </c>
      <c r="T175" s="22" t="s">
        <v>2002</v>
      </c>
      <c r="U175" s="22" t="s">
        <v>45</v>
      </c>
      <c r="V175" s="22" t="s">
        <v>45</v>
      </c>
      <c r="W175" s="22" t="s">
        <v>4974</v>
      </c>
      <c r="X175" s="22" t="s">
        <v>3095</v>
      </c>
      <c r="Y175" s="22" t="s">
        <v>3095</v>
      </c>
      <c r="Z175" s="22" t="s">
        <v>3095</v>
      </c>
      <c r="AA175" s="22" t="s">
        <v>3095</v>
      </c>
      <c r="AB175" s="22" t="s">
        <v>3095</v>
      </c>
      <c r="AC175" s="22" t="s">
        <v>3095</v>
      </c>
      <c r="AD175" s="22" t="s">
        <v>3095</v>
      </c>
      <c r="AE175" s="22" t="s">
        <v>3095</v>
      </c>
      <c r="AF175" s="22" t="s">
        <v>3095</v>
      </c>
    </row>
    <row r="176" ht="45.0" customHeight="1">
      <c r="A176" s="55" t="s">
        <v>794</v>
      </c>
      <c r="B176" s="62" t="s">
        <v>4064</v>
      </c>
      <c r="C176" s="22" t="str">
        <f>IMAGE("https://raw.githubusercontent.com/ltdimages/images/refs/heads/main/ClothTopsYshirtHalfMultiBorderPolo_00.png")</f>
        <v/>
      </c>
      <c r="D176" s="22" t="str">
        <f>IMAGE("https://raw.githubusercontent.com/ltdimages/images/refs/heads/main/ClothTopsYshirtHalfMultiBorderPolo_01.png")</f>
        <v/>
      </c>
      <c r="E176" s="22" t="str">
        <f>IMAGE("https://raw.githubusercontent.com/ltdimages/images/refs/heads/main/ClothTopsYshirtHalfMultiBorderPolo_02.png")</f>
        <v/>
      </c>
      <c r="F176" s="22" t="str">
        <f>IMAGE("https://raw.githubusercontent.com/ltdimages/images/refs/heads/main/ClothTopsYshirtHalfMultiBorderPolo_03.png")</f>
        <v/>
      </c>
      <c r="G176" s="22" t="str">
        <f>IMAGE("https://raw.githubusercontent.com/ltdimages/images/refs/heads/main/ClothTopsYshirtHalfMultiBorderPolo_04.png")</f>
        <v/>
      </c>
      <c r="H176" s="22" t="str">
        <f>IMAGE("https://raw.githubusercontent.com/ltdimages/images/refs/heads/main/ClothTopsYshirtHalfMultiBorderPolo_05.png")</f>
        <v/>
      </c>
      <c r="I176" s="22" t="s">
        <v>3095</v>
      </c>
      <c r="J176" s="22" t="s">
        <v>3095</v>
      </c>
      <c r="K176" s="63" t="s">
        <v>3103</v>
      </c>
      <c r="L176" s="23">
        <v>12.0</v>
      </c>
      <c r="M176" s="22" t="s">
        <v>3097</v>
      </c>
      <c r="N176" s="22" t="s">
        <v>3099</v>
      </c>
      <c r="O176" s="22" t="s">
        <v>45</v>
      </c>
      <c r="P176" s="22" t="s">
        <v>45</v>
      </c>
      <c r="Q176" s="22" t="s">
        <v>45</v>
      </c>
      <c r="R176" s="22" t="s">
        <v>45</v>
      </c>
      <c r="S176" s="22" t="s">
        <v>45</v>
      </c>
      <c r="T176" s="22" t="s">
        <v>2002</v>
      </c>
      <c r="U176" s="22" t="s">
        <v>45</v>
      </c>
      <c r="V176" s="22" t="s">
        <v>45</v>
      </c>
      <c r="W176" s="22" t="s">
        <v>4975</v>
      </c>
      <c r="X176" s="22" t="s">
        <v>3095</v>
      </c>
      <c r="Y176" s="22" t="s">
        <v>3095</v>
      </c>
      <c r="Z176" s="22" t="s">
        <v>3095</v>
      </c>
      <c r="AA176" s="22" t="s">
        <v>3095</v>
      </c>
      <c r="AB176" s="22" t="s">
        <v>3095</v>
      </c>
      <c r="AC176" s="22" t="s">
        <v>3095</v>
      </c>
      <c r="AD176" s="22" t="s">
        <v>3095</v>
      </c>
      <c r="AE176" s="22" t="s">
        <v>3095</v>
      </c>
      <c r="AF176" s="22" t="s">
        <v>3095</v>
      </c>
    </row>
    <row r="177" ht="45.0" customHeight="1">
      <c r="A177" s="55" t="s">
        <v>798</v>
      </c>
      <c r="B177" s="62" t="s">
        <v>4976</v>
      </c>
      <c r="C177" s="22" t="str">
        <f>IMAGE("https://raw.githubusercontent.com/ltdimages/images/refs/heads/main/ClothTopsTshirtSleevelessBorder_00.png")</f>
        <v/>
      </c>
      <c r="D177" s="22" t="str">
        <f>IMAGE("https://raw.githubusercontent.com/ltdimages/images/refs/heads/main/ClothTopsTshirtSleevelessBorder_01.png")</f>
        <v/>
      </c>
      <c r="E177" s="22" t="str">
        <f>IMAGE("https://raw.githubusercontent.com/ltdimages/images/refs/heads/main/ClothTopsTshirtSleevelessBorder_02.png")</f>
        <v/>
      </c>
      <c r="F177" s="22" t="str">
        <f>IMAGE("https://raw.githubusercontent.com/ltdimages/images/refs/heads/main/ClothTopsTshirtSleevelessBorder_03.png")</f>
        <v/>
      </c>
      <c r="G177" s="22" t="str">
        <f>IMAGE("https://raw.githubusercontent.com/ltdimages/images/refs/heads/main/ClothTopsTshirtSleevelessBorder_04.png")</f>
        <v/>
      </c>
      <c r="H177" s="22" t="str">
        <f>IMAGE("https://raw.githubusercontent.com/ltdimages/images/refs/heads/main/ClothTopsTshirtSleevelessBorder_05.png")</f>
        <v/>
      </c>
      <c r="I177" s="22" t="str">
        <f>IMAGE("https://raw.githubusercontent.com/ltdimages/images/refs/heads/main/ClothTopsTshirtSleevelessBorder_06.png")</f>
        <v/>
      </c>
      <c r="J177" s="22" t="str">
        <f>IMAGE("https://raw.githubusercontent.com/ltdimages/images/refs/heads/main/ClothTopsTshirtSleevelessBorder_07.png")</f>
        <v/>
      </c>
      <c r="K177" s="63" t="s">
        <v>3103</v>
      </c>
      <c r="L177" s="23">
        <v>11.2</v>
      </c>
      <c r="M177" s="22" t="s">
        <v>3097</v>
      </c>
      <c r="N177" s="22" t="s">
        <v>3123</v>
      </c>
      <c r="O177" s="22" t="s">
        <v>45</v>
      </c>
      <c r="P177" s="22" t="s">
        <v>45</v>
      </c>
      <c r="Q177" s="22" t="s">
        <v>45</v>
      </c>
      <c r="R177" s="22" t="s">
        <v>45</v>
      </c>
      <c r="S177" s="22" t="s">
        <v>45</v>
      </c>
      <c r="T177" s="22" t="s">
        <v>2002</v>
      </c>
      <c r="U177" s="22" t="s">
        <v>45</v>
      </c>
      <c r="V177" s="22" t="s">
        <v>45</v>
      </c>
      <c r="W177" s="22" t="s">
        <v>4977</v>
      </c>
      <c r="X177" s="22" t="s">
        <v>3095</v>
      </c>
      <c r="Y177" s="22" t="s">
        <v>3095</v>
      </c>
      <c r="Z177" s="22" t="s">
        <v>3095</v>
      </c>
      <c r="AA177" s="22" t="s">
        <v>3095</v>
      </c>
      <c r="AB177" s="22" t="s">
        <v>3095</v>
      </c>
      <c r="AC177" s="22" t="s">
        <v>3095</v>
      </c>
      <c r="AD177" s="22" t="s">
        <v>3095</v>
      </c>
      <c r="AE177" s="22" t="s">
        <v>3095</v>
      </c>
      <c r="AF177" s="22" t="s">
        <v>3095</v>
      </c>
    </row>
    <row r="178" ht="45.0" customHeight="1">
      <c r="A178" s="55" t="s">
        <v>802</v>
      </c>
      <c r="B178" s="62" t="s">
        <v>4679</v>
      </c>
      <c r="C178" s="22" t="str">
        <f>IMAGE("https://raw.githubusercontent.com/ltdimages/images/refs/heads/main/ClothTopsTshirtLongSummerCardigan_00.png")</f>
        <v/>
      </c>
      <c r="D178" s="22" t="str">
        <f>IMAGE("https://raw.githubusercontent.com/ltdimages/images/refs/heads/main/ClothTopsTshirtLongSummerCardigan_01.png")</f>
        <v/>
      </c>
      <c r="E178" s="22" t="str">
        <f>IMAGE("https://raw.githubusercontent.com/ltdimages/images/refs/heads/main/ClothTopsTshirtLongSummerCardigan_02.png")</f>
        <v/>
      </c>
      <c r="F178" s="22" t="str">
        <f>IMAGE("https://raw.githubusercontent.com/ltdimages/images/refs/heads/main/ClothTopsTshirtLongSummerCardigan_03.png")</f>
        <v/>
      </c>
      <c r="G178" s="22" t="str">
        <f>IMAGE("https://raw.githubusercontent.com/ltdimages/images/refs/heads/main/ClothTopsTshirtLongSummerCardigan_04.png")</f>
        <v/>
      </c>
      <c r="H178" s="22" t="str">
        <f>IMAGE("https://raw.githubusercontent.com/ltdimages/images/refs/heads/main/ClothTopsTshirtLongSummerCardigan_05.png")</f>
        <v/>
      </c>
      <c r="I178" s="22" t="s">
        <v>3095</v>
      </c>
      <c r="J178" s="22" t="s">
        <v>3095</v>
      </c>
      <c r="K178" s="63" t="s">
        <v>3103</v>
      </c>
      <c r="L178" s="23">
        <v>11.0</v>
      </c>
      <c r="M178" s="22" t="s">
        <v>3097</v>
      </c>
      <c r="N178" s="22" t="s">
        <v>3099</v>
      </c>
      <c r="O178" s="22" t="s">
        <v>45</v>
      </c>
      <c r="P178" s="22" t="s">
        <v>45</v>
      </c>
      <c r="Q178" s="22" t="s">
        <v>45</v>
      </c>
      <c r="R178" s="22" t="s">
        <v>45</v>
      </c>
      <c r="S178" s="22" t="s">
        <v>45</v>
      </c>
      <c r="T178" s="22" t="s">
        <v>2002</v>
      </c>
      <c r="U178" s="22" t="s">
        <v>45</v>
      </c>
      <c r="V178" s="22" t="s">
        <v>45</v>
      </c>
      <c r="W178" s="22" t="s">
        <v>4978</v>
      </c>
      <c r="X178" s="22" t="s">
        <v>3095</v>
      </c>
      <c r="Y178" s="22" t="s">
        <v>3095</v>
      </c>
      <c r="Z178" s="22" t="s">
        <v>3095</v>
      </c>
      <c r="AA178" s="22" t="s">
        <v>3095</v>
      </c>
      <c r="AB178" s="22" t="s">
        <v>3095</v>
      </c>
      <c r="AC178" s="22" t="s">
        <v>3095</v>
      </c>
      <c r="AD178" s="22" t="s">
        <v>3095</v>
      </c>
      <c r="AE178" s="22" t="s">
        <v>3095</v>
      </c>
      <c r="AF178" s="22" t="s">
        <v>3095</v>
      </c>
    </row>
    <row r="179" ht="45.0" customHeight="1">
      <c r="A179" s="55" t="s">
        <v>806</v>
      </c>
      <c r="B179" s="62" t="s">
        <v>4073</v>
      </c>
      <c r="C179" s="22" t="str">
        <f>IMAGE("https://raw.githubusercontent.com/ltdimages/images/refs/heads/main/ClothTopsTshirtHalfEgg_00.png")</f>
        <v/>
      </c>
      <c r="D179" s="22" t="str">
        <f>IMAGE("https://raw.githubusercontent.com/ltdimages/images/refs/heads/main/ClothTopsTshirtHalfEgg_01.png")</f>
        <v/>
      </c>
      <c r="E179" s="22" t="str">
        <f>IMAGE("https://raw.githubusercontent.com/ltdimages/images/refs/heads/main/ClothTopsTshirtHalfEgg_02.png")</f>
        <v/>
      </c>
      <c r="F179" s="22" t="str">
        <f>IMAGE("https://raw.githubusercontent.com/ltdimages/images/refs/heads/main/ClothTopsTshirtHalfEgg_03.png")</f>
        <v/>
      </c>
      <c r="G179" s="22" t="s">
        <v>3095</v>
      </c>
      <c r="H179" s="22" t="s">
        <v>3095</v>
      </c>
      <c r="I179" s="22" t="s">
        <v>3095</v>
      </c>
      <c r="J179" s="22" t="s">
        <v>3095</v>
      </c>
      <c r="K179" s="63" t="s">
        <v>3103</v>
      </c>
      <c r="L179" s="23">
        <v>12.0</v>
      </c>
      <c r="M179" s="22" t="s">
        <v>3097</v>
      </c>
      <c r="N179" s="22" t="s">
        <v>3099</v>
      </c>
      <c r="O179" s="22" t="s">
        <v>45</v>
      </c>
      <c r="P179" s="22" t="s">
        <v>45</v>
      </c>
      <c r="Q179" s="22" t="s">
        <v>45</v>
      </c>
      <c r="R179" s="22" t="s">
        <v>45</v>
      </c>
      <c r="S179" s="22" t="s">
        <v>45</v>
      </c>
      <c r="T179" s="22" t="s">
        <v>2002</v>
      </c>
      <c r="U179" s="22" t="s">
        <v>45</v>
      </c>
      <c r="V179" s="22" t="s">
        <v>45</v>
      </c>
      <c r="W179" s="22" t="s">
        <v>4979</v>
      </c>
      <c r="X179" s="22" t="s">
        <v>3095</v>
      </c>
      <c r="Y179" s="22" t="s">
        <v>3095</v>
      </c>
      <c r="Z179" s="22" t="s">
        <v>3095</v>
      </c>
      <c r="AA179" s="22" t="s">
        <v>3095</v>
      </c>
      <c r="AB179" s="22" t="s">
        <v>3095</v>
      </c>
      <c r="AC179" s="22" t="s">
        <v>3095</v>
      </c>
      <c r="AD179" s="22" t="s">
        <v>3095</v>
      </c>
      <c r="AE179" s="22" t="s">
        <v>3095</v>
      </c>
      <c r="AF179" s="22" t="s">
        <v>3095</v>
      </c>
    </row>
    <row r="180" ht="45.0" customHeight="1">
      <c r="A180" s="55" t="s">
        <v>810</v>
      </c>
      <c r="B180" s="62" t="s">
        <v>4093</v>
      </c>
      <c r="C180" s="22" t="str">
        <f>IMAGE("https://raw.githubusercontent.com/ltdimages/images/refs/heads/main/ClothTopsSwim_00.png")</f>
        <v/>
      </c>
      <c r="D180" s="22" t="str">
        <f>IMAGE("https://raw.githubusercontent.com/ltdimages/images/refs/heads/main/ClothTopsSwim_01.png")</f>
        <v/>
      </c>
      <c r="E180" s="22" t="str">
        <f>IMAGE("https://raw.githubusercontent.com/ltdimages/images/refs/heads/main/ClothTopsSwim_02.png")</f>
        <v/>
      </c>
      <c r="F180" s="22" t="str">
        <f>IMAGE("https://raw.githubusercontent.com/ltdimages/images/refs/heads/main/ClothTopsSwim_03.png")</f>
        <v/>
      </c>
      <c r="G180" s="22" t="str">
        <f>IMAGE("https://raw.githubusercontent.com/ltdimages/images/refs/heads/main/ClothTopsSwim_04.png")</f>
        <v/>
      </c>
      <c r="H180" s="22" t="str">
        <f>IMAGE("https://raw.githubusercontent.com/ltdimages/images/refs/heads/main/ClothTopsSwim_05.png")</f>
        <v/>
      </c>
      <c r="I180" s="22" t="str">
        <f>IMAGE("https://raw.githubusercontent.com/ltdimages/images/refs/heads/main/ClothTopsSwim_06.png")</f>
        <v/>
      </c>
      <c r="J180" s="22" t="str">
        <f>IMAGE("https://raw.githubusercontent.com/ltdimages/images/refs/heads/main/ClothTopsSwim_07.png")</f>
        <v/>
      </c>
      <c r="K180" s="63" t="s">
        <v>3103</v>
      </c>
      <c r="L180" s="23">
        <v>9.8</v>
      </c>
      <c r="M180" s="22" t="s">
        <v>3097</v>
      </c>
      <c r="N180" s="22" t="s">
        <v>3123</v>
      </c>
      <c r="O180" s="22" t="s">
        <v>45</v>
      </c>
      <c r="P180" s="22" t="s">
        <v>45</v>
      </c>
      <c r="Q180" s="22" t="s">
        <v>49</v>
      </c>
      <c r="R180" s="22" t="s">
        <v>45</v>
      </c>
      <c r="S180" s="22" t="s">
        <v>45</v>
      </c>
      <c r="T180" s="22" t="s">
        <v>2002</v>
      </c>
      <c r="U180" s="22" t="s">
        <v>45</v>
      </c>
      <c r="V180" s="22" t="s">
        <v>45</v>
      </c>
      <c r="W180" s="22" t="s">
        <v>4980</v>
      </c>
      <c r="X180" s="22" t="s">
        <v>3095</v>
      </c>
      <c r="Y180" s="22" t="s">
        <v>3095</v>
      </c>
      <c r="Z180" s="22" t="s">
        <v>3095</v>
      </c>
      <c r="AA180" s="22" t="s">
        <v>3095</v>
      </c>
      <c r="AB180" s="22" t="s">
        <v>3095</v>
      </c>
      <c r="AC180" s="22" t="s">
        <v>3095</v>
      </c>
      <c r="AD180" s="22" t="s">
        <v>3095</v>
      </c>
      <c r="AE180" s="22" t="s">
        <v>3095</v>
      </c>
      <c r="AF180" s="22" t="s">
        <v>3095</v>
      </c>
    </row>
    <row r="181" ht="45.0" customHeight="1">
      <c r="A181" s="55" t="s">
        <v>814</v>
      </c>
      <c r="B181" s="62" t="s">
        <v>4098</v>
      </c>
      <c r="C181" s="22" t="str">
        <f>IMAGE("https://raw.githubusercontent.com/ltdimages/images/refs/heads/main/ClothTopsMantleLongTailcoat_00.png")</f>
        <v/>
      </c>
      <c r="D181" s="22" t="str">
        <f>IMAGE("https://raw.githubusercontent.com/ltdimages/images/refs/heads/main/ClothTopsMantleLongTailcoat_01.png")</f>
        <v/>
      </c>
      <c r="E181" s="22" t="s">
        <v>3095</v>
      </c>
      <c r="F181" s="22" t="s">
        <v>3095</v>
      </c>
      <c r="G181" s="22" t="s">
        <v>3095</v>
      </c>
      <c r="H181" s="22" t="s">
        <v>3095</v>
      </c>
      <c r="I181" s="22" t="s">
        <v>3095</v>
      </c>
      <c r="J181" s="22" t="s">
        <v>3095</v>
      </c>
      <c r="K181" s="63" t="s">
        <v>3103</v>
      </c>
      <c r="L181" s="23">
        <v>150.0</v>
      </c>
      <c r="M181" s="22" t="s">
        <v>3097</v>
      </c>
      <c r="N181" s="22" t="s">
        <v>3099</v>
      </c>
      <c r="O181" s="22" t="s">
        <v>45</v>
      </c>
      <c r="P181" s="22" t="s">
        <v>45</v>
      </c>
      <c r="Q181" s="22" t="s">
        <v>45</v>
      </c>
      <c r="R181" s="22" t="s">
        <v>45</v>
      </c>
      <c r="S181" s="22" t="s">
        <v>45</v>
      </c>
      <c r="T181" s="22" t="s">
        <v>2002</v>
      </c>
      <c r="U181" s="22" t="s">
        <v>45</v>
      </c>
      <c r="V181" s="22" t="s">
        <v>45</v>
      </c>
      <c r="W181" s="22" t="s">
        <v>4981</v>
      </c>
      <c r="X181" s="22" t="s">
        <v>3095</v>
      </c>
      <c r="Y181" s="22" t="s">
        <v>3095</v>
      </c>
      <c r="Z181" s="22" t="s">
        <v>3095</v>
      </c>
      <c r="AA181" s="22" t="s">
        <v>3095</v>
      </c>
      <c r="AB181" s="22" t="s">
        <v>3095</v>
      </c>
      <c r="AC181" s="22" t="s">
        <v>3095</v>
      </c>
      <c r="AD181" s="22" t="s">
        <v>3095</v>
      </c>
      <c r="AE181" s="22" t="s">
        <v>3095</v>
      </c>
      <c r="AF181" s="22" t="s">
        <v>3095</v>
      </c>
    </row>
    <row r="182" ht="45.0" customHeight="1">
      <c r="A182" s="55" t="s">
        <v>818</v>
      </c>
      <c r="B182" s="62" t="s">
        <v>4102</v>
      </c>
      <c r="C182" s="22" t="str">
        <f>IMAGE("https://raw.githubusercontent.com/ltdimages/images/refs/heads/main/ClothTopsTshirtLongTailoredJacket_00.png")</f>
        <v/>
      </c>
      <c r="D182" s="22" t="str">
        <f>IMAGE("https://raw.githubusercontent.com/ltdimages/images/refs/heads/main/ClothTopsTshirtLongTailoredJacket_01.png")</f>
        <v/>
      </c>
      <c r="E182" s="22" t="str">
        <f>IMAGE("https://raw.githubusercontent.com/ltdimages/images/refs/heads/main/ClothTopsTshirtLongTailoredJacket_02.png")</f>
        <v/>
      </c>
      <c r="F182" s="22" t="str">
        <f>IMAGE("https://raw.githubusercontent.com/ltdimages/images/refs/heads/main/ClothTopsTshirtLongTailoredJacket_03.png")</f>
        <v/>
      </c>
      <c r="G182" s="22" t="str">
        <f>IMAGE("https://raw.githubusercontent.com/ltdimages/images/refs/heads/main/ClothTopsTshirtLongTailoredJacket_04.png")</f>
        <v/>
      </c>
      <c r="H182" s="22" t="str">
        <f>IMAGE("https://raw.githubusercontent.com/ltdimages/images/refs/heads/main/ClothTopsTshirtLongTailoredJacket_05.png")</f>
        <v/>
      </c>
      <c r="I182" s="22" t="s">
        <v>3095</v>
      </c>
      <c r="J182" s="22" t="s">
        <v>3095</v>
      </c>
      <c r="K182" s="63" t="s">
        <v>3103</v>
      </c>
      <c r="L182" s="23">
        <v>11.5</v>
      </c>
      <c r="M182" s="22" t="s">
        <v>3097</v>
      </c>
      <c r="N182" s="22" t="s">
        <v>3099</v>
      </c>
      <c r="O182" s="22" t="s">
        <v>45</v>
      </c>
      <c r="P182" s="22" t="s">
        <v>45</v>
      </c>
      <c r="Q182" s="22" t="s">
        <v>45</v>
      </c>
      <c r="R182" s="22" t="s">
        <v>45</v>
      </c>
      <c r="S182" s="22" t="s">
        <v>45</v>
      </c>
      <c r="T182" s="22" t="s">
        <v>2002</v>
      </c>
      <c r="U182" s="22" t="s">
        <v>45</v>
      </c>
      <c r="V182" s="22" t="s">
        <v>45</v>
      </c>
      <c r="W182" s="22" t="s">
        <v>4982</v>
      </c>
      <c r="X182" s="22" t="s">
        <v>3095</v>
      </c>
      <c r="Y182" s="22" t="s">
        <v>3095</v>
      </c>
      <c r="Z182" s="22" t="s">
        <v>3095</v>
      </c>
      <c r="AA182" s="22" t="s">
        <v>3095</v>
      </c>
      <c r="AB182" s="22" t="s">
        <v>3095</v>
      </c>
      <c r="AC182" s="22" t="s">
        <v>3095</v>
      </c>
      <c r="AD182" s="22" t="s">
        <v>3095</v>
      </c>
      <c r="AE182" s="22" t="s">
        <v>3095</v>
      </c>
      <c r="AF182" s="22" t="s">
        <v>3095</v>
      </c>
    </row>
    <row r="183" ht="45.0" customHeight="1">
      <c r="A183" s="55" t="s">
        <v>822</v>
      </c>
      <c r="B183" s="62" t="s">
        <v>3124</v>
      </c>
      <c r="C183" s="22" t="str">
        <f>IMAGE("https://raw.githubusercontent.com/ltdimages/images/refs/heads/main/ClothTopsTshirtSleevelessTankTop_00.png")</f>
        <v/>
      </c>
      <c r="D183" s="22" t="str">
        <f>IMAGE("https://raw.githubusercontent.com/ltdimages/images/refs/heads/main/ClothTopsTshirtSleevelessTankTop_01.png")</f>
        <v/>
      </c>
      <c r="E183" s="22" t="str">
        <f>IMAGE("https://raw.githubusercontent.com/ltdimages/images/refs/heads/main/ClothTopsTshirtSleevelessTankTop_02.png")</f>
        <v/>
      </c>
      <c r="F183" s="22" t="str">
        <f>IMAGE("https://raw.githubusercontent.com/ltdimages/images/refs/heads/main/ClothTopsTshirtSleevelessTankTop_03.png")</f>
        <v/>
      </c>
      <c r="G183" s="22" t="str">
        <f>IMAGE("https://raw.githubusercontent.com/ltdimages/images/refs/heads/main/ClothTopsTshirtSleevelessTankTop_04.png")</f>
        <v/>
      </c>
      <c r="H183" s="22" t="str">
        <f>IMAGE("https://raw.githubusercontent.com/ltdimages/images/refs/heads/main/ClothTopsTshirtSleevelessTankTop_05.png")</f>
        <v/>
      </c>
      <c r="I183" s="22" t="str">
        <f>IMAGE("https://raw.githubusercontent.com/ltdimages/images/refs/heads/main/ClothTopsTshirtSleevelessTankTop_06.png")</f>
        <v/>
      </c>
      <c r="J183" s="22" t="str">
        <f>IMAGE("https://raw.githubusercontent.com/ltdimages/images/refs/heads/main/ClothTopsTshirtSleevelessTankTop_07.png")</f>
        <v/>
      </c>
      <c r="K183" s="63" t="s">
        <v>3103</v>
      </c>
      <c r="L183" s="23">
        <v>9.0</v>
      </c>
      <c r="M183" s="22" t="s">
        <v>3097</v>
      </c>
      <c r="N183" s="22" t="s">
        <v>3123</v>
      </c>
      <c r="O183" s="22" t="s">
        <v>45</v>
      </c>
      <c r="P183" s="22" t="s">
        <v>45</v>
      </c>
      <c r="Q183" s="22" t="s">
        <v>45</v>
      </c>
      <c r="R183" s="22" t="s">
        <v>45</v>
      </c>
      <c r="S183" s="22" t="s">
        <v>45</v>
      </c>
      <c r="T183" s="22" t="s">
        <v>2002</v>
      </c>
      <c r="U183" s="22" t="s">
        <v>45</v>
      </c>
      <c r="V183" s="22" t="s">
        <v>45</v>
      </c>
      <c r="W183" s="22" t="s">
        <v>4983</v>
      </c>
      <c r="X183" s="22" t="s">
        <v>3095</v>
      </c>
      <c r="Y183" s="22" t="s">
        <v>3095</v>
      </c>
      <c r="Z183" s="22" t="s">
        <v>3095</v>
      </c>
      <c r="AA183" s="22" t="s">
        <v>3095</v>
      </c>
      <c r="AB183" s="22" t="s">
        <v>3095</v>
      </c>
      <c r="AC183" s="22" t="s">
        <v>3095</v>
      </c>
      <c r="AD183" s="22" t="s">
        <v>3095</v>
      </c>
      <c r="AE183" s="22" t="s">
        <v>3095</v>
      </c>
      <c r="AF183" s="22" t="s">
        <v>3095</v>
      </c>
    </row>
    <row r="184" ht="45.0" customHeight="1">
      <c r="A184" s="55" t="s">
        <v>826</v>
      </c>
      <c r="B184" s="62" t="s">
        <v>3750</v>
      </c>
      <c r="C184" s="22" t="str">
        <f>IMAGE("https://raw.githubusercontent.com/ltdimages/images/refs/heads/main/ClothTopsTshirtHalfScarf_00.png")</f>
        <v/>
      </c>
      <c r="D184" s="22" t="str">
        <f>IMAGE("https://raw.githubusercontent.com/ltdimages/images/refs/heads/main/ClothTopsTshirtHalfScarf_01.png")</f>
        <v/>
      </c>
      <c r="E184" s="22" t="str">
        <f>IMAGE("https://raw.githubusercontent.com/ltdimages/images/refs/heads/main/ClothTopsTshirtHalfScarf_02.png")</f>
        <v/>
      </c>
      <c r="F184" s="22" t="str">
        <f>IMAGE("https://raw.githubusercontent.com/ltdimages/images/refs/heads/main/ClothTopsTshirtHalfScarf_03.png")</f>
        <v/>
      </c>
      <c r="G184" s="22" t="s">
        <v>3095</v>
      </c>
      <c r="H184" s="22" t="s">
        <v>3095</v>
      </c>
      <c r="I184" s="22" t="s">
        <v>3095</v>
      </c>
      <c r="J184" s="22" t="s">
        <v>3095</v>
      </c>
      <c r="K184" s="63" t="s">
        <v>3103</v>
      </c>
      <c r="L184" s="23">
        <v>15.1</v>
      </c>
      <c r="M184" s="22" t="s">
        <v>3097</v>
      </c>
      <c r="N184" s="22" t="s">
        <v>3123</v>
      </c>
      <c r="O184" s="22" t="s">
        <v>45</v>
      </c>
      <c r="P184" s="22" t="s">
        <v>45</v>
      </c>
      <c r="Q184" s="22" t="s">
        <v>45</v>
      </c>
      <c r="R184" s="22" t="s">
        <v>45</v>
      </c>
      <c r="S184" s="22" t="s">
        <v>45</v>
      </c>
      <c r="T184" s="22" t="s">
        <v>2002</v>
      </c>
      <c r="U184" s="22" t="s">
        <v>45</v>
      </c>
      <c r="V184" s="22" t="s">
        <v>45</v>
      </c>
      <c r="W184" s="22" t="s">
        <v>4984</v>
      </c>
      <c r="X184" s="22" t="s">
        <v>3095</v>
      </c>
      <c r="Y184" s="22" t="s">
        <v>3095</v>
      </c>
      <c r="Z184" s="22" t="s">
        <v>3095</v>
      </c>
      <c r="AA184" s="22" t="s">
        <v>3095</v>
      </c>
      <c r="AB184" s="22" t="s">
        <v>3095</v>
      </c>
      <c r="AC184" s="22" t="s">
        <v>3095</v>
      </c>
      <c r="AD184" s="22" t="s">
        <v>3095</v>
      </c>
      <c r="AE184" s="22" t="s">
        <v>3095</v>
      </c>
      <c r="AF184" s="22" t="s">
        <v>3095</v>
      </c>
    </row>
    <row r="185" ht="45.0" customHeight="1">
      <c r="A185" s="55" t="s">
        <v>830</v>
      </c>
      <c r="B185" s="62" t="s">
        <v>4985</v>
      </c>
      <c r="C185" s="22" t="str">
        <f>IMAGE("https://raw.githubusercontent.com/ltdimages/images/refs/heads/main/ClothTopsTshirtLongTilden_00.png")</f>
        <v/>
      </c>
      <c r="D185" s="22" t="str">
        <f>IMAGE("https://raw.githubusercontent.com/ltdimages/images/refs/heads/main/ClothTopsTshirtLongTilden_01.png")</f>
        <v/>
      </c>
      <c r="E185" s="22" t="str">
        <f>IMAGE("https://raw.githubusercontent.com/ltdimages/images/refs/heads/main/ClothTopsTshirtLongTilden_02.png")</f>
        <v/>
      </c>
      <c r="F185" s="22" t="str">
        <f>IMAGE("https://raw.githubusercontent.com/ltdimages/images/refs/heads/main/ClothTopsTshirtLongTilden_03.png")</f>
        <v/>
      </c>
      <c r="G185" s="22" t="s">
        <v>3095</v>
      </c>
      <c r="H185" s="22" t="s">
        <v>3095</v>
      </c>
      <c r="I185" s="22" t="s">
        <v>3095</v>
      </c>
      <c r="J185" s="22" t="s">
        <v>3095</v>
      </c>
      <c r="K185" s="63" t="s">
        <v>3103</v>
      </c>
      <c r="L185" s="23">
        <v>11.0</v>
      </c>
      <c r="M185" s="22" t="s">
        <v>3097</v>
      </c>
      <c r="N185" s="22" t="s">
        <v>3099</v>
      </c>
      <c r="O185" s="22" t="s">
        <v>45</v>
      </c>
      <c r="P185" s="22" t="s">
        <v>45</v>
      </c>
      <c r="Q185" s="22" t="s">
        <v>45</v>
      </c>
      <c r="R185" s="22" t="s">
        <v>45</v>
      </c>
      <c r="S185" s="22" t="s">
        <v>45</v>
      </c>
      <c r="T185" s="22" t="s">
        <v>2002</v>
      </c>
      <c r="U185" s="22" t="s">
        <v>45</v>
      </c>
      <c r="V185" s="22" t="s">
        <v>45</v>
      </c>
      <c r="W185" s="22" t="s">
        <v>4986</v>
      </c>
      <c r="X185" s="22" t="s">
        <v>3095</v>
      </c>
      <c r="Y185" s="22" t="s">
        <v>3095</v>
      </c>
      <c r="Z185" s="22" t="s">
        <v>3095</v>
      </c>
      <c r="AA185" s="22" t="s">
        <v>3095</v>
      </c>
      <c r="AB185" s="22" t="s">
        <v>3095</v>
      </c>
      <c r="AC185" s="22" t="s">
        <v>3095</v>
      </c>
      <c r="AD185" s="22" t="s">
        <v>3095</v>
      </c>
      <c r="AE185" s="22" t="s">
        <v>3095</v>
      </c>
      <c r="AF185" s="22" t="s">
        <v>3095</v>
      </c>
    </row>
    <row r="186" ht="45.0" customHeight="1">
      <c r="A186" s="55" t="s">
        <v>835</v>
      </c>
      <c r="B186" s="62" t="s">
        <v>4119</v>
      </c>
      <c r="C186" s="22" t="str">
        <f>IMAGE("https://raw.githubusercontent.com/ltdimages/images/refs/heads/main/ClothTopsTshirtHalfTiedye_00.png")</f>
        <v/>
      </c>
      <c r="D186" s="22" t="str">
        <f>IMAGE("https://raw.githubusercontent.com/ltdimages/images/refs/heads/main/ClothTopsTshirtHalfTiedye_01.png")</f>
        <v/>
      </c>
      <c r="E186" s="22" t="str">
        <f>IMAGE("https://raw.githubusercontent.com/ltdimages/images/refs/heads/main/ClothTopsTshirtHalfTiedye_02.png")</f>
        <v/>
      </c>
      <c r="F186" s="22" t="str">
        <f>IMAGE("https://raw.githubusercontent.com/ltdimages/images/refs/heads/main/ClothTopsTshirtHalfTiedye_03.png")</f>
        <v/>
      </c>
      <c r="G186" s="22" t="s">
        <v>3095</v>
      </c>
      <c r="H186" s="22" t="s">
        <v>3095</v>
      </c>
      <c r="I186" s="22" t="s">
        <v>3095</v>
      </c>
      <c r="J186" s="22" t="s">
        <v>3095</v>
      </c>
      <c r="K186" s="63" t="s">
        <v>3103</v>
      </c>
      <c r="L186" s="23">
        <v>13.0</v>
      </c>
      <c r="M186" s="22" t="s">
        <v>3097</v>
      </c>
      <c r="N186" s="22" t="s">
        <v>3123</v>
      </c>
      <c r="O186" s="22" t="s">
        <v>45</v>
      </c>
      <c r="P186" s="22" t="s">
        <v>45</v>
      </c>
      <c r="Q186" s="22" t="s">
        <v>45</v>
      </c>
      <c r="R186" s="22" t="s">
        <v>45</v>
      </c>
      <c r="S186" s="22" t="s">
        <v>45</v>
      </c>
      <c r="T186" s="22" t="s">
        <v>2002</v>
      </c>
      <c r="U186" s="22" t="s">
        <v>45</v>
      </c>
      <c r="V186" s="22" t="s">
        <v>45</v>
      </c>
      <c r="W186" s="22" t="s">
        <v>4987</v>
      </c>
      <c r="X186" s="22" t="s">
        <v>3095</v>
      </c>
      <c r="Y186" s="22" t="s">
        <v>3095</v>
      </c>
      <c r="Z186" s="22" t="s">
        <v>3095</v>
      </c>
      <c r="AA186" s="22" t="s">
        <v>3095</v>
      </c>
      <c r="AB186" s="22" t="s">
        <v>3095</v>
      </c>
      <c r="AC186" s="22" t="s">
        <v>3095</v>
      </c>
      <c r="AD186" s="22" t="s">
        <v>3095</v>
      </c>
      <c r="AE186" s="22" t="s">
        <v>3095</v>
      </c>
      <c r="AF186" s="22" t="s">
        <v>3095</v>
      </c>
    </row>
    <row r="187" ht="45.0" customHeight="1">
      <c r="A187" s="55" t="s">
        <v>839</v>
      </c>
      <c r="B187" s="62" t="s">
        <v>4122</v>
      </c>
      <c r="C187" s="22" t="str">
        <f>IMAGE("https://raw.githubusercontent.com/ltdimages/images/refs/heads/main/ClothTopsOuterLongYokosuka_00.png")</f>
        <v/>
      </c>
      <c r="D187" s="22" t="str">
        <f>IMAGE("https://raw.githubusercontent.com/ltdimages/images/refs/heads/main/ClothTopsOuterLongYokosuka_01.png")</f>
        <v/>
      </c>
      <c r="E187" s="22" t="str">
        <f>IMAGE("https://raw.githubusercontent.com/ltdimages/images/refs/heads/main/ClothTopsOuterLongYokosuka_02.png")</f>
        <v/>
      </c>
      <c r="F187" s="22" t="str">
        <f>IMAGE("https://raw.githubusercontent.com/ltdimages/images/refs/heads/main/ClothTopsOuterLongYokosuka_03.png")</f>
        <v/>
      </c>
      <c r="G187" s="22" t="str">
        <f>IMAGE("https://raw.githubusercontent.com/ltdimages/images/refs/heads/main/ClothTopsOuterLongYokosuka_04.png")</f>
        <v/>
      </c>
      <c r="H187" s="22" t="str">
        <f>IMAGE("https://raw.githubusercontent.com/ltdimages/images/refs/heads/main/ClothTopsOuterLongYokosuka_05.png")</f>
        <v/>
      </c>
      <c r="I187" s="22" t="str">
        <f>IMAGE("https://raw.githubusercontent.com/ltdimages/images/refs/heads/main/ClothTopsOuterLongYokosuka_06.png")</f>
        <v/>
      </c>
      <c r="J187" s="22" t="str">
        <f>IMAGE("https://raw.githubusercontent.com/ltdimages/images/refs/heads/main/ClothTopsOuterLongYokosuka_07.png")</f>
        <v/>
      </c>
      <c r="K187" s="63" t="s">
        <v>3103</v>
      </c>
      <c r="L187" s="23">
        <v>12.0</v>
      </c>
      <c r="M187" s="22" t="s">
        <v>3097</v>
      </c>
      <c r="N187" s="22" t="s">
        <v>3099</v>
      </c>
      <c r="O187" s="22" t="s">
        <v>45</v>
      </c>
      <c r="P187" s="22" t="s">
        <v>45</v>
      </c>
      <c r="Q187" s="22" t="s">
        <v>45</v>
      </c>
      <c r="R187" s="22" t="s">
        <v>45</v>
      </c>
      <c r="S187" s="22" t="s">
        <v>45</v>
      </c>
      <c r="T187" s="22" t="s">
        <v>2002</v>
      </c>
      <c r="U187" s="22" t="s">
        <v>45</v>
      </c>
      <c r="V187" s="22" t="s">
        <v>45</v>
      </c>
      <c r="W187" s="22" t="s">
        <v>4988</v>
      </c>
      <c r="X187" s="22" t="s">
        <v>3095</v>
      </c>
      <c r="Y187" s="22" t="s">
        <v>3095</v>
      </c>
      <c r="Z187" s="22" t="s">
        <v>3095</v>
      </c>
      <c r="AA187" s="22" t="s">
        <v>3095</v>
      </c>
      <c r="AB187" s="22" t="s">
        <v>3095</v>
      </c>
      <c r="AC187" s="22" t="s">
        <v>3095</v>
      </c>
      <c r="AD187" s="22" t="s">
        <v>3095</v>
      </c>
      <c r="AE187" s="22" t="s">
        <v>3095</v>
      </c>
      <c r="AF187" s="22" t="s">
        <v>3095</v>
      </c>
    </row>
    <row r="188" ht="45.0" customHeight="1">
      <c r="A188" s="55" t="s">
        <v>844</v>
      </c>
      <c r="B188" s="62" t="s">
        <v>4135</v>
      </c>
      <c r="C188" s="22" t="str">
        <f>IMAGE("https://raw.githubusercontent.com/ltdimages/images/refs/heads/main/ClothTopsYshirtLongJersey_00.png")</f>
        <v/>
      </c>
      <c r="D188" s="22" t="str">
        <f>IMAGE("https://raw.githubusercontent.com/ltdimages/images/refs/heads/main/ClothTopsYshirtLongJersey_01.png")</f>
        <v/>
      </c>
      <c r="E188" s="22" t="str">
        <f>IMAGE("https://raw.githubusercontent.com/ltdimages/images/refs/heads/main/ClothTopsYshirtLongJersey_02.png")</f>
        <v/>
      </c>
      <c r="F188" s="22" t="str">
        <f>IMAGE("https://raw.githubusercontent.com/ltdimages/images/refs/heads/main/ClothTopsYshirtLongJersey_03.png")</f>
        <v/>
      </c>
      <c r="G188" s="22" t="str">
        <f>IMAGE("https://raw.githubusercontent.com/ltdimages/images/refs/heads/main/ClothTopsYshirtLongJersey_04.png")</f>
        <v/>
      </c>
      <c r="H188" s="22" t="str">
        <f>IMAGE("https://raw.githubusercontent.com/ltdimages/images/refs/heads/main/ClothTopsYshirtLongJersey_05.png")</f>
        <v/>
      </c>
      <c r="I188" s="22" t="str">
        <f>IMAGE("https://raw.githubusercontent.com/ltdimages/images/refs/heads/main/ClothTopsYshirtLongJersey_06.png")</f>
        <v/>
      </c>
      <c r="J188" s="22" t="str">
        <f>IMAGE("https://raw.githubusercontent.com/ltdimages/images/refs/heads/main/ClothTopsYshirtLongJersey_07.png")</f>
        <v/>
      </c>
      <c r="K188" s="63" t="s">
        <v>3103</v>
      </c>
      <c r="L188" s="23">
        <v>11.0</v>
      </c>
      <c r="M188" s="22" t="s">
        <v>3097</v>
      </c>
      <c r="N188" s="22" t="s">
        <v>3099</v>
      </c>
      <c r="O188" s="22" t="s">
        <v>45</v>
      </c>
      <c r="P188" s="22" t="s">
        <v>45</v>
      </c>
      <c r="Q188" s="22" t="s">
        <v>45</v>
      </c>
      <c r="R188" s="22" t="s">
        <v>45</v>
      </c>
      <c r="S188" s="22" t="s">
        <v>45</v>
      </c>
      <c r="T188" s="22" t="s">
        <v>2002</v>
      </c>
      <c r="U188" s="22" t="s">
        <v>45</v>
      </c>
      <c r="V188" s="22" t="s">
        <v>45</v>
      </c>
      <c r="W188" s="22" t="s">
        <v>4989</v>
      </c>
      <c r="X188" s="22" t="s">
        <v>3095</v>
      </c>
      <c r="Y188" s="22" t="s">
        <v>3095</v>
      </c>
      <c r="Z188" s="22" t="s">
        <v>3095</v>
      </c>
      <c r="AA188" s="22" t="s">
        <v>3095</v>
      </c>
      <c r="AB188" s="22" t="s">
        <v>3095</v>
      </c>
      <c r="AC188" s="22" t="s">
        <v>3095</v>
      </c>
      <c r="AD188" s="22" t="s">
        <v>3095</v>
      </c>
      <c r="AE188" s="22" t="s">
        <v>3095</v>
      </c>
      <c r="AF188" s="22" t="s">
        <v>3095</v>
      </c>
    </row>
    <row r="189" ht="45.0" customHeight="1">
      <c r="A189" s="55" t="s">
        <v>848</v>
      </c>
      <c r="B189" s="62" t="s">
        <v>4146</v>
      </c>
      <c r="C189" s="22" t="str">
        <f>IMAGE("https://raw.githubusercontent.com/ltdimages/images/refs/heads/main/ClothTopsTshirtHalfCar_00.png")</f>
        <v/>
      </c>
      <c r="D189" s="22" t="str">
        <f>IMAGE("https://raw.githubusercontent.com/ltdimages/images/refs/heads/main/ClothTopsTshirtHalfCar_01.png")</f>
        <v/>
      </c>
      <c r="E189" s="22" t="str">
        <f>IMAGE("https://raw.githubusercontent.com/ltdimages/images/refs/heads/main/ClothTopsTshirtHalfCar_02.png")</f>
        <v/>
      </c>
      <c r="F189" s="22" t="str">
        <f>IMAGE("https://raw.githubusercontent.com/ltdimages/images/refs/heads/main/ClothTopsTshirtHalfCar_03.png")</f>
        <v/>
      </c>
      <c r="G189" s="22" t="str">
        <f>IMAGE("https://raw.githubusercontent.com/ltdimages/images/refs/heads/main/ClothTopsTshirtHalfCar_04.png")</f>
        <v/>
      </c>
      <c r="H189" s="22" t="s">
        <v>3095</v>
      </c>
      <c r="I189" s="22" t="s">
        <v>3095</v>
      </c>
      <c r="J189" s="22" t="s">
        <v>3095</v>
      </c>
      <c r="K189" s="63" t="s">
        <v>3103</v>
      </c>
      <c r="L189" s="23">
        <v>12.0</v>
      </c>
      <c r="M189" s="22" t="s">
        <v>3097</v>
      </c>
      <c r="N189" s="22" t="s">
        <v>3099</v>
      </c>
      <c r="O189" s="22" t="s">
        <v>45</v>
      </c>
      <c r="P189" s="22" t="s">
        <v>45</v>
      </c>
      <c r="Q189" s="22" t="s">
        <v>45</v>
      </c>
      <c r="R189" s="22" t="s">
        <v>45</v>
      </c>
      <c r="S189" s="22" t="s">
        <v>45</v>
      </c>
      <c r="T189" s="22" t="s">
        <v>2002</v>
      </c>
      <c r="U189" s="22" t="s">
        <v>45</v>
      </c>
      <c r="V189" s="22" t="s">
        <v>45</v>
      </c>
      <c r="W189" s="22" t="s">
        <v>4990</v>
      </c>
      <c r="X189" s="22" t="s">
        <v>3095</v>
      </c>
      <c r="Y189" s="22" t="s">
        <v>3095</v>
      </c>
      <c r="Z189" s="22" t="s">
        <v>3095</v>
      </c>
      <c r="AA189" s="22" t="s">
        <v>3095</v>
      </c>
      <c r="AB189" s="22" t="s">
        <v>3095</v>
      </c>
      <c r="AC189" s="22" t="s">
        <v>3095</v>
      </c>
      <c r="AD189" s="22" t="s">
        <v>3095</v>
      </c>
      <c r="AE189" s="22" t="s">
        <v>3095</v>
      </c>
      <c r="AF189" s="22" t="s">
        <v>3095</v>
      </c>
    </row>
    <row r="190" ht="45.0" customHeight="1">
      <c r="A190" s="55" t="s">
        <v>852</v>
      </c>
      <c r="B190" s="62" t="s">
        <v>3418</v>
      </c>
      <c r="C190" s="22" t="str">
        <f>IMAGE("https://raw.githubusercontent.com/ltdimages/images/refs/heads/main/ClothTopsCoatLongTrench_00.png")</f>
        <v/>
      </c>
      <c r="D190" s="22" t="str">
        <f>IMAGE("https://raw.githubusercontent.com/ltdimages/images/refs/heads/main/ClothTopsCoatLongTrench_01.png")</f>
        <v/>
      </c>
      <c r="E190" s="22" t="str">
        <f>IMAGE("https://raw.githubusercontent.com/ltdimages/images/refs/heads/main/ClothTopsCoatLongTrench_02.png")</f>
        <v/>
      </c>
      <c r="F190" s="22" t="s">
        <v>3095</v>
      </c>
      <c r="G190" s="22" t="s">
        <v>3095</v>
      </c>
      <c r="H190" s="22" t="s">
        <v>3095</v>
      </c>
      <c r="I190" s="22" t="s">
        <v>3095</v>
      </c>
      <c r="J190" s="22" t="s">
        <v>3095</v>
      </c>
      <c r="K190" s="63" t="s">
        <v>3103</v>
      </c>
      <c r="L190" s="23">
        <v>15.4</v>
      </c>
      <c r="M190" s="22" t="s">
        <v>3097</v>
      </c>
      <c r="N190" s="22" t="s">
        <v>3099</v>
      </c>
      <c r="O190" s="22" t="s">
        <v>45</v>
      </c>
      <c r="P190" s="22" t="s">
        <v>45</v>
      </c>
      <c r="Q190" s="22" t="s">
        <v>45</v>
      </c>
      <c r="R190" s="22" t="s">
        <v>45</v>
      </c>
      <c r="S190" s="22" t="s">
        <v>45</v>
      </c>
      <c r="T190" s="22" t="s">
        <v>2002</v>
      </c>
      <c r="U190" s="22" t="s">
        <v>45</v>
      </c>
      <c r="V190" s="22" t="s">
        <v>45</v>
      </c>
      <c r="W190" s="22" t="s">
        <v>4991</v>
      </c>
      <c r="X190" s="22" t="s">
        <v>3095</v>
      </c>
      <c r="Y190" s="22" t="s">
        <v>3095</v>
      </c>
      <c r="Z190" s="22" t="s">
        <v>3095</v>
      </c>
      <c r="AA190" s="22" t="s">
        <v>3095</v>
      </c>
      <c r="AB190" s="22" t="s">
        <v>3095</v>
      </c>
      <c r="AC190" s="22" t="s">
        <v>3095</v>
      </c>
      <c r="AD190" s="22" t="s">
        <v>3095</v>
      </c>
      <c r="AE190" s="22" t="s">
        <v>3095</v>
      </c>
      <c r="AF190" s="22" t="s">
        <v>3095</v>
      </c>
    </row>
    <row r="191" ht="45.0" customHeight="1">
      <c r="A191" s="55" t="s">
        <v>856</v>
      </c>
      <c r="B191" s="62" t="s">
        <v>4588</v>
      </c>
      <c r="C191" s="22" t="str">
        <f>IMAGE("https://raw.githubusercontent.com/ltdimages/images/refs/heads/main/ClothTopsCoatHalfTunic_00.png")</f>
        <v/>
      </c>
      <c r="D191" s="22" t="str">
        <f>IMAGE("https://raw.githubusercontent.com/ltdimages/images/refs/heads/main/ClothTopsCoatHalfTunic_01.png")</f>
        <v/>
      </c>
      <c r="E191" s="22" t="str">
        <f>IMAGE("https://raw.githubusercontent.com/ltdimages/images/refs/heads/main/ClothTopsCoatHalfTunic_02.png")</f>
        <v/>
      </c>
      <c r="F191" s="22" t="str">
        <f>IMAGE("https://raw.githubusercontent.com/ltdimages/images/refs/heads/main/ClothTopsCoatHalfTunic_03.png")</f>
        <v/>
      </c>
      <c r="G191" s="22" t="str">
        <f>IMAGE("https://raw.githubusercontent.com/ltdimages/images/refs/heads/main/ClothTopsCoatHalfTunic_04.png")</f>
        <v/>
      </c>
      <c r="H191" s="22" t="str">
        <f>IMAGE("https://raw.githubusercontent.com/ltdimages/images/refs/heads/main/ClothTopsCoatHalfTunic_05.png")</f>
        <v/>
      </c>
      <c r="I191" s="22" t="str">
        <f>IMAGE("https://raw.githubusercontent.com/ltdimages/images/refs/heads/main/ClothTopsCoatHalfTunic_06.png")</f>
        <v/>
      </c>
      <c r="J191" s="22" t="str">
        <f>IMAGE("https://raw.githubusercontent.com/ltdimages/images/refs/heads/main/ClothTopsCoatHalfTunic_07.png")</f>
        <v/>
      </c>
      <c r="K191" s="63" t="s">
        <v>3103</v>
      </c>
      <c r="L191" s="23">
        <v>13.0</v>
      </c>
      <c r="M191" s="22" t="s">
        <v>3097</v>
      </c>
      <c r="N191" s="22" t="s">
        <v>3123</v>
      </c>
      <c r="O191" s="22" t="s">
        <v>45</v>
      </c>
      <c r="P191" s="22" t="s">
        <v>45</v>
      </c>
      <c r="Q191" s="22" t="s">
        <v>45</v>
      </c>
      <c r="R191" s="22" t="s">
        <v>45</v>
      </c>
      <c r="S191" s="22" t="s">
        <v>45</v>
      </c>
      <c r="T191" s="22" t="s">
        <v>2002</v>
      </c>
      <c r="U191" s="22" t="s">
        <v>45</v>
      </c>
      <c r="V191" s="22" t="s">
        <v>45</v>
      </c>
      <c r="W191" s="22" t="s">
        <v>4992</v>
      </c>
      <c r="X191" s="22" t="s">
        <v>3095</v>
      </c>
      <c r="Y191" s="22" t="s">
        <v>3095</v>
      </c>
      <c r="Z191" s="22" t="s">
        <v>3095</v>
      </c>
      <c r="AA191" s="22" t="s">
        <v>3095</v>
      </c>
      <c r="AB191" s="22" t="s">
        <v>3095</v>
      </c>
      <c r="AC191" s="22" t="s">
        <v>3095</v>
      </c>
      <c r="AD191" s="22" t="s">
        <v>3095</v>
      </c>
      <c r="AE191" s="22" t="s">
        <v>3095</v>
      </c>
      <c r="AF191" s="22" t="s">
        <v>3095</v>
      </c>
    </row>
    <row r="192" ht="45.0" customHeight="1">
      <c r="A192" s="55" t="s">
        <v>860</v>
      </c>
      <c r="B192" s="62" t="s">
        <v>4284</v>
      </c>
      <c r="C192" s="22" t="str">
        <f>IMAGE("https://raw.githubusercontent.com/ltdimages/images/refs/heads/main/ClothTopsYshirtLongTurtleneckKnit_00.png")</f>
        <v/>
      </c>
      <c r="D192" s="22" t="str">
        <f>IMAGE("https://raw.githubusercontent.com/ltdimages/images/refs/heads/main/ClothTopsYshirtLongTurtleneckKnit_01.png")</f>
        <v/>
      </c>
      <c r="E192" s="22" t="str">
        <f>IMAGE("https://raw.githubusercontent.com/ltdimages/images/refs/heads/main/ClothTopsYshirtLongTurtleneckKnit_02.png")</f>
        <v/>
      </c>
      <c r="F192" s="22" t="str">
        <f>IMAGE("https://raw.githubusercontent.com/ltdimages/images/refs/heads/main/ClothTopsYshirtLongTurtleneckKnit_03.png")</f>
        <v/>
      </c>
      <c r="G192" s="22" t="str">
        <f>IMAGE("https://raw.githubusercontent.com/ltdimages/images/refs/heads/main/ClothTopsYshirtLongTurtleneckKnit_04.png")</f>
        <v/>
      </c>
      <c r="H192" s="22" t="str">
        <f>IMAGE("https://raw.githubusercontent.com/ltdimages/images/refs/heads/main/ClothTopsYshirtLongTurtleneckKnit_05.png")</f>
        <v/>
      </c>
      <c r="I192" s="22" t="s">
        <v>3095</v>
      </c>
      <c r="J192" s="22" t="s">
        <v>3095</v>
      </c>
      <c r="K192" s="63" t="s">
        <v>3103</v>
      </c>
      <c r="L192" s="23">
        <v>17.0</v>
      </c>
      <c r="M192" s="22" t="s">
        <v>3097</v>
      </c>
      <c r="N192" s="22" t="s">
        <v>3099</v>
      </c>
      <c r="O192" s="22" t="s">
        <v>45</v>
      </c>
      <c r="P192" s="22" t="s">
        <v>45</v>
      </c>
      <c r="Q192" s="22" t="s">
        <v>45</v>
      </c>
      <c r="R192" s="22" t="s">
        <v>45</v>
      </c>
      <c r="S192" s="22" t="s">
        <v>45</v>
      </c>
      <c r="T192" s="22" t="s">
        <v>2002</v>
      </c>
      <c r="U192" s="22" t="s">
        <v>45</v>
      </c>
      <c r="V192" s="22" t="s">
        <v>45</v>
      </c>
      <c r="W192" s="22" t="s">
        <v>4993</v>
      </c>
      <c r="X192" s="22" t="s">
        <v>3095</v>
      </c>
      <c r="Y192" s="22" t="s">
        <v>3095</v>
      </c>
      <c r="Z192" s="22" t="s">
        <v>3095</v>
      </c>
      <c r="AA192" s="22" t="s">
        <v>3095</v>
      </c>
      <c r="AB192" s="22" t="s">
        <v>3095</v>
      </c>
      <c r="AC192" s="22" t="s">
        <v>3095</v>
      </c>
      <c r="AD192" s="22" t="s">
        <v>3095</v>
      </c>
      <c r="AE192" s="22" t="s">
        <v>3095</v>
      </c>
      <c r="AF192" s="22" t="s">
        <v>3095</v>
      </c>
    </row>
    <row r="193" ht="45.0" customHeight="1">
      <c r="A193" s="55" t="s">
        <v>864</v>
      </c>
      <c r="B193" s="62" t="s">
        <v>4710</v>
      </c>
      <c r="C193" s="22" t="str">
        <f>IMAGE("https://raw.githubusercontent.com/ltdimages/images/refs/heads/main/ClothTopsYshirtLongBicolor_00.png")</f>
        <v/>
      </c>
      <c r="D193" s="22" t="str">
        <f>IMAGE("https://raw.githubusercontent.com/ltdimages/images/refs/heads/main/ClothTopsYshirtLongBicolor_01.png")</f>
        <v/>
      </c>
      <c r="E193" s="22" t="str">
        <f>IMAGE("https://raw.githubusercontent.com/ltdimages/images/refs/heads/main/ClothTopsYshirtLongBicolor_02.png")</f>
        <v/>
      </c>
      <c r="F193" s="22" t="str">
        <f>IMAGE("https://raw.githubusercontent.com/ltdimages/images/refs/heads/main/ClothTopsYshirtLongBicolor_03.png")</f>
        <v/>
      </c>
      <c r="G193" s="22" t="str">
        <f>IMAGE("https://raw.githubusercontent.com/ltdimages/images/refs/heads/main/ClothTopsYshirtLongBicolor_04.png")</f>
        <v/>
      </c>
      <c r="H193" s="22" t="s">
        <v>3095</v>
      </c>
      <c r="I193" s="22" t="s">
        <v>3095</v>
      </c>
      <c r="J193" s="22" t="s">
        <v>3095</v>
      </c>
      <c r="K193" s="63" t="s">
        <v>3103</v>
      </c>
      <c r="L193" s="23">
        <v>11.5</v>
      </c>
      <c r="M193" s="22" t="s">
        <v>3097</v>
      </c>
      <c r="N193" s="22" t="s">
        <v>3099</v>
      </c>
      <c r="O193" s="22" t="s">
        <v>45</v>
      </c>
      <c r="P193" s="22" t="s">
        <v>45</v>
      </c>
      <c r="Q193" s="22" t="s">
        <v>45</v>
      </c>
      <c r="R193" s="22" t="s">
        <v>45</v>
      </c>
      <c r="S193" s="22" t="s">
        <v>45</v>
      </c>
      <c r="T193" s="22" t="s">
        <v>2002</v>
      </c>
      <c r="U193" s="22" t="s">
        <v>45</v>
      </c>
      <c r="V193" s="22" t="s">
        <v>45</v>
      </c>
      <c r="W193" s="22" t="s">
        <v>4994</v>
      </c>
      <c r="X193" s="22" t="s">
        <v>3095</v>
      </c>
      <c r="Y193" s="22" t="s">
        <v>3095</v>
      </c>
      <c r="Z193" s="22" t="s">
        <v>3095</v>
      </c>
      <c r="AA193" s="22" t="s">
        <v>3095</v>
      </c>
      <c r="AB193" s="22" t="s">
        <v>3095</v>
      </c>
      <c r="AC193" s="22" t="s">
        <v>3095</v>
      </c>
      <c r="AD193" s="22" t="s">
        <v>3095</v>
      </c>
      <c r="AE193" s="22" t="s">
        <v>3095</v>
      </c>
      <c r="AF193" s="22" t="s">
        <v>3095</v>
      </c>
    </row>
    <row r="194" ht="45.0" customHeight="1">
      <c r="A194" s="55" t="s">
        <v>868</v>
      </c>
      <c r="B194" s="62" t="s">
        <v>3627</v>
      </c>
      <c r="C194" s="22" t="str">
        <f>IMAGE("https://raw.githubusercontent.com/ltdimages/images/refs/heads/main/ClothTopsOuterLongHoliday_00.png")</f>
        <v/>
      </c>
      <c r="D194" s="22" t="str">
        <f>IMAGE("https://raw.githubusercontent.com/ltdimages/images/refs/heads/main/ClothTopsOuterLongHoliday_01.png")</f>
        <v/>
      </c>
      <c r="E194" s="22" t="str">
        <f>IMAGE("https://raw.githubusercontent.com/ltdimages/images/refs/heads/main/ClothTopsOuterLongHoliday_02.png")</f>
        <v/>
      </c>
      <c r="F194" s="22" t="str">
        <f>IMAGE("https://raw.githubusercontent.com/ltdimages/images/refs/heads/main/ClothTopsOuterLongHoliday_03.png")</f>
        <v/>
      </c>
      <c r="G194" s="22" t="str">
        <f>IMAGE("https://raw.githubusercontent.com/ltdimages/images/refs/heads/main/ClothTopsOuterLongHoliday_04.png")</f>
        <v/>
      </c>
      <c r="H194" s="22" t="str">
        <f>IMAGE("https://raw.githubusercontent.com/ltdimages/images/refs/heads/main/ClothTopsOuterLongHoliday_05.png")</f>
        <v/>
      </c>
      <c r="I194" s="22" t="s">
        <v>3095</v>
      </c>
      <c r="J194" s="22" t="s">
        <v>3095</v>
      </c>
      <c r="K194" s="63" t="s">
        <v>3103</v>
      </c>
      <c r="L194" s="23">
        <v>14.3</v>
      </c>
      <c r="M194" s="22" t="s">
        <v>3097</v>
      </c>
      <c r="N194" s="22" t="s">
        <v>3114</v>
      </c>
      <c r="O194" s="22" t="s">
        <v>45</v>
      </c>
      <c r="P194" s="22" t="s">
        <v>45</v>
      </c>
      <c r="Q194" s="22" t="s">
        <v>45</v>
      </c>
      <c r="R194" s="22" t="s">
        <v>45</v>
      </c>
      <c r="S194" s="22" t="s">
        <v>45</v>
      </c>
      <c r="T194" s="22" t="s">
        <v>2002</v>
      </c>
      <c r="U194" s="22" t="s">
        <v>45</v>
      </c>
      <c r="V194" s="22" t="s">
        <v>45</v>
      </c>
      <c r="W194" s="22" t="s">
        <v>4995</v>
      </c>
      <c r="X194" s="22" t="s">
        <v>3095</v>
      </c>
      <c r="Y194" s="22" t="s">
        <v>3095</v>
      </c>
      <c r="Z194" s="22" t="s">
        <v>3095</v>
      </c>
      <c r="AA194" s="22" t="s">
        <v>3095</v>
      </c>
      <c r="AB194" s="22" t="s">
        <v>3095</v>
      </c>
      <c r="AC194" s="22" t="s">
        <v>3095</v>
      </c>
      <c r="AD194" s="22" t="s">
        <v>3095</v>
      </c>
      <c r="AE194" s="22" t="s">
        <v>3095</v>
      </c>
      <c r="AF194" s="22" t="s">
        <v>3095</v>
      </c>
    </row>
    <row r="195" ht="45.0" customHeight="1">
      <c r="A195" s="55" t="s">
        <v>872</v>
      </c>
      <c r="B195" s="62" t="s">
        <v>4167</v>
      </c>
      <c r="C195" s="22" t="str">
        <f>IMAGE("https://raw.githubusercontent.com/ltdimages/images/refs/heads/main/ClothTopsOuterLongCollege_00.png")</f>
        <v/>
      </c>
      <c r="D195" s="22" t="str">
        <f>IMAGE("https://raw.githubusercontent.com/ltdimages/images/refs/heads/main/ClothTopsOuterLongCollege_01.png")</f>
        <v/>
      </c>
      <c r="E195" s="22" t="str">
        <f>IMAGE("https://raw.githubusercontent.com/ltdimages/images/refs/heads/main/ClothTopsOuterLongCollege_02.png")</f>
        <v/>
      </c>
      <c r="F195" s="22" t="str">
        <f>IMAGE("https://raw.githubusercontent.com/ltdimages/images/refs/heads/main/ClothTopsOuterLongCollege_03.png")</f>
        <v/>
      </c>
      <c r="G195" s="22" t="str">
        <f>IMAGE("https://raw.githubusercontent.com/ltdimages/images/refs/heads/main/ClothTopsOuterLongCollege_04.png")</f>
        <v/>
      </c>
      <c r="H195" s="22" t="str">
        <f>IMAGE("https://raw.githubusercontent.com/ltdimages/images/refs/heads/main/ClothTopsOuterLongCollege_05.png")</f>
        <v/>
      </c>
      <c r="I195" s="22" t="str">
        <f>IMAGE("https://raw.githubusercontent.com/ltdimages/images/refs/heads/main/ClothTopsOuterLongCollege_06.png")</f>
        <v/>
      </c>
      <c r="J195" s="22" t="str">
        <f>IMAGE("https://raw.githubusercontent.com/ltdimages/images/refs/heads/main/ClothTopsOuterLongCollege_07.png")</f>
        <v/>
      </c>
      <c r="K195" s="63" t="s">
        <v>3103</v>
      </c>
      <c r="L195" s="23">
        <v>13.0</v>
      </c>
      <c r="M195" s="22" t="s">
        <v>3097</v>
      </c>
      <c r="N195" s="22" t="s">
        <v>3099</v>
      </c>
      <c r="O195" s="22" t="s">
        <v>45</v>
      </c>
      <c r="P195" s="22" t="s">
        <v>45</v>
      </c>
      <c r="Q195" s="22" t="s">
        <v>45</v>
      </c>
      <c r="R195" s="22" t="s">
        <v>45</v>
      </c>
      <c r="S195" s="22" t="s">
        <v>45</v>
      </c>
      <c r="T195" s="22" t="s">
        <v>2002</v>
      </c>
      <c r="U195" s="22" t="s">
        <v>45</v>
      </c>
      <c r="V195" s="22" t="s">
        <v>45</v>
      </c>
      <c r="W195" s="22" t="s">
        <v>4996</v>
      </c>
      <c r="X195" s="22" t="s">
        <v>3095</v>
      </c>
      <c r="Y195" s="22" t="s">
        <v>3095</v>
      </c>
      <c r="Z195" s="22" t="s">
        <v>3095</v>
      </c>
      <c r="AA195" s="22" t="s">
        <v>3095</v>
      </c>
      <c r="AB195" s="22" t="s">
        <v>3095</v>
      </c>
      <c r="AC195" s="22" t="s">
        <v>3095</v>
      </c>
      <c r="AD195" s="22" t="s">
        <v>3095</v>
      </c>
      <c r="AE195" s="22" t="s">
        <v>3095</v>
      </c>
      <c r="AF195" s="22" t="s">
        <v>3095</v>
      </c>
    </row>
    <row r="196" ht="45.0" customHeight="1">
      <c r="A196" s="55" t="s">
        <v>877</v>
      </c>
      <c r="B196" s="62" t="s">
        <v>4997</v>
      </c>
      <c r="C196" s="22" t="str">
        <f>IMAGE("https://raw.githubusercontent.com/ltdimages/images/refs/heads/main/ClothTopsYshirtLongMultipulVest_00.png")</f>
        <v/>
      </c>
      <c r="D196" s="22" t="str">
        <f>IMAGE("https://raw.githubusercontent.com/ltdimages/images/refs/heads/main/ClothTopsYshirtLongMultipulVest_01.png")</f>
        <v/>
      </c>
      <c r="E196" s="22" t="str">
        <f>IMAGE("https://raw.githubusercontent.com/ltdimages/images/refs/heads/main/ClothTopsYshirtLongMultipulVest_02.png")</f>
        <v/>
      </c>
      <c r="F196" s="22" t="s">
        <v>3095</v>
      </c>
      <c r="G196" s="22" t="s">
        <v>3095</v>
      </c>
      <c r="H196" s="22" t="s">
        <v>3095</v>
      </c>
      <c r="I196" s="22" t="s">
        <v>3095</v>
      </c>
      <c r="J196" s="22" t="s">
        <v>3095</v>
      </c>
      <c r="K196" s="63" t="s">
        <v>3103</v>
      </c>
      <c r="L196" s="23">
        <v>12.0</v>
      </c>
      <c r="M196" s="22" t="s">
        <v>3097</v>
      </c>
      <c r="N196" s="22" t="s">
        <v>3099</v>
      </c>
      <c r="O196" s="22" t="s">
        <v>45</v>
      </c>
      <c r="P196" s="22" t="s">
        <v>45</v>
      </c>
      <c r="Q196" s="22" t="s">
        <v>45</v>
      </c>
      <c r="R196" s="22" t="s">
        <v>45</v>
      </c>
      <c r="S196" s="22" t="s">
        <v>45</v>
      </c>
      <c r="T196" s="22" t="s">
        <v>2002</v>
      </c>
      <c r="U196" s="22" t="s">
        <v>45</v>
      </c>
      <c r="V196" s="22" t="s">
        <v>45</v>
      </c>
      <c r="W196" s="22" t="s">
        <v>4998</v>
      </c>
      <c r="X196" s="22" t="s">
        <v>3095</v>
      </c>
      <c r="Y196" s="22" t="s">
        <v>3095</v>
      </c>
      <c r="Z196" s="22" t="s">
        <v>3095</v>
      </c>
      <c r="AA196" s="22" t="s">
        <v>3095</v>
      </c>
      <c r="AB196" s="22" t="s">
        <v>3095</v>
      </c>
      <c r="AC196" s="22" t="s">
        <v>3095</v>
      </c>
      <c r="AD196" s="22" t="s">
        <v>3095</v>
      </c>
      <c r="AE196" s="22" t="s">
        <v>3095</v>
      </c>
      <c r="AF196" s="22" t="s">
        <v>3095</v>
      </c>
    </row>
    <row r="197" ht="45.0" customHeight="1">
      <c r="A197" s="55" t="s">
        <v>881</v>
      </c>
      <c r="B197" s="62" t="s">
        <v>4176</v>
      </c>
      <c r="C197" s="22" t="str">
        <f>IMAGE("https://raw.githubusercontent.com/ltdimages/images/refs/heads/main/ClothTopsMantleLongVampire_00.png")</f>
        <v/>
      </c>
      <c r="D197" s="22" t="str">
        <f>IMAGE("https://raw.githubusercontent.com/ltdimages/images/refs/heads/main/ClothTopsMantleLongVampire_01.png")</f>
        <v/>
      </c>
      <c r="E197" s="22" t="s">
        <v>3095</v>
      </c>
      <c r="F197" s="22" t="s">
        <v>3095</v>
      </c>
      <c r="G197" s="22" t="s">
        <v>3095</v>
      </c>
      <c r="H197" s="22" t="s">
        <v>3095</v>
      </c>
      <c r="I197" s="22" t="s">
        <v>3095</v>
      </c>
      <c r="J197" s="22" t="s">
        <v>3095</v>
      </c>
      <c r="K197" s="63" t="s">
        <v>3103</v>
      </c>
      <c r="L197" s="23">
        <v>31.5</v>
      </c>
      <c r="M197" s="22" t="s">
        <v>3097</v>
      </c>
      <c r="N197" s="22" t="s">
        <v>3099</v>
      </c>
      <c r="O197" s="22" t="s">
        <v>45</v>
      </c>
      <c r="P197" s="22" t="s">
        <v>45</v>
      </c>
      <c r="Q197" s="22" t="s">
        <v>45</v>
      </c>
      <c r="R197" s="22" t="s">
        <v>49</v>
      </c>
      <c r="S197" s="22" t="s">
        <v>45</v>
      </c>
      <c r="T197" s="22" t="s">
        <v>2002</v>
      </c>
      <c r="U197" s="22" t="s">
        <v>45</v>
      </c>
      <c r="V197" s="22" t="s">
        <v>45</v>
      </c>
      <c r="W197" s="22" t="s">
        <v>4999</v>
      </c>
      <c r="X197" s="22" t="s">
        <v>3095</v>
      </c>
      <c r="Y197" s="22" t="s">
        <v>3095</v>
      </c>
      <c r="Z197" s="22" t="s">
        <v>3095</v>
      </c>
      <c r="AA197" s="22" t="s">
        <v>3095</v>
      </c>
      <c r="AB197" s="22" t="s">
        <v>3095</v>
      </c>
      <c r="AC197" s="22" t="s">
        <v>3095</v>
      </c>
      <c r="AD197" s="22" t="s">
        <v>3095</v>
      </c>
      <c r="AE197" s="22" t="s">
        <v>3095</v>
      </c>
      <c r="AF197" s="22" t="s">
        <v>3095</v>
      </c>
    </row>
    <row r="198" ht="45.0" customHeight="1">
      <c r="A198" s="55" t="s">
        <v>885</v>
      </c>
      <c r="B198" s="62" t="s">
        <v>5000</v>
      </c>
      <c r="C198" s="22" t="str">
        <f>IMAGE("https://raw.githubusercontent.com/ltdimages/images/refs/heads/main/ClothTopsYshirtLongCollege_00.png")</f>
        <v/>
      </c>
      <c r="D198" s="22" t="str">
        <f>IMAGE("https://raw.githubusercontent.com/ltdimages/images/refs/heads/main/ClothTopsYshirtLongCollege_01.png")</f>
        <v/>
      </c>
      <c r="E198" s="22" t="str">
        <f>IMAGE("https://raw.githubusercontent.com/ltdimages/images/refs/heads/main/ClothTopsYshirtLongCollege_02.png")</f>
        <v/>
      </c>
      <c r="F198" s="22" t="str">
        <f>IMAGE("https://raw.githubusercontent.com/ltdimages/images/refs/heads/main/ClothTopsYshirtLongCollege_03.png")</f>
        <v/>
      </c>
      <c r="G198" s="22" t="str">
        <f>IMAGE("https://raw.githubusercontent.com/ltdimages/images/refs/heads/main/ClothTopsYshirtLongCollege_04.png")</f>
        <v/>
      </c>
      <c r="H198" s="22" t="str">
        <f>IMAGE("https://raw.githubusercontent.com/ltdimages/images/refs/heads/main/ClothTopsYshirtLongCollege_05.png")</f>
        <v/>
      </c>
      <c r="I198" s="22" t="s">
        <v>3095</v>
      </c>
      <c r="J198" s="22" t="s">
        <v>3095</v>
      </c>
      <c r="K198" s="63" t="s">
        <v>3103</v>
      </c>
      <c r="L198" s="23">
        <v>12.0</v>
      </c>
      <c r="M198" s="22" t="s">
        <v>3097</v>
      </c>
      <c r="N198" s="22" t="s">
        <v>3099</v>
      </c>
      <c r="O198" s="22" t="s">
        <v>45</v>
      </c>
      <c r="P198" s="22" t="s">
        <v>45</v>
      </c>
      <c r="Q198" s="22" t="s">
        <v>45</v>
      </c>
      <c r="R198" s="22" t="s">
        <v>45</v>
      </c>
      <c r="S198" s="22" t="s">
        <v>45</v>
      </c>
      <c r="T198" s="22" t="s">
        <v>2002</v>
      </c>
      <c r="U198" s="22" t="s">
        <v>45</v>
      </c>
      <c r="V198" s="22" t="s">
        <v>45</v>
      </c>
      <c r="W198" s="22" t="s">
        <v>5001</v>
      </c>
      <c r="X198" s="22" t="s">
        <v>3095</v>
      </c>
      <c r="Y198" s="22" t="s">
        <v>3095</v>
      </c>
      <c r="Z198" s="22" t="s">
        <v>3095</v>
      </c>
      <c r="AA198" s="22" t="s">
        <v>3095</v>
      </c>
      <c r="AB198" s="22" t="s">
        <v>3095</v>
      </c>
      <c r="AC198" s="22" t="s">
        <v>3095</v>
      </c>
      <c r="AD198" s="22" t="s">
        <v>3095</v>
      </c>
      <c r="AE198" s="22" t="s">
        <v>3095</v>
      </c>
      <c r="AF198" s="22" t="s">
        <v>3095</v>
      </c>
    </row>
    <row r="199" ht="45.0" customHeight="1">
      <c r="A199" s="55" t="s">
        <v>889</v>
      </c>
      <c r="B199" s="62" t="s">
        <v>5002</v>
      </c>
      <c r="C199" s="22" t="str">
        <f>IMAGE("https://raw.githubusercontent.com/ltdimages/images/refs/heads/main/ClothTopsOuterLongStadium_00.png")</f>
        <v/>
      </c>
      <c r="D199" s="22" t="str">
        <f>IMAGE("https://raw.githubusercontent.com/ltdimages/images/refs/heads/main/ClothTopsOuterLongStadium_01.png")</f>
        <v/>
      </c>
      <c r="E199" s="22" t="str">
        <f>IMAGE("https://raw.githubusercontent.com/ltdimages/images/refs/heads/main/ClothTopsOuterLongStadium_02.png")</f>
        <v/>
      </c>
      <c r="F199" s="22" t="str">
        <f>IMAGE("https://raw.githubusercontent.com/ltdimages/images/refs/heads/main/ClothTopsOuterLongStadium_03.png")</f>
        <v/>
      </c>
      <c r="G199" s="22" t="str">
        <f>IMAGE("https://raw.githubusercontent.com/ltdimages/images/refs/heads/main/ClothTopsOuterLongStadium_04.png")</f>
        <v/>
      </c>
      <c r="H199" s="22" t="str">
        <f>IMAGE("https://raw.githubusercontent.com/ltdimages/images/refs/heads/main/ClothTopsOuterLongStadium_05.png")</f>
        <v/>
      </c>
      <c r="I199" s="22" t="str">
        <f>IMAGE("https://raw.githubusercontent.com/ltdimages/images/refs/heads/main/ClothTopsOuterLongStadium_06.png")</f>
        <v/>
      </c>
      <c r="J199" s="22" t="str">
        <f>IMAGE("https://raw.githubusercontent.com/ltdimages/images/refs/heads/main/ClothTopsOuterLongStadium_07.png")</f>
        <v/>
      </c>
      <c r="K199" s="63" t="s">
        <v>3103</v>
      </c>
      <c r="L199" s="23">
        <v>12.0</v>
      </c>
      <c r="M199" s="22" t="s">
        <v>3097</v>
      </c>
      <c r="N199" s="22" t="s">
        <v>3114</v>
      </c>
      <c r="O199" s="22" t="s">
        <v>45</v>
      </c>
      <c r="P199" s="22" t="s">
        <v>45</v>
      </c>
      <c r="Q199" s="22" t="s">
        <v>45</v>
      </c>
      <c r="R199" s="22" t="s">
        <v>45</v>
      </c>
      <c r="S199" s="22" t="s">
        <v>45</v>
      </c>
      <c r="T199" s="22" t="s">
        <v>2002</v>
      </c>
      <c r="U199" s="22" t="s">
        <v>45</v>
      </c>
      <c r="V199" s="22" t="s">
        <v>45</v>
      </c>
      <c r="W199" s="22" t="s">
        <v>5003</v>
      </c>
      <c r="X199" s="22" t="s">
        <v>3095</v>
      </c>
      <c r="Y199" s="22" t="s">
        <v>3095</v>
      </c>
      <c r="Z199" s="22" t="s">
        <v>3095</v>
      </c>
      <c r="AA199" s="22" t="s">
        <v>3095</v>
      </c>
      <c r="AB199" s="22" t="s">
        <v>3095</v>
      </c>
      <c r="AC199" s="22" t="s">
        <v>3095</v>
      </c>
      <c r="AD199" s="22" t="s">
        <v>3095</v>
      </c>
      <c r="AE199" s="22" t="s">
        <v>3095</v>
      </c>
      <c r="AF199" s="22" t="s">
        <v>3095</v>
      </c>
    </row>
    <row r="200" ht="45.0" customHeight="1">
      <c r="A200" s="55" t="s">
        <v>893</v>
      </c>
      <c r="B200" s="62" t="s">
        <v>5004</v>
      </c>
      <c r="C200" s="22" t="str">
        <f>IMAGE("https://raw.githubusercontent.com/ltdimages/images/refs/heads/main/ClothTopsYshirtLongStripe_00.png")</f>
        <v/>
      </c>
      <c r="D200" s="22" t="str">
        <f>IMAGE("https://raw.githubusercontent.com/ltdimages/images/refs/heads/main/ClothTopsYshirtLongStripe_01.png")</f>
        <v/>
      </c>
      <c r="E200" s="22" t="str">
        <f>IMAGE("https://raw.githubusercontent.com/ltdimages/images/refs/heads/main/ClothTopsYshirtLongStripe_02.png")</f>
        <v/>
      </c>
      <c r="F200" s="22" t="str">
        <f>IMAGE("https://raw.githubusercontent.com/ltdimages/images/refs/heads/main/ClothTopsYshirtLongStripe_03.png")</f>
        <v/>
      </c>
      <c r="G200" s="22" t="str">
        <f>IMAGE("https://raw.githubusercontent.com/ltdimages/images/refs/heads/main/ClothTopsYshirtLongStripe_04.png")</f>
        <v/>
      </c>
      <c r="H200" s="22" t="str">
        <f>IMAGE("https://raw.githubusercontent.com/ltdimages/images/refs/heads/main/ClothTopsYshirtLongStripe_05.png")</f>
        <v/>
      </c>
      <c r="I200" s="22" t="s">
        <v>3095</v>
      </c>
      <c r="J200" s="22" t="s">
        <v>3095</v>
      </c>
      <c r="K200" s="63" t="s">
        <v>3103</v>
      </c>
      <c r="L200" s="23">
        <v>11.5</v>
      </c>
      <c r="M200" s="22" t="s">
        <v>3097</v>
      </c>
      <c r="N200" s="22" t="s">
        <v>3099</v>
      </c>
      <c r="O200" s="22" t="s">
        <v>45</v>
      </c>
      <c r="P200" s="22" t="s">
        <v>45</v>
      </c>
      <c r="Q200" s="22" t="s">
        <v>45</v>
      </c>
      <c r="R200" s="22" t="s">
        <v>45</v>
      </c>
      <c r="S200" s="22" t="s">
        <v>45</v>
      </c>
      <c r="T200" s="22" t="s">
        <v>2002</v>
      </c>
      <c r="U200" s="22" t="s">
        <v>45</v>
      </c>
      <c r="V200" s="22" t="s">
        <v>45</v>
      </c>
      <c r="W200" s="22" t="s">
        <v>5005</v>
      </c>
      <c r="X200" s="22" t="s">
        <v>3095</v>
      </c>
      <c r="Y200" s="22" t="s">
        <v>3095</v>
      </c>
      <c r="Z200" s="22" t="s">
        <v>3095</v>
      </c>
      <c r="AA200" s="22" t="s">
        <v>3095</v>
      </c>
      <c r="AB200" s="22" t="s">
        <v>3095</v>
      </c>
      <c r="AC200" s="22" t="s">
        <v>3095</v>
      </c>
      <c r="AD200" s="22" t="s">
        <v>3095</v>
      </c>
      <c r="AE200" s="22" t="s">
        <v>3095</v>
      </c>
      <c r="AF200" s="22" t="s">
        <v>3095</v>
      </c>
    </row>
    <row r="201" ht="45.0" customHeight="1">
      <c r="A201" s="55" t="s">
        <v>897</v>
      </c>
      <c r="B201" s="62" t="s">
        <v>5006</v>
      </c>
      <c r="C201" s="22" t="str">
        <f>IMAGE("https://raw.githubusercontent.com/ltdimages/images/refs/heads/main/ClothTopsTshirtHalfStripe_00.png")</f>
        <v/>
      </c>
      <c r="D201" s="22" t="str">
        <f>IMAGE("https://raw.githubusercontent.com/ltdimages/images/refs/heads/main/ClothTopsTshirtHalfStripe_01.png")</f>
        <v/>
      </c>
      <c r="E201" s="22" t="str">
        <f>IMAGE("https://raw.githubusercontent.com/ltdimages/images/refs/heads/main/ClothTopsTshirtHalfStripe_02.png")</f>
        <v/>
      </c>
      <c r="F201" s="22" t="str">
        <f>IMAGE("https://raw.githubusercontent.com/ltdimages/images/refs/heads/main/ClothTopsTshirtHalfStripe_03.png")</f>
        <v/>
      </c>
      <c r="G201" s="22" t="str">
        <f>IMAGE("https://raw.githubusercontent.com/ltdimages/images/refs/heads/main/ClothTopsTshirtHalfStripe_04.png")</f>
        <v/>
      </c>
      <c r="H201" s="22" t="str">
        <f>IMAGE("https://raw.githubusercontent.com/ltdimages/images/refs/heads/main/ClothTopsTshirtHalfStripe_05.png")</f>
        <v/>
      </c>
      <c r="I201" s="22" t="str">
        <f>IMAGE("https://raw.githubusercontent.com/ltdimages/images/refs/heads/main/ClothTopsTshirtHalfStripe_06.png")</f>
        <v/>
      </c>
      <c r="J201" s="22" t="str">
        <f>IMAGE("https://raw.githubusercontent.com/ltdimages/images/refs/heads/main/ClothTopsTshirtHalfStripe_07.png")</f>
        <v/>
      </c>
      <c r="K201" s="63" t="s">
        <v>3103</v>
      </c>
      <c r="L201" s="23">
        <v>12.2</v>
      </c>
      <c r="M201" s="22" t="s">
        <v>3097</v>
      </c>
      <c r="N201" s="22" t="s">
        <v>3099</v>
      </c>
      <c r="O201" s="22" t="s">
        <v>45</v>
      </c>
      <c r="P201" s="22" t="s">
        <v>45</v>
      </c>
      <c r="Q201" s="22" t="s">
        <v>45</v>
      </c>
      <c r="R201" s="22" t="s">
        <v>45</v>
      </c>
      <c r="S201" s="22" t="s">
        <v>45</v>
      </c>
      <c r="T201" s="22" t="s">
        <v>2002</v>
      </c>
      <c r="U201" s="22" t="s">
        <v>45</v>
      </c>
      <c r="V201" s="22" t="s">
        <v>45</v>
      </c>
      <c r="W201" s="22" t="s">
        <v>5007</v>
      </c>
      <c r="X201" s="22" t="s">
        <v>3095</v>
      </c>
      <c r="Y201" s="22" t="s">
        <v>3095</v>
      </c>
      <c r="Z201" s="22" t="s">
        <v>3095</v>
      </c>
      <c r="AA201" s="22" t="s">
        <v>3095</v>
      </c>
      <c r="AB201" s="22" t="s">
        <v>3095</v>
      </c>
      <c r="AC201" s="22" t="s">
        <v>3095</v>
      </c>
      <c r="AD201" s="22" t="s">
        <v>3095</v>
      </c>
      <c r="AE201" s="22" t="s">
        <v>3095</v>
      </c>
      <c r="AF201" s="22" t="s">
        <v>3095</v>
      </c>
    </row>
    <row r="202" ht="45.0" customHeight="1">
      <c r="A202" s="55" t="s">
        <v>901</v>
      </c>
      <c r="B202" s="62" t="s">
        <v>3309</v>
      </c>
      <c r="C202" s="22" t="str">
        <f>IMAGE("https://raw.githubusercontent.com/ltdimages/images/refs/heads/main/ClothTopsTshirtHalfGilet_00.png")</f>
        <v/>
      </c>
      <c r="D202" s="22" t="str">
        <f>IMAGE("https://raw.githubusercontent.com/ltdimages/images/refs/heads/main/ClothTopsTshirtHalfGilet_01.png")</f>
        <v/>
      </c>
      <c r="E202" s="22" t="str">
        <f>IMAGE("https://raw.githubusercontent.com/ltdimages/images/refs/heads/main/ClothTopsTshirtHalfGilet_02.png")</f>
        <v/>
      </c>
      <c r="F202" s="22" t="str">
        <f>IMAGE("https://raw.githubusercontent.com/ltdimages/images/refs/heads/main/ClothTopsTshirtHalfGilet_03.png")</f>
        <v/>
      </c>
      <c r="G202" s="22" t="s">
        <v>3095</v>
      </c>
      <c r="H202" s="22" t="s">
        <v>3095</v>
      </c>
      <c r="I202" s="22" t="s">
        <v>3095</v>
      </c>
      <c r="J202" s="22" t="s">
        <v>3095</v>
      </c>
      <c r="K202" s="63" t="s">
        <v>3103</v>
      </c>
      <c r="L202" s="23">
        <v>13.0</v>
      </c>
      <c r="M202" s="22" t="s">
        <v>3097</v>
      </c>
      <c r="N202" s="22" t="s">
        <v>3099</v>
      </c>
      <c r="O202" s="22" t="s">
        <v>45</v>
      </c>
      <c r="P202" s="22" t="s">
        <v>45</v>
      </c>
      <c r="Q202" s="22" t="s">
        <v>45</v>
      </c>
      <c r="R202" s="22" t="s">
        <v>45</v>
      </c>
      <c r="S202" s="22" t="s">
        <v>45</v>
      </c>
      <c r="T202" s="22" t="s">
        <v>2002</v>
      </c>
      <c r="U202" s="22" t="s">
        <v>45</v>
      </c>
      <c r="V202" s="22" t="s">
        <v>45</v>
      </c>
      <c r="W202" s="22" t="s">
        <v>5008</v>
      </c>
      <c r="X202" s="22" t="s">
        <v>3095</v>
      </c>
      <c r="Y202" s="22" t="s">
        <v>3095</v>
      </c>
      <c r="Z202" s="22" t="s">
        <v>3095</v>
      </c>
      <c r="AA202" s="22" t="s">
        <v>3095</v>
      </c>
      <c r="AB202" s="22" t="s">
        <v>3095</v>
      </c>
      <c r="AC202" s="22" t="s">
        <v>3095</v>
      </c>
      <c r="AD202" s="22" t="s">
        <v>3095</v>
      </c>
      <c r="AE202" s="22" t="s">
        <v>3095</v>
      </c>
      <c r="AF202" s="22" t="s">
        <v>3095</v>
      </c>
    </row>
    <row r="203" ht="45.0" customHeight="1">
      <c r="A203" s="55" t="s">
        <v>905</v>
      </c>
      <c r="B203" s="62" t="s">
        <v>4189</v>
      </c>
      <c r="C203" s="22" t="str">
        <f>IMAGE("https://raw.githubusercontent.com/ltdimages/images/refs/heads/main/ClothTopsMantleLongViking_00.png")</f>
        <v/>
      </c>
      <c r="D203" s="22" t="str">
        <f>IMAGE("https://raw.githubusercontent.com/ltdimages/images/refs/heads/main/ClothTopsMantleLongViking_01.png")</f>
        <v/>
      </c>
      <c r="E203" s="22" t="str">
        <f>IMAGE("https://raw.githubusercontent.com/ltdimages/images/refs/heads/main/ClothTopsMantleLongViking_02.png")</f>
        <v/>
      </c>
      <c r="F203" s="22" t="str">
        <f>IMAGE("https://raw.githubusercontent.com/ltdimages/images/refs/heads/main/ClothTopsMantleLongViking_03.png")</f>
        <v/>
      </c>
      <c r="G203" s="22" t="s">
        <v>3095</v>
      </c>
      <c r="H203" s="22" t="s">
        <v>3095</v>
      </c>
      <c r="I203" s="22" t="s">
        <v>3095</v>
      </c>
      <c r="J203" s="22" t="s">
        <v>3095</v>
      </c>
      <c r="K203" s="63" t="s">
        <v>3103</v>
      </c>
      <c r="L203" s="23">
        <v>33.0</v>
      </c>
      <c r="M203" s="22" t="s">
        <v>3097</v>
      </c>
      <c r="N203" s="22" t="s">
        <v>3114</v>
      </c>
      <c r="O203" s="22" t="s">
        <v>45</v>
      </c>
      <c r="P203" s="22" t="s">
        <v>45</v>
      </c>
      <c r="Q203" s="22" t="s">
        <v>45</v>
      </c>
      <c r="R203" s="22" t="s">
        <v>49</v>
      </c>
      <c r="S203" s="22" t="s">
        <v>45</v>
      </c>
      <c r="T203" s="22" t="s">
        <v>2002</v>
      </c>
      <c r="U203" s="22" t="s">
        <v>45</v>
      </c>
      <c r="V203" s="22" t="s">
        <v>45</v>
      </c>
      <c r="W203" s="22" t="s">
        <v>5009</v>
      </c>
      <c r="X203" s="22" t="s">
        <v>3095</v>
      </c>
      <c r="Y203" s="22" t="s">
        <v>3095</v>
      </c>
      <c r="Z203" s="22" t="s">
        <v>3095</v>
      </c>
      <c r="AA203" s="22" t="s">
        <v>3095</v>
      </c>
      <c r="AB203" s="22" t="s">
        <v>3095</v>
      </c>
      <c r="AC203" s="22" t="s">
        <v>3095</v>
      </c>
      <c r="AD203" s="22" t="s">
        <v>3095</v>
      </c>
      <c r="AE203" s="22" t="s">
        <v>3095</v>
      </c>
      <c r="AF203" s="22" t="s">
        <v>3095</v>
      </c>
    </row>
    <row r="204" ht="45.0" customHeight="1">
      <c r="A204" s="55" t="s">
        <v>909</v>
      </c>
      <c r="B204" s="62" t="s">
        <v>5010</v>
      </c>
      <c r="C204" s="22" t="str">
        <f>IMAGE("https://raw.githubusercontent.com/ltdimages/images/refs/heads/main/ClothTopsTshirtLongVneck_00.png")</f>
        <v/>
      </c>
      <c r="D204" s="22" t="str">
        <f>IMAGE("https://raw.githubusercontent.com/ltdimages/images/refs/heads/main/ClothTopsTshirtLongVneck_01.png")</f>
        <v/>
      </c>
      <c r="E204" s="22" t="str">
        <f>IMAGE("https://raw.githubusercontent.com/ltdimages/images/refs/heads/main/ClothTopsTshirtLongVneck_02.png")</f>
        <v/>
      </c>
      <c r="F204" s="22" t="str">
        <f>IMAGE("https://raw.githubusercontent.com/ltdimages/images/refs/heads/main/ClothTopsTshirtLongVneck_03.png")</f>
        <v/>
      </c>
      <c r="G204" s="22" t="str">
        <f>IMAGE("https://raw.githubusercontent.com/ltdimages/images/refs/heads/main/ClothTopsTshirtLongVneck_04.png")</f>
        <v/>
      </c>
      <c r="H204" s="22" t="str">
        <f>IMAGE("https://raw.githubusercontent.com/ltdimages/images/refs/heads/main/ClothTopsTshirtLongVneck_05.png")</f>
        <v/>
      </c>
      <c r="I204" s="22" t="str">
        <f>IMAGE("https://raw.githubusercontent.com/ltdimages/images/refs/heads/main/ClothTopsTshirtLongVneck_06.png")</f>
        <v/>
      </c>
      <c r="J204" s="22" t="str">
        <f>IMAGE("https://raw.githubusercontent.com/ltdimages/images/refs/heads/main/ClothTopsTshirtLongVneck_07.png")</f>
        <v/>
      </c>
      <c r="K204" s="63" t="s">
        <v>3103</v>
      </c>
      <c r="L204" s="23">
        <v>11.4</v>
      </c>
      <c r="M204" s="22" t="s">
        <v>3097</v>
      </c>
      <c r="N204" s="22" t="s">
        <v>3099</v>
      </c>
      <c r="O204" s="22" t="s">
        <v>45</v>
      </c>
      <c r="P204" s="22" t="s">
        <v>45</v>
      </c>
      <c r="Q204" s="22" t="s">
        <v>45</v>
      </c>
      <c r="R204" s="22" t="s">
        <v>45</v>
      </c>
      <c r="S204" s="22" t="s">
        <v>45</v>
      </c>
      <c r="T204" s="22" t="s">
        <v>2002</v>
      </c>
      <c r="U204" s="22" t="s">
        <v>45</v>
      </c>
      <c r="V204" s="22" t="s">
        <v>45</v>
      </c>
      <c r="W204" s="22" t="s">
        <v>5011</v>
      </c>
      <c r="X204" s="22" t="s">
        <v>3095</v>
      </c>
      <c r="Y204" s="22" t="s">
        <v>3095</v>
      </c>
      <c r="Z204" s="22" t="s">
        <v>3095</v>
      </c>
      <c r="AA204" s="22" t="s">
        <v>3095</v>
      </c>
      <c r="AB204" s="22" t="s">
        <v>3095</v>
      </c>
      <c r="AC204" s="22" t="s">
        <v>3095</v>
      </c>
      <c r="AD204" s="22" t="s">
        <v>3095</v>
      </c>
      <c r="AE204" s="22" t="s">
        <v>3095</v>
      </c>
      <c r="AF204" s="22" t="s">
        <v>3095</v>
      </c>
    </row>
    <row r="205" ht="45.0" customHeight="1">
      <c r="A205" s="55" t="s">
        <v>913</v>
      </c>
      <c r="B205" s="62" t="s">
        <v>5012</v>
      </c>
      <c r="C205" s="22" t="str">
        <f>IMAGE("https://raw.githubusercontent.com/ltdimages/images/refs/heads/main/ClothTopsTshirtHalfVneck_00.png")</f>
        <v/>
      </c>
      <c r="D205" s="22" t="str">
        <f>IMAGE("https://raw.githubusercontent.com/ltdimages/images/refs/heads/main/ClothTopsTshirtHalfVneck_01.png")</f>
        <v/>
      </c>
      <c r="E205" s="22" t="str">
        <f>IMAGE("https://raw.githubusercontent.com/ltdimages/images/refs/heads/main/ClothTopsTshirtHalfVneck_02.png")</f>
        <v/>
      </c>
      <c r="F205" s="22" t="str">
        <f>IMAGE("https://raw.githubusercontent.com/ltdimages/images/refs/heads/main/ClothTopsTshirtHalfVneck_03.png")</f>
        <v/>
      </c>
      <c r="G205" s="22" t="str">
        <f>IMAGE("https://raw.githubusercontent.com/ltdimages/images/refs/heads/main/ClothTopsTshirtHalfVneck_04.png")</f>
        <v/>
      </c>
      <c r="H205" s="22" t="str">
        <f>IMAGE("https://raw.githubusercontent.com/ltdimages/images/refs/heads/main/ClothTopsTshirtHalfVneck_05.png")</f>
        <v/>
      </c>
      <c r="I205" s="22" t="str">
        <f>IMAGE("https://raw.githubusercontent.com/ltdimages/images/refs/heads/main/ClothTopsTshirtHalfVneck_06.png")</f>
        <v/>
      </c>
      <c r="J205" s="22" t="str">
        <f>IMAGE("https://raw.githubusercontent.com/ltdimages/images/refs/heads/main/ClothTopsTshirtHalfVneck_07.png")</f>
        <v/>
      </c>
      <c r="K205" s="63" t="s">
        <v>3103</v>
      </c>
      <c r="L205" s="23">
        <v>11.0</v>
      </c>
      <c r="M205" s="22" t="s">
        <v>3097</v>
      </c>
      <c r="N205" s="22" t="s">
        <v>3099</v>
      </c>
      <c r="O205" s="22" t="s">
        <v>45</v>
      </c>
      <c r="P205" s="22" t="s">
        <v>45</v>
      </c>
      <c r="Q205" s="22" t="s">
        <v>45</v>
      </c>
      <c r="R205" s="22" t="s">
        <v>45</v>
      </c>
      <c r="S205" s="22" t="s">
        <v>45</v>
      </c>
      <c r="T205" s="22" t="s">
        <v>2002</v>
      </c>
      <c r="U205" s="22" t="s">
        <v>45</v>
      </c>
      <c r="V205" s="22" t="s">
        <v>45</v>
      </c>
      <c r="W205" s="22" t="s">
        <v>5013</v>
      </c>
      <c r="X205" s="22" t="s">
        <v>3095</v>
      </c>
      <c r="Y205" s="22" t="s">
        <v>3095</v>
      </c>
      <c r="Z205" s="22" t="s">
        <v>3095</v>
      </c>
      <c r="AA205" s="22" t="s">
        <v>3095</v>
      </c>
      <c r="AB205" s="22" t="s">
        <v>3095</v>
      </c>
      <c r="AC205" s="22" t="s">
        <v>3095</v>
      </c>
      <c r="AD205" s="22" t="s">
        <v>3095</v>
      </c>
      <c r="AE205" s="22" t="s">
        <v>3095</v>
      </c>
      <c r="AF205" s="22" t="s">
        <v>3095</v>
      </c>
    </row>
    <row r="206" ht="45.0" customHeight="1">
      <c r="A206" s="55" t="s">
        <v>917</v>
      </c>
      <c r="B206" s="62" t="s">
        <v>4207</v>
      </c>
      <c r="C206" s="22" t="str">
        <f>IMAGE("https://raw.githubusercontent.com/ltdimages/images/refs/heads/main/ClothTopsYshirtLongWestern_00.png")</f>
        <v/>
      </c>
      <c r="D206" s="22" t="str">
        <f>IMAGE("https://raw.githubusercontent.com/ltdimages/images/refs/heads/main/ClothTopsYshirtLongWestern_01.png")</f>
        <v/>
      </c>
      <c r="E206" s="22" t="str">
        <f>IMAGE("https://raw.githubusercontent.com/ltdimages/images/refs/heads/main/ClothTopsYshirtLongWestern_02.png")</f>
        <v/>
      </c>
      <c r="F206" s="22" t="str">
        <f>IMAGE("https://raw.githubusercontent.com/ltdimages/images/refs/heads/main/ClothTopsYshirtLongWestern_03.png")</f>
        <v/>
      </c>
      <c r="G206" s="22" t="str">
        <f>IMAGE("https://raw.githubusercontent.com/ltdimages/images/refs/heads/main/ClothTopsYshirtLongWestern_04.png")</f>
        <v/>
      </c>
      <c r="H206" s="22" t="str">
        <f>IMAGE("https://raw.githubusercontent.com/ltdimages/images/refs/heads/main/ClothTopsYshirtLongWestern_05.png")</f>
        <v/>
      </c>
      <c r="I206" s="22" t="s">
        <v>3095</v>
      </c>
      <c r="J206" s="22" t="s">
        <v>3095</v>
      </c>
      <c r="K206" s="63" t="s">
        <v>3103</v>
      </c>
      <c r="L206" s="23">
        <v>20.0</v>
      </c>
      <c r="M206" s="22" t="s">
        <v>3097</v>
      </c>
      <c r="N206" s="22" t="s">
        <v>3099</v>
      </c>
      <c r="O206" s="22" t="s">
        <v>45</v>
      </c>
      <c r="P206" s="22" t="s">
        <v>45</v>
      </c>
      <c r="Q206" s="22" t="s">
        <v>45</v>
      </c>
      <c r="R206" s="22" t="s">
        <v>45</v>
      </c>
      <c r="S206" s="22" t="s">
        <v>45</v>
      </c>
      <c r="T206" s="22" t="s">
        <v>2002</v>
      </c>
      <c r="U206" s="22" t="s">
        <v>45</v>
      </c>
      <c r="V206" s="22" t="s">
        <v>45</v>
      </c>
      <c r="W206" s="22" t="s">
        <v>5014</v>
      </c>
      <c r="X206" s="22" t="s">
        <v>3095</v>
      </c>
      <c r="Y206" s="22" t="s">
        <v>3095</v>
      </c>
      <c r="Z206" s="22" t="s">
        <v>3095</v>
      </c>
      <c r="AA206" s="22" t="s">
        <v>3095</v>
      </c>
      <c r="AB206" s="22" t="s">
        <v>3095</v>
      </c>
      <c r="AC206" s="22" t="s">
        <v>3095</v>
      </c>
      <c r="AD206" s="22" t="s">
        <v>3095</v>
      </c>
      <c r="AE206" s="22" t="s">
        <v>3095</v>
      </c>
      <c r="AF206" s="22" t="s">
        <v>3095</v>
      </c>
    </row>
    <row r="207" ht="45.0" customHeight="1">
      <c r="A207" s="55" t="s">
        <v>921</v>
      </c>
      <c r="B207" s="62" t="s">
        <v>5015</v>
      </c>
      <c r="C207" s="22" t="str">
        <f>IMAGE("https://raw.githubusercontent.com/ltdimages/images/refs/heads/main/ClothTopsYshirtLongWideStripe_00.png")</f>
        <v/>
      </c>
      <c r="D207" s="22" t="str">
        <f>IMAGE("https://raw.githubusercontent.com/ltdimages/images/refs/heads/main/ClothTopsYshirtLongWideStripe_01.png")</f>
        <v/>
      </c>
      <c r="E207" s="22" t="str">
        <f>IMAGE("https://raw.githubusercontent.com/ltdimages/images/refs/heads/main/ClothTopsYshirtLongWideStripe_02.png")</f>
        <v/>
      </c>
      <c r="F207" s="22" t="str">
        <f>IMAGE("https://raw.githubusercontent.com/ltdimages/images/refs/heads/main/ClothTopsYshirtLongWideStripe_03.png")</f>
        <v/>
      </c>
      <c r="G207" s="22" t="str">
        <f>IMAGE("https://raw.githubusercontent.com/ltdimages/images/refs/heads/main/ClothTopsYshirtLongWideStripe_04.png")</f>
        <v/>
      </c>
      <c r="H207" s="22" t="str">
        <f>IMAGE("https://raw.githubusercontent.com/ltdimages/images/refs/heads/main/ClothTopsYshirtLongWideStripe_05.png")</f>
        <v/>
      </c>
      <c r="I207" s="22" t="str">
        <f>IMAGE("https://raw.githubusercontent.com/ltdimages/images/refs/heads/main/ClothTopsYshirtLongWideStripe_06.png")</f>
        <v/>
      </c>
      <c r="J207" s="22" t="str">
        <f>IMAGE("https://raw.githubusercontent.com/ltdimages/images/refs/heads/main/ClothTopsYshirtLongWideStripe_07.png")</f>
        <v/>
      </c>
      <c r="K207" s="63" t="s">
        <v>3103</v>
      </c>
      <c r="L207" s="23">
        <v>12.5</v>
      </c>
      <c r="M207" s="22" t="s">
        <v>3097</v>
      </c>
      <c r="N207" s="22" t="s">
        <v>3099</v>
      </c>
      <c r="O207" s="22" t="s">
        <v>45</v>
      </c>
      <c r="P207" s="22" t="s">
        <v>45</v>
      </c>
      <c r="Q207" s="22" t="s">
        <v>45</v>
      </c>
      <c r="R207" s="22" t="s">
        <v>45</v>
      </c>
      <c r="S207" s="22" t="s">
        <v>45</v>
      </c>
      <c r="T207" s="22" t="s">
        <v>2002</v>
      </c>
      <c r="U207" s="22" t="s">
        <v>45</v>
      </c>
      <c r="V207" s="22" t="s">
        <v>45</v>
      </c>
      <c r="W207" s="22" t="s">
        <v>5016</v>
      </c>
      <c r="X207" s="22" t="s">
        <v>3095</v>
      </c>
      <c r="Y207" s="22" t="s">
        <v>3095</v>
      </c>
      <c r="Z207" s="22" t="s">
        <v>3095</v>
      </c>
      <c r="AA207" s="22" t="s">
        <v>3095</v>
      </c>
      <c r="AB207" s="22" t="s">
        <v>3095</v>
      </c>
      <c r="AC207" s="22" t="s">
        <v>3095</v>
      </c>
      <c r="AD207" s="22" t="s">
        <v>3095</v>
      </c>
      <c r="AE207" s="22" t="s">
        <v>3095</v>
      </c>
      <c r="AF207" s="22" t="s">
        <v>3095</v>
      </c>
    </row>
    <row r="208" ht="45.0" customHeight="1">
      <c r="A208" s="55" t="s">
        <v>925</v>
      </c>
      <c r="B208" s="62" t="s">
        <v>4211</v>
      </c>
      <c r="C208" s="22" t="str">
        <f>IMAGE("https://raw.githubusercontent.com/ltdimages/images/refs/heads/main/ClothTopsOuterLongWindbreaker_00.png")</f>
        <v/>
      </c>
      <c r="D208" s="22" t="str">
        <f>IMAGE("https://raw.githubusercontent.com/ltdimages/images/refs/heads/main/ClothTopsOuterLongWindbreaker_01.png")</f>
        <v/>
      </c>
      <c r="E208" s="22" t="str">
        <f>IMAGE("https://raw.githubusercontent.com/ltdimages/images/refs/heads/main/ClothTopsOuterLongWindbreaker_02.png")</f>
        <v/>
      </c>
      <c r="F208" s="22" t="str">
        <f>IMAGE("https://raw.githubusercontent.com/ltdimages/images/refs/heads/main/ClothTopsOuterLongWindbreaker_03.png")</f>
        <v/>
      </c>
      <c r="G208" s="22" t="str">
        <f>IMAGE("https://raw.githubusercontent.com/ltdimages/images/refs/heads/main/ClothTopsOuterLongWindbreaker_04.png")</f>
        <v/>
      </c>
      <c r="H208" s="22" t="str">
        <f>IMAGE("https://raw.githubusercontent.com/ltdimages/images/refs/heads/main/ClothTopsOuterLongWindbreaker_05.png")</f>
        <v/>
      </c>
      <c r="I208" s="22" t="str">
        <f>IMAGE("https://raw.githubusercontent.com/ltdimages/images/refs/heads/main/ClothTopsOuterLongWindbreaker_06.png")</f>
        <v/>
      </c>
      <c r="J208" s="22" t="str">
        <f>IMAGE("https://raw.githubusercontent.com/ltdimages/images/refs/heads/main/ClothTopsOuterLongWindbreaker_07.png")</f>
        <v/>
      </c>
      <c r="K208" s="63" t="s">
        <v>3103</v>
      </c>
      <c r="L208" s="23">
        <v>21.0</v>
      </c>
      <c r="M208" s="22" t="s">
        <v>3097</v>
      </c>
      <c r="N208" s="22" t="s">
        <v>3114</v>
      </c>
      <c r="O208" s="22" t="s">
        <v>45</v>
      </c>
      <c r="P208" s="22" t="s">
        <v>45</v>
      </c>
      <c r="Q208" s="22" t="s">
        <v>45</v>
      </c>
      <c r="R208" s="22" t="s">
        <v>45</v>
      </c>
      <c r="S208" s="22" t="s">
        <v>45</v>
      </c>
      <c r="T208" s="22" t="s">
        <v>2002</v>
      </c>
      <c r="U208" s="22" t="s">
        <v>45</v>
      </c>
      <c r="V208" s="22" t="s">
        <v>45</v>
      </c>
      <c r="W208" s="22" t="s">
        <v>5017</v>
      </c>
      <c r="X208" s="22" t="s">
        <v>3095</v>
      </c>
      <c r="Y208" s="22" t="s">
        <v>3095</v>
      </c>
      <c r="Z208" s="22" t="s">
        <v>3095</v>
      </c>
      <c r="AA208" s="22" t="s">
        <v>3095</v>
      </c>
      <c r="AB208" s="22" t="s">
        <v>3095</v>
      </c>
      <c r="AC208" s="22" t="s">
        <v>3095</v>
      </c>
      <c r="AD208" s="22" t="s">
        <v>3095</v>
      </c>
      <c r="AE208" s="22" t="s">
        <v>3095</v>
      </c>
      <c r="AF208" s="22" t="s">
        <v>3095</v>
      </c>
    </row>
    <row r="209" ht="45.0" customHeight="1">
      <c r="A209" s="55" t="s">
        <v>929</v>
      </c>
      <c r="B209" s="62" t="s">
        <v>5018</v>
      </c>
      <c r="C209" s="22" t="str">
        <f>IMAGE("https://raw.githubusercontent.com/ltdimages/images/refs/heads/main/ClothTopsYshirtHalfWappen_00.png")</f>
        <v/>
      </c>
      <c r="D209" s="22" t="str">
        <f>IMAGE("https://raw.githubusercontent.com/ltdimages/images/refs/heads/main/ClothTopsYshirtHalfWappen_01.png")</f>
        <v/>
      </c>
      <c r="E209" s="22" t="str">
        <f>IMAGE("https://raw.githubusercontent.com/ltdimages/images/refs/heads/main/ClothTopsYshirtHalfWappen_02.png")</f>
        <v/>
      </c>
      <c r="F209" s="22" t="str">
        <f>IMAGE("https://raw.githubusercontent.com/ltdimages/images/refs/heads/main/ClothTopsYshirtHalfWappen_03.png")</f>
        <v/>
      </c>
      <c r="G209" s="22" t="str">
        <f>IMAGE("https://raw.githubusercontent.com/ltdimages/images/refs/heads/main/ClothTopsYshirtHalfWappen_04.png")</f>
        <v/>
      </c>
      <c r="H209" s="22" t="str">
        <f>IMAGE("https://raw.githubusercontent.com/ltdimages/images/refs/heads/main/ClothTopsYshirtHalfWappen_05.png")</f>
        <v/>
      </c>
      <c r="I209" s="22" t="str">
        <f>IMAGE("https://raw.githubusercontent.com/ltdimages/images/refs/heads/main/ClothTopsYshirtHalfWappen_06.png")</f>
        <v/>
      </c>
      <c r="J209" s="22" t="str">
        <f>IMAGE("https://raw.githubusercontent.com/ltdimages/images/refs/heads/main/ClothTopsYshirtHalfWappen_07.png")</f>
        <v/>
      </c>
      <c r="K209" s="63" t="s">
        <v>3103</v>
      </c>
      <c r="L209" s="23">
        <v>12.0</v>
      </c>
      <c r="M209" s="22" t="s">
        <v>3097</v>
      </c>
      <c r="N209" s="22" t="s">
        <v>3099</v>
      </c>
      <c r="O209" s="22" t="s">
        <v>45</v>
      </c>
      <c r="P209" s="22" t="s">
        <v>45</v>
      </c>
      <c r="Q209" s="22" t="s">
        <v>45</v>
      </c>
      <c r="R209" s="22" t="s">
        <v>45</v>
      </c>
      <c r="S209" s="22" t="s">
        <v>45</v>
      </c>
      <c r="T209" s="22" t="s">
        <v>2002</v>
      </c>
      <c r="U209" s="22" t="s">
        <v>45</v>
      </c>
      <c r="V209" s="22" t="s">
        <v>45</v>
      </c>
      <c r="W209" s="22" t="s">
        <v>5019</v>
      </c>
      <c r="X209" s="22" t="s">
        <v>3095</v>
      </c>
      <c r="Y209" s="22" t="s">
        <v>3095</v>
      </c>
      <c r="Z209" s="22" t="s">
        <v>3095</v>
      </c>
      <c r="AA209" s="22" t="s">
        <v>3095</v>
      </c>
      <c r="AB209" s="22" t="s">
        <v>3095</v>
      </c>
      <c r="AC209" s="22" t="s">
        <v>3095</v>
      </c>
      <c r="AD209" s="22" t="s">
        <v>3095</v>
      </c>
      <c r="AE209" s="22" t="s">
        <v>3095</v>
      </c>
      <c r="AF209" s="22" t="s">
        <v>3095</v>
      </c>
    </row>
    <row r="210" ht="45.0" customHeight="1">
      <c r="A210" s="55" t="s">
        <v>933</v>
      </c>
      <c r="B210" s="62" t="s">
        <v>5020</v>
      </c>
      <c r="C210" s="22" t="str">
        <f>IMAGE("https://raw.githubusercontent.com/ltdimages/images/refs/heads/main/ClothTopsTshirtLongWrinkles_00.png")</f>
        <v/>
      </c>
      <c r="D210" s="22" t="str">
        <f>IMAGE("https://raw.githubusercontent.com/ltdimages/images/refs/heads/main/ClothTopsTshirtLongWrinkles_01.png")</f>
        <v/>
      </c>
      <c r="E210" s="22" t="str">
        <f>IMAGE("https://raw.githubusercontent.com/ltdimages/images/refs/heads/main/ClothTopsTshirtLongWrinkles_02.png")</f>
        <v/>
      </c>
      <c r="F210" s="22" t="str">
        <f>IMAGE("https://raw.githubusercontent.com/ltdimages/images/refs/heads/main/ClothTopsTshirtLongWrinkles_03.png")</f>
        <v/>
      </c>
      <c r="G210" s="22" t="str">
        <f>IMAGE("https://raw.githubusercontent.com/ltdimages/images/refs/heads/main/ClothTopsTshirtLongWrinkles_04.png")</f>
        <v/>
      </c>
      <c r="H210" s="22" t="str">
        <f>IMAGE("https://raw.githubusercontent.com/ltdimages/images/refs/heads/main/ClothTopsTshirtLongWrinkles_05.png")</f>
        <v/>
      </c>
      <c r="I210" s="22" t="str">
        <f>IMAGE("https://raw.githubusercontent.com/ltdimages/images/refs/heads/main/ClothTopsTshirtLongWrinkles_06.png")</f>
        <v/>
      </c>
      <c r="J210" s="22" t="str">
        <f>IMAGE("https://raw.githubusercontent.com/ltdimages/images/refs/heads/main/ClothTopsTshirtLongWrinkles_07.png")</f>
        <v/>
      </c>
      <c r="K210" s="63" t="s">
        <v>3103</v>
      </c>
      <c r="L210" s="23">
        <v>7.5</v>
      </c>
      <c r="M210" s="22" t="s">
        <v>3097</v>
      </c>
      <c r="N210" s="22" t="s">
        <v>3099</v>
      </c>
      <c r="O210" s="22" t="s">
        <v>45</v>
      </c>
      <c r="P210" s="22" t="s">
        <v>49</v>
      </c>
      <c r="Q210" s="22" t="s">
        <v>45</v>
      </c>
      <c r="R210" s="22" t="s">
        <v>45</v>
      </c>
      <c r="S210" s="22" t="s">
        <v>45</v>
      </c>
      <c r="T210" s="22" t="s">
        <v>2002</v>
      </c>
      <c r="U210" s="22" t="s">
        <v>45</v>
      </c>
      <c r="V210" s="22" t="s">
        <v>45</v>
      </c>
      <c r="W210" s="22" t="s">
        <v>5021</v>
      </c>
      <c r="X210" s="22" t="s">
        <v>3095</v>
      </c>
      <c r="Y210" s="22" t="s">
        <v>3095</v>
      </c>
      <c r="Z210" s="22" t="s">
        <v>3095</v>
      </c>
      <c r="AA210" s="22" t="s">
        <v>3095</v>
      </c>
      <c r="AB210" s="22" t="s">
        <v>3095</v>
      </c>
      <c r="AC210" s="22" t="s">
        <v>3095</v>
      </c>
      <c r="AD210" s="22" t="s">
        <v>3095</v>
      </c>
      <c r="AE210" s="22" t="s">
        <v>3095</v>
      </c>
      <c r="AF210" s="22" t="s">
        <v>3095</v>
      </c>
    </row>
    <row r="211" ht="45.0" customHeight="1">
      <c r="A211" s="55" t="s">
        <v>937</v>
      </c>
      <c r="B211" s="62" t="s">
        <v>3338</v>
      </c>
      <c r="C211" s="22" t="str">
        <f>IMAGE("https://raw.githubusercontent.com/ltdimages/images/refs/heads/main/ClothTopsOuterLongParkaZip_00.png")</f>
        <v/>
      </c>
      <c r="D211" s="22" t="str">
        <f>IMAGE("https://raw.githubusercontent.com/ltdimages/images/refs/heads/main/ClothTopsOuterLongParkaZip_01.png")</f>
        <v/>
      </c>
      <c r="E211" s="22" t="str">
        <f>IMAGE("https://raw.githubusercontent.com/ltdimages/images/refs/heads/main/ClothTopsOuterLongParkaZip_02.png")</f>
        <v/>
      </c>
      <c r="F211" s="22" t="str">
        <f>IMAGE("https://raw.githubusercontent.com/ltdimages/images/refs/heads/main/ClothTopsOuterLongParkaZip_03.png")</f>
        <v/>
      </c>
      <c r="G211" s="22" t="str">
        <f>IMAGE("https://raw.githubusercontent.com/ltdimages/images/refs/heads/main/ClothTopsOuterLongParkaZip_04.png")</f>
        <v/>
      </c>
      <c r="H211" s="22" t="str">
        <f>IMAGE("https://raw.githubusercontent.com/ltdimages/images/refs/heads/main/ClothTopsOuterLongParkaZip_05.png")</f>
        <v/>
      </c>
      <c r="I211" s="22" t="str">
        <f>IMAGE("https://raw.githubusercontent.com/ltdimages/images/refs/heads/main/ClothTopsOuterLongParkaZip_06.png")</f>
        <v/>
      </c>
      <c r="J211" s="22" t="str">
        <f>IMAGE("https://raw.githubusercontent.com/ltdimages/images/refs/heads/main/ClothTopsOuterLongParkaZip_07.png")</f>
        <v/>
      </c>
      <c r="K211" s="63" t="s">
        <v>3103</v>
      </c>
      <c r="L211" s="23">
        <v>11.0</v>
      </c>
      <c r="M211" s="22" t="s">
        <v>3097</v>
      </c>
      <c r="N211" s="22" t="s">
        <v>3099</v>
      </c>
      <c r="O211" s="22" t="s">
        <v>45</v>
      </c>
      <c r="P211" s="22" t="s">
        <v>45</v>
      </c>
      <c r="Q211" s="22" t="s">
        <v>45</v>
      </c>
      <c r="R211" s="22" t="s">
        <v>45</v>
      </c>
      <c r="S211" s="22" t="s">
        <v>45</v>
      </c>
      <c r="T211" s="22" t="s">
        <v>2002</v>
      </c>
      <c r="U211" s="22" t="s">
        <v>45</v>
      </c>
      <c r="V211" s="22" t="s">
        <v>45</v>
      </c>
      <c r="W211" s="22" t="s">
        <v>5022</v>
      </c>
      <c r="X211" s="22" t="s">
        <v>3095</v>
      </c>
      <c r="Y211" s="22" t="s">
        <v>3095</v>
      </c>
      <c r="Z211" s="22" t="s">
        <v>3095</v>
      </c>
      <c r="AA211" s="22" t="s">
        <v>3095</v>
      </c>
      <c r="AB211" s="22" t="s">
        <v>3095</v>
      </c>
      <c r="AC211" s="22" t="s">
        <v>3095</v>
      </c>
      <c r="AD211" s="22" t="s">
        <v>3095</v>
      </c>
      <c r="AE211" s="22" t="s">
        <v>3095</v>
      </c>
      <c r="AF211" s="22" t="s">
        <v>3095</v>
      </c>
    </row>
    <row r="212" ht="45.0" customHeight="1">
      <c r="A212" s="55" t="s">
        <v>941</v>
      </c>
      <c r="B212" s="62" t="s">
        <v>4260</v>
      </c>
      <c r="C212" s="22" t="str">
        <f>IMAGE("https://raw.githubusercontent.com/ltdimages/images/refs/heads/main/ClothTopsBandana_00.png")</f>
        <v/>
      </c>
      <c r="D212" s="22" t="str">
        <f>IMAGE("https://raw.githubusercontent.com/ltdimages/images/refs/heads/main/ClothTopsBandana_01.png")</f>
        <v/>
      </c>
      <c r="E212" s="22" t="str">
        <f>IMAGE("https://raw.githubusercontent.com/ltdimages/images/refs/heads/main/ClothTopsBandana_02.png")</f>
        <v/>
      </c>
      <c r="F212" s="22" t="str">
        <f>IMAGE("https://raw.githubusercontent.com/ltdimages/images/refs/heads/main/ClothTopsBandana_03.png")</f>
        <v/>
      </c>
      <c r="G212" s="22" t="str">
        <f>IMAGE("https://raw.githubusercontent.com/ltdimages/images/refs/heads/main/ClothTopsBandana_04.png")</f>
        <v/>
      </c>
      <c r="H212" s="22" t="str">
        <f>IMAGE("https://raw.githubusercontent.com/ltdimages/images/refs/heads/main/ClothTopsBandana_05.png")</f>
        <v/>
      </c>
      <c r="I212" s="22" t="str">
        <f>IMAGE("https://raw.githubusercontent.com/ltdimages/images/refs/heads/main/ClothTopsBandana_06.png")</f>
        <v/>
      </c>
      <c r="J212" s="22" t="str">
        <f>IMAGE("https://raw.githubusercontent.com/ltdimages/images/refs/heads/main/ClothTopsBandana_07.png")</f>
        <v/>
      </c>
      <c r="K212" s="63" t="s">
        <v>3103</v>
      </c>
      <c r="L212" s="23">
        <v>11.5</v>
      </c>
      <c r="M212" s="22" t="s">
        <v>4231</v>
      </c>
      <c r="N212" s="22" t="s">
        <v>3123</v>
      </c>
      <c r="O212" s="22" t="s">
        <v>45</v>
      </c>
      <c r="P212" s="22" t="s">
        <v>45</v>
      </c>
      <c r="Q212" s="22" t="s">
        <v>45</v>
      </c>
      <c r="R212" s="22" t="s">
        <v>45</v>
      </c>
      <c r="S212" s="22" t="s">
        <v>45</v>
      </c>
      <c r="T212" s="22" t="s">
        <v>2002</v>
      </c>
      <c r="U212" s="22" t="s">
        <v>45</v>
      </c>
      <c r="V212" s="22" t="s">
        <v>45</v>
      </c>
      <c r="W212" s="22" t="s">
        <v>5023</v>
      </c>
      <c r="X212" s="22" t="s">
        <v>3095</v>
      </c>
      <c r="Y212" s="22" t="s">
        <v>3095</v>
      </c>
      <c r="Z212" s="22" t="s">
        <v>3095</v>
      </c>
      <c r="AA212" s="22" t="s">
        <v>3095</v>
      </c>
      <c r="AB212" s="22" t="s">
        <v>3095</v>
      </c>
      <c r="AC212" s="22" t="s">
        <v>3095</v>
      </c>
      <c r="AD212" s="22" t="s">
        <v>3095</v>
      </c>
      <c r="AE212" s="22" t="s">
        <v>3095</v>
      </c>
      <c r="AF212" s="22" t="s">
        <v>3095</v>
      </c>
    </row>
    <row r="213" ht="45.0" customHeight="1">
      <c r="A213" s="55" t="s">
        <v>945</v>
      </c>
      <c r="B213" s="62" t="s">
        <v>4447</v>
      </c>
      <c r="C213" s="22" t="str">
        <f>IMAGE("https://raw.githubusercontent.com/ltdimages/images/refs/heads/main/ClothTopsTshirtSleevelessSimpleCamisole_00.png")</f>
        <v/>
      </c>
      <c r="D213" s="22" t="str">
        <f>IMAGE("https://raw.githubusercontent.com/ltdimages/images/refs/heads/main/ClothTopsTshirtSleevelessSimpleCamisole_01.png")</f>
        <v/>
      </c>
      <c r="E213" s="22" t="str">
        <f>IMAGE("https://raw.githubusercontent.com/ltdimages/images/refs/heads/main/ClothTopsTshirtSleevelessSimpleCamisole_02.png")</f>
        <v/>
      </c>
      <c r="F213" s="22" t="str">
        <f>IMAGE("https://raw.githubusercontent.com/ltdimages/images/refs/heads/main/ClothTopsTshirtSleevelessSimpleCamisole_03.png")</f>
        <v/>
      </c>
      <c r="G213" s="22" t="str">
        <f>IMAGE("https://raw.githubusercontent.com/ltdimages/images/refs/heads/main/ClothTopsTshirtSleevelessSimpleCamisole_04.png")</f>
        <v/>
      </c>
      <c r="H213" s="22" t="str">
        <f>IMAGE("https://raw.githubusercontent.com/ltdimages/images/refs/heads/main/ClothTopsTshirtSleevelessSimpleCamisole_05.png")</f>
        <v/>
      </c>
      <c r="I213" s="22" t="str">
        <f>IMAGE("https://raw.githubusercontent.com/ltdimages/images/refs/heads/main/ClothTopsTshirtSleevelessSimpleCamisole_06.png")</f>
        <v/>
      </c>
      <c r="J213" s="22" t="str">
        <f>IMAGE("https://raw.githubusercontent.com/ltdimages/images/refs/heads/main/ClothTopsTshirtSleevelessSimpleCamisole_07.png")</f>
        <v/>
      </c>
      <c r="K213" s="63" t="s">
        <v>3103</v>
      </c>
      <c r="L213" s="23">
        <v>9.0</v>
      </c>
      <c r="M213" s="22" t="s">
        <v>4231</v>
      </c>
      <c r="N213" s="22" t="s">
        <v>3123</v>
      </c>
      <c r="O213" s="22" t="s">
        <v>45</v>
      </c>
      <c r="P213" s="22" t="s">
        <v>45</v>
      </c>
      <c r="Q213" s="22" t="s">
        <v>45</v>
      </c>
      <c r="R213" s="22" t="s">
        <v>45</v>
      </c>
      <c r="S213" s="22" t="s">
        <v>45</v>
      </c>
      <c r="T213" s="22" t="s">
        <v>2002</v>
      </c>
      <c r="U213" s="22" t="s">
        <v>45</v>
      </c>
      <c r="V213" s="22" t="s">
        <v>45</v>
      </c>
      <c r="W213" s="22" t="s">
        <v>5024</v>
      </c>
      <c r="X213" s="22" t="s">
        <v>3095</v>
      </c>
      <c r="Y213" s="22" t="s">
        <v>3095</v>
      </c>
      <c r="Z213" s="22" t="s">
        <v>3095</v>
      </c>
      <c r="AA213" s="22" t="s">
        <v>3095</v>
      </c>
      <c r="AB213" s="22" t="s">
        <v>3095</v>
      </c>
      <c r="AC213" s="22" t="s">
        <v>3095</v>
      </c>
      <c r="AD213" s="22" t="s">
        <v>3095</v>
      </c>
      <c r="AE213" s="22" t="s">
        <v>3095</v>
      </c>
      <c r="AF213" s="22" t="s">
        <v>3095</v>
      </c>
    </row>
    <row r="214" ht="45.0" customHeight="1">
      <c r="A214" s="55" t="s">
        <v>949</v>
      </c>
      <c r="B214" s="62" t="s">
        <v>5025</v>
      </c>
      <c r="C214" s="22" t="str">
        <f>IMAGE("https://raw.githubusercontent.com/ltdimages/images/refs/heads/main/ClothTopsBodyBaseBikini_00.png")</f>
        <v/>
      </c>
      <c r="D214" s="22" t="str">
        <f>IMAGE("https://raw.githubusercontent.com/ltdimages/images/refs/heads/main/ClothTopsBodyBaseBikini_01.png")</f>
        <v/>
      </c>
      <c r="E214" s="22" t="str">
        <f>IMAGE("https://raw.githubusercontent.com/ltdimages/images/refs/heads/main/ClothTopsBodyBaseBikini_02.png")</f>
        <v/>
      </c>
      <c r="F214" s="22" t="str">
        <f>IMAGE("https://raw.githubusercontent.com/ltdimages/images/refs/heads/main/ClothTopsBodyBaseBikini_03.png")</f>
        <v/>
      </c>
      <c r="G214" s="22" t="str">
        <f>IMAGE("https://raw.githubusercontent.com/ltdimages/images/refs/heads/main/ClothTopsBodyBaseBikini_04.png")</f>
        <v/>
      </c>
      <c r="H214" s="22" t="str">
        <f>IMAGE("https://raw.githubusercontent.com/ltdimages/images/refs/heads/main/ClothTopsBodyBaseBikini_05.png")</f>
        <v/>
      </c>
      <c r="I214" s="22" t="str">
        <f>IMAGE("https://raw.githubusercontent.com/ltdimages/images/refs/heads/main/ClothTopsBodyBaseBikini_06.png")</f>
        <v/>
      </c>
      <c r="J214" s="22" t="str">
        <f>IMAGE("https://raw.githubusercontent.com/ltdimages/images/refs/heads/main/ClothTopsBodyBaseBikini_07.png")</f>
        <v/>
      </c>
      <c r="K214" s="63" t="s">
        <v>3103</v>
      </c>
      <c r="L214" s="23">
        <v>9.0</v>
      </c>
      <c r="M214" s="22" t="s">
        <v>4231</v>
      </c>
      <c r="N214" s="22" t="s">
        <v>3123</v>
      </c>
      <c r="O214" s="22" t="s">
        <v>45</v>
      </c>
      <c r="P214" s="22" t="s">
        <v>45</v>
      </c>
      <c r="Q214" s="22" t="s">
        <v>49</v>
      </c>
      <c r="R214" s="22" t="s">
        <v>45</v>
      </c>
      <c r="S214" s="22" t="s">
        <v>45</v>
      </c>
      <c r="T214" s="22" t="s">
        <v>2002</v>
      </c>
      <c r="U214" s="22" t="s">
        <v>45</v>
      </c>
      <c r="V214" s="22" t="s">
        <v>45</v>
      </c>
      <c r="W214" s="22" t="s">
        <v>5026</v>
      </c>
      <c r="X214" s="22" t="s">
        <v>3095</v>
      </c>
      <c r="Y214" s="22" t="s">
        <v>3095</v>
      </c>
      <c r="Z214" s="22" t="s">
        <v>3095</v>
      </c>
      <c r="AA214" s="22" t="s">
        <v>3095</v>
      </c>
      <c r="AB214" s="22" t="s">
        <v>3095</v>
      </c>
      <c r="AC214" s="22" t="s">
        <v>3095</v>
      </c>
      <c r="AD214" s="22" t="s">
        <v>3095</v>
      </c>
      <c r="AE214" s="22" t="s">
        <v>3095</v>
      </c>
      <c r="AF214" s="22" t="s">
        <v>3095</v>
      </c>
    </row>
    <row r="215" ht="45.0" customHeight="1">
      <c r="A215" s="55" t="s">
        <v>954</v>
      </c>
      <c r="B215" s="62" t="s">
        <v>4279</v>
      </c>
      <c r="C215" s="22" t="str">
        <f>IMAGE("https://raw.githubusercontent.com/ltdimages/images/refs/heads/main/ClothTopsYshirtLongBlazerRibbon_00.png")</f>
        <v/>
      </c>
      <c r="D215" s="22" t="str">
        <f>IMAGE("https://raw.githubusercontent.com/ltdimages/images/refs/heads/main/ClothTopsYshirtLongBlazerRibbon_01.png")</f>
        <v/>
      </c>
      <c r="E215" s="22" t="str">
        <f>IMAGE("https://raw.githubusercontent.com/ltdimages/images/refs/heads/main/ClothTopsYshirtLongBlazerRibbon_02.png")</f>
        <v/>
      </c>
      <c r="F215" s="22" t="str">
        <f>IMAGE("https://raw.githubusercontent.com/ltdimages/images/refs/heads/main/ClothTopsYshirtLongBlazerRibbon_03.png")</f>
        <v/>
      </c>
      <c r="G215" s="22" t="str">
        <f>IMAGE("https://raw.githubusercontent.com/ltdimages/images/refs/heads/main/ClothTopsYshirtLongBlazerRibbon_04.png")</f>
        <v/>
      </c>
      <c r="H215" s="22" t="str">
        <f>IMAGE("https://raw.githubusercontent.com/ltdimages/images/refs/heads/main/ClothTopsYshirtLongBlazerRibbon_05.png")</f>
        <v/>
      </c>
      <c r="I215" s="22" t="s">
        <v>3095</v>
      </c>
      <c r="J215" s="22" t="s">
        <v>3095</v>
      </c>
      <c r="K215" s="63" t="s">
        <v>3103</v>
      </c>
      <c r="L215" s="23">
        <v>15.0</v>
      </c>
      <c r="M215" s="22" t="s">
        <v>4231</v>
      </c>
      <c r="N215" s="22" t="s">
        <v>3099</v>
      </c>
      <c r="O215" s="22" t="s">
        <v>45</v>
      </c>
      <c r="P215" s="22" t="s">
        <v>45</v>
      </c>
      <c r="Q215" s="22" t="s">
        <v>45</v>
      </c>
      <c r="R215" s="22" t="s">
        <v>45</v>
      </c>
      <c r="S215" s="22" t="s">
        <v>45</v>
      </c>
      <c r="T215" s="22" t="s">
        <v>2002</v>
      </c>
      <c r="U215" s="22" t="s">
        <v>45</v>
      </c>
      <c r="V215" s="22" t="s">
        <v>45</v>
      </c>
      <c r="W215" s="22" t="s">
        <v>5027</v>
      </c>
      <c r="X215" s="22" t="s">
        <v>3095</v>
      </c>
      <c r="Y215" s="22" t="s">
        <v>3095</v>
      </c>
      <c r="Z215" s="22" t="s">
        <v>3095</v>
      </c>
      <c r="AA215" s="22" t="s">
        <v>3095</v>
      </c>
      <c r="AB215" s="22" t="s">
        <v>3095</v>
      </c>
      <c r="AC215" s="22" t="s">
        <v>3095</v>
      </c>
      <c r="AD215" s="22" t="s">
        <v>3095</v>
      </c>
      <c r="AE215" s="22" t="s">
        <v>3095</v>
      </c>
      <c r="AF215" s="22" t="s">
        <v>3095</v>
      </c>
    </row>
    <row r="216" ht="45.0" customHeight="1">
      <c r="A216" s="55" t="s">
        <v>958</v>
      </c>
      <c r="B216" s="62" t="s">
        <v>4291</v>
      </c>
      <c r="C216" s="22" t="str">
        <f>IMAGE("https://raw.githubusercontent.com/ltdimages/images/refs/heads/main/ClothTopsTshirtLongOffice_00.png")</f>
        <v/>
      </c>
      <c r="D216" s="22" t="str">
        <f>IMAGE("https://raw.githubusercontent.com/ltdimages/images/refs/heads/main/ClothTopsTshirtLongOffice_01.png")</f>
        <v/>
      </c>
      <c r="E216" s="22" t="str">
        <f>IMAGE("https://raw.githubusercontent.com/ltdimages/images/refs/heads/main/ClothTopsTshirtLongOffice_02.png")</f>
        <v/>
      </c>
      <c r="F216" s="22" t="str">
        <f>IMAGE("https://raw.githubusercontent.com/ltdimages/images/refs/heads/main/ClothTopsTshirtLongOffice_03.png")</f>
        <v/>
      </c>
      <c r="G216" s="22" t="str">
        <f>IMAGE("https://raw.githubusercontent.com/ltdimages/images/refs/heads/main/ClothTopsTshirtLongOffice_04.png")</f>
        <v/>
      </c>
      <c r="H216" s="22" t="str">
        <f>IMAGE("https://raw.githubusercontent.com/ltdimages/images/refs/heads/main/ClothTopsTshirtLongOffice_05.png")</f>
        <v/>
      </c>
      <c r="I216" s="22" t="str">
        <f>IMAGE("https://raw.githubusercontent.com/ltdimages/images/refs/heads/main/ClothTopsTshirtLongOffice_06.png")</f>
        <v/>
      </c>
      <c r="J216" s="22" t="str">
        <f>IMAGE("https://raw.githubusercontent.com/ltdimages/images/refs/heads/main/ClothTopsTshirtLongOffice_07.png")</f>
        <v/>
      </c>
      <c r="K216" s="63" t="s">
        <v>3103</v>
      </c>
      <c r="L216" s="23">
        <v>20.0</v>
      </c>
      <c r="M216" s="22" t="s">
        <v>4231</v>
      </c>
      <c r="N216" s="22" t="s">
        <v>3099</v>
      </c>
      <c r="O216" s="22" t="s">
        <v>45</v>
      </c>
      <c r="P216" s="22" t="s">
        <v>45</v>
      </c>
      <c r="Q216" s="22" t="s">
        <v>45</v>
      </c>
      <c r="R216" s="22" t="s">
        <v>45</v>
      </c>
      <c r="S216" s="22" t="s">
        <v>45</v>
      </c>
      <c r="T216" s="22" t="s">
        <v>2002</v>
      </c>
      <c r="U216" s="22" t="s">
        <v>45</v>
      </c>
      <c r="V216" s="22" t="s">
        <v>45</v>
      </c>
      <c r="W216" s="22" t="s">
        <v>5028</v>
      </c>
      <c r="X216" s="22" t="s">
        <v>3095</v>
      </c>
      <c r="Y216" s="22" t="s">
        <v>3095</v>
      </c>
      <c r="Z216" s="22" t="s">
        <v>3095</v>
      </c>
      <c r="AA216" s="22" t="s">
        <v>3095</v>
      </c>
      <c r="AB216" s="22" t="s">
        <v>3095</v>
      </c>
      <c r="AC216" s="22" t="s">
        <v>3095</v>
      </c>
      <c r="AD216" s="22" t="s">
        <v>3095</v>
      </c>
      <c r="AE216" s="22" t="s">
        <v>3095</v>
      </c>
      <c r="AF216" s="22" t="s">
        <v>3095</v>
      </c>
    </row>
    <row r="217" ht="45.0" customHeight="1">
      <c r="A217" s="55" t="s">
        <v>962</v>
      </c>
      <c r="B217" s="62" t="s">
        <v>4295</v>
      </c>
      <c r="C217" s="22" t="str">
        <f>IMAGE("https://raw.githubusercontent.com/ltdimages/images/refs/heads/main/ClothTopsTshirtHalfCamisoleTshirt_00.png")</f>
        <v/>
      </c>
      <c r="D217" s="22" t="str">
        <f>IMAGE("https://raw.githubusercontent.com/ltdimages/images/refs/heads/main/ClothTopsTshirtHalfCamisoleTshirt_01.png")</f>
        <v/>
      </c>
      <c r="E217" s="22" t="str">
        <f>IMAGE("https://raw.githubusercontent.com/ltdimages/images/refs/heads/main/ClothTopsTshirtHalfCamisoleTshirt_02.png")</f>
        <v/>
      </c>
      <c r="F217" s="22" t="str">
        <f>IMAGE("https://raw.githubusercontent.com/ltdimages/images/refs/heads/main/ClothTopsTshirtHalfCamisoleTshirt_03.png")</f>
        <v/>
      </c>
      <c r="G217" s="22" t="str">
        <f>IMAGE("https://raw.githubusercontent.com/ltdimages/images/refs/heads/main/ClothTopsTshirtHalfCamisoleTshirt_04.png")</f>
        <v/>
      </c>
      <c r="H217" s="22" t="str">
        <f>IMAGE("https://raw.githubusercontent.com/ltdimages/images/refs/heads/main/ClothTopsTshirtHalfCamisoleTshirt_05.png")</f>
        <v/>
      </c>
      <c r="I217" s="22" t="str">
        <f>IMAGE("https://raw.githubusercontent.com/ltdimages/images/refs/heads/main/ClothTopsTshirtHalfCamisoleTshirt_06.png")</f>
        <v/>
      </c>
      <c r="J217" s="22" t="str">
        <f>IMAGE("https://raw.githubusercontent.com/ltdimages/images/refs/heads/main/ClothTopsTshirtHalfCamisoleTshirt_07.png")</f>
        <v/>
      </c>
      <c r="K217" s="63" t="s">
        <v>3103</v>
      </c>
      <c r="L217" s="23">
        <v>14.3</v>
      </c>
      <c r="M217" s="22" t="s">
        <v>4231</v>
      </c>
      <c r="N217" s="22" t="s">
        <v>3099</v>
      </c>
      <c r="O217" s="22" t="s">
        <v>45</v>
      </c>
      <c r="P217" s="22" t="s">
        <v>45</v>
      </c>
      <c r="Q217" s="22" t="s">
        <v>45</v>
      </c>
      <c r="R217" s="22" t="s">
        <v>45</v>
      </c>
      <c r="S217" s="22" t="s">
        <v>45</v>
      </c>
      <c r="T217" s="22" t="s">
        <v>2002</v>
      </c>
      <c r="U217" s="22" t="s">
        <v>45</v>
      </c>
      <c r="V217" s="22" t="s">
        <v>45</v>
      </c>
      <c r="W217" s="22" t="s">
        <v>5029</v>
      </c>
      <c r="X217" s="22" t="s">
        <v>3095</v>
      </c>
      <c r="Y217" s="22" t="s">
        <v>3095</v>
      </c>
      <c r="Z217" s="22" t="s">
        <v>3095</v>
      </c>
      <c r="AA217" s="22" t="s">
        <v>3095</v>
      </c>
      <c r="AB217" s="22" t="s">
        <v>3095</v>
      </c>
      <c r="AC217" s="22" t="s">
        <v>3095</v>
      </c>
      <c r="AD217" s="22" t="s">
        <v>3095</v>
      </c>
      <c r="AE217" s="22" t="s">
        <v>3095</v>
      </c>
      <c r="AF217" s="22" t="s">
        <v>3095</v>
      </c>
    </row>
    <row r="218" ht="45.0" customHeight="1">
      <c r="A218" s="55" t="s">
        <v>966</v>
      </c>
      <c r="B218" s="62" t="s">
        <v>5030</v>
      </c>
      <c r="C218" s="22" t="str">
        <f>IMAGE("https://raw.githubusercontent.com/ltdimages/images/refs/heads/main/ClothTopsKnitCamisole_00.png")</f>
        <v/>
      </c>
      <c r="D218" s="22" t="str">
        <f>IMAGE("https://raw.githubusercontent.com/ltdimages/images/refs/heads/main/ClothTopsKnitCamisole_01.png")</f>
        <v/>
      </c>
      <c r="E218" s="22" t="str">
        <f>IMAGE("https://raw.githubusercontent.com/ltdimages/images/refs/heads/main/ClothTopsKnitCamisole_02.png")</f>
        <v/>
      </c>
      <c r="F218" s="22" t="str">
        <f>IMAGE("https://raw.githubusercontent.com/ltdimages/images/refs/heads/main/ClothTopsKnitCamisole_03.png")</f>
        <v/>
      </c>
      <c r="G218" s="22" t="str">
        <f>IMAGE("https://raw.githubusercontent.com/ltdimages/images/refs/heads/main/ClothTopsKnitCamisole_04.png")</f>
        <v/>
      </c>
      <c r="H218" s="22" t="str">
        <f>IMAGE("https://raw.githubusercontent.com/ltdimages/images/refs/heads/main/ClothTopsKnitCamisole_05.png")</f>
        <v/>
      </c>
      <c r="I218" s="22" t="str">
        <f>IMAGE("https://raw.githubusercontent.com/ltdimages/images/refs/heads/main/ClothTopsKnitCamisole_06.png")</f>
        <v/>
      </c>
      <c r="J218" s="22" t="str">
        <f>IMAGE("https://raw.githubusercontent.com/ltdimages/images/refs/heads/main/ClothTopsKnitCamisole_07.png")</f>
        <v/>
      </c>
      <c r="K218" s="63" t="s">
        <v>3103</v>
      </c>
      <c r="L218" s="23">
        <v>15.0</v>
      </c>
      <c r="M218" s="22" t="s">
        <v>4231</v>
      </c>
      <c r="N218" s="22" t="s">
        <v>3123</v>
      </c>
      <c r="O218" s="22" t="s">
        <v>45</v>
      </c>
      <c r="P218" s="22" t="s">
        <v>45</v>
      </c>
      <c r="Q218" s="22" t="s">
        <v>45</v>
      </c>
      <c r="R218" s="22" t="s">
        <v>45</v>
      </c>
      <c r="S218" s="22" t="s">
        <v>45</v>
      </c>
      <c r="T218" s="22" t="s">
        <v>2002</v>
      </c>
      <c r="U218" s="22" t="s">
        <v>45</v>
      </c>
      <c r="V218" s="22" t="s">
        <v>45</v>
      </c>
      <c r="W218" s="22" t="s">
        <v>5031</v>
      </c>
      <c r="X218" s="22" t="s">
        <v>3095</v>
      </c>
      <c r="Y218" s="22" t="s">
        <v>3095</v>
      </c>
      <c r="Z218" s="22" t="s">
        <v>3095</v>
      </c>
      <c r="AA218" s="22" t="s">
        <v>3095</v>
      </c>
      <c r="AB218" s="22" t="s">
        <v>3095</v>
      </c>
      <c r="AC218" s="22" t="s">
        <v>3095</v>
      </c>
      <c r="AD218" s="22" t="s">
        <v>3095</v>
      </c>
      <c r="AE218" s="22" t="s">
        <v>3095</v>
      </c>
      <c r="AF218" s="22" t="s">
        <v>3095</v>
      </c>
    </row>
    <row r="219" ht="45.0" customHeight="1">
      <c r="A219" s="55" t="s">
        <v>970</v>
      </c>
      <c r="B219" s="62" t="s">
        <v>4352</v>
      </c>
      <c r="C219" s="22" t="str">
        <f>IMAGE("https://raw.githubusercontent.com/ltdimages/images/refs/heads/main/ClothTopsYshirtPuffDolly_00.png")</f>
        <v/>
      </c>
      <c r="D219" s="22" t="str">
        <f>IMAGE("https://raw.githubusercontent.com/ltdimages/images/refs/heads/main/ClothTopsYshirtPuffDolly_01.png")</f>
        <v/>
      </c>
      <c r="E219" s="22" t="str">
        <f>IMAGE("https://raw.githubusercontent.com/ltdimages/images/refs/heads/main/ClothTopsYshirtPuffDolly_02.png")</f>
        <v/>
      </c>
      <c r="F219" s="22" t="str">
        <f>IMAGE("https://raw.githubusercontent.com/ltdimages/images/refs/heads/main/ClothTopsYshirtPuffDolly_03.png")</f>
        <v/>
      </c>
      <c r="G219" s="22" t="str">
        <f>IMAGE("https://raw.githubusercontent.com/ltdimages/images/refs/heads/main/ClothTopsYshirtPuffDolly_04.png")</f>
        <v/>
      </c>
      <c r="H219" s="22" t="str">
        <f>IMAGE("https://raw.githubusercontent.com/ltdimages/images/refs/heads/main/ClothTopsYshirtPuffDolly_05.png")</f>
        <v/>
      </c>
      <c r="I219" s="22" t="str">
        <f>IMAGE("https://raw.githubusercontent.com/ltdimages/images/refs/heads/main/ClothTopsYshirtPuffDolly_06.png")</f>
        <v/>
      </c>
      <c r="J219" s="22" t="str">
        <f>IMAGE("https://raw.githubusercontent.com/ltdimages/images/refs/heads/main/ClothTopsYshirtPuffDolly_07.png")</f>
        <v/>
      </c>
      <c r="K219" s="63" t="s">
        <v>3103</v>
      </c>
      <c r="L219" s="23">
        <v>19.0</v>
      </c>
      <c r="M219" s="22" t="s">
        <v>4231</v>
      </c>
      <c r="N219" s="22" t="s">
        <v>3099</v>
      </c>
      <c r="O219" s="22" t="s">
        <v>45</v>
      </c>
      <c r="P219" s="22" t="s">
        <v>45</v>
      </c>
      <c r="Q219" s="22" t="s">
        <v>45</v>
      </c>
      <c r="R219" s="22" t="s">
        <v>45</v>
      </c>
      <c r="S219" s="22" t="s">
        <v>45</v>
      </c>
      <c r="T219" s="22" t="s">
        <v>2002</v>
      </c>
      <c r="U219" s="22" t="s">
        <v>45</v>
      </c>
      <c r="V219" s="22" t="s">
        <v>45</v>
      </c>
      <c r="W219" s="22" t="s">
        <v>5032</v>
      </c>
      <c r="X219" s="22" t="s">
        <v>3095</v>
      </c>
      <c r="Y219" s="22" t="s">
        <v>3095</v>
      </c>
      <c r="Z219" s="22" t="s">
        <v>3095</v>
      </c>
      <c r="AA219" s="22" t="s">
        <v>3095</v>
      </c>
      <c r="AB219" s="22" t="s">
        <v>3095</v>
      </c>
      <c r="AC219" s="22" t="s">
        <v>3095</v>
      </c>
      <c r="AD219" s="22" t="s">
        <v>3095</v>
      </c>
      <c r="AE219" s="22" t="s">
        <v>3095</v>
      </c>
      <c r="AF219" s="22" t="s">
        <v>3095</v>
      </c>
    </row>
    <row r="220" ht="45.0" customHeight="1">
      <c r="A220" s="55" t="s">
        <v>974</v>
      </c>
      <c r="B220" s="62" t="s">
        <v>4416</v>
      </c>
      <c r="C220" s="22" t="str">
        <f>IMAGE("https://raw.githubusercontent.com/ltdimages/images/refs/heads/main/ClothTopsYshirtLongCA_00.png")</f>
        <v/>
      </c>
      <c r="D220" s="22" t="str">
        <f>IMAGE("https://raw.githubusercontent.com/ltdimages/images/refs/heads/main/ClothTopsYshirtLongCA_01.png")</f>
        <v/>
      </c>
      <c r="E220" s="22" t="str">
        <f>IMAGE("https://raw.githubusercontent.com/ltdimages/images/refs/heads/main/ClothTopsYshirtLongCA_02.png")</f>
        <v/>
      </c>
      <c r="F220" s="22" t="str">
        <f>IMAGE("https://raw.githubusercontent.com/ltdimages/images/refs/heads/main/ClothTopsYshirtLongCA_03.png")</f>
        <v/>
      </c>
      <c r="G220" s="22" t="str">
        <f>IMAGE("https://raw.githubusercontent.com/ltdimages/images/refs/heads/main/ClothTopsYshirtLongCA_04.png")</f>
        <v/>
      </c>
      <c r="H220" s="22" t="s">
        <v>3095</v>
      </c>
      <c r="I220" s="22" t="s">
        <v>3095</v>
      </c>
      <c r="J220" s="22" t="s">
        <v>3095</v>
      </c>
      <c r="K220" s="63" t="s">
        <v>3103</v>
      </c>
      <c r="L220" s="23">
        <v>20.0</v>
      </c>
      <c r="M220" s="22" t="s">
        <v>4231</v>
      </c>
      <c r="N220" s="22" t="s">
        <v>3099</v>
      </c>
      <c r="O220" s="22" t="s">
        <v>45</v>
      </c>
      <c r="P220" s="22" t="s">
        <v>45</v>
      </c>
      <c r="Q220" s="22" t="s">
        <v>45</v>
      </c>
      <c r="R220" s="22" t="s">
        <v>45</v>
      </c>
      <c r="S220" s="22" t="s">
        <v>45</v>
      </c>
      <c r="T220" s="22" t="s">
        <v>2002</v>
      </c>
      <c r="U220" s="22" t="s">
        <v>45</v>
      </c>
      <c r="V220" s="22" t="s">
        <v>45</v>
      </c>
      <c r="W220" s="22" t="s">
        <v>5033</v>
      </c>
      <c r="X220" s="22" t="s">
        <v>3095</v>
      </c>
      <c r="Y220" s="22" t="s">
        <v>3095</v>
      </c>
      <c r="Z220" s="22" t="s">
        <v>3095</v>
      </c>
      <c r="AA220" s="22" t="s">
        <v>3095</v>
      </c>
      <c r="AB220" s="22" t="s">
        <v>3095</v>
      </c>
      <c r="AC220" s="22" t="s">
        <v>3095</v>
      </c>
      <c r="AD220" s="22" t="s">
        <v>3095</v>
      </c>
      <c r="AE220" s="22" t="s">
        <v>3095</v>
      </c>
      <c r="AF220" s="22" t="s">
        <v>3095</v>
      </c>
    </row>
    <row r="221" ht="45.0" customHeight="1">
      <c r="A221" s="55" t="s">
        <v>977</v>
      </c>
      <c r="B221" s="62" t="s">
        <v>5034</v>
      </c>
      <c r="C221" s="22" t="str">
        <f>IMAGE("https://raw.githubusercontent.com/ltdimages/images/refs/heads/main/ClothTopsCoatHalfHeartApron_00.png")</f>
        <v/>
      </c>
      <c r="D221" s="22" t="str">
        <f>IMAGE("https://raw.githubusercontent.com/ltdimages/images/refs/heads/main/ClothTopsCoatHalfHeartApron_01.png")</f>
        <v/>
      </c>
      <c r="E221" s="22" t="str">
        <f>IMAGE("https://raw.githubusercontent.com/ltdimages/images/refs/heads/main/ClothTopsCoatHalfHeartApron_02.png")</f>
        <v/>
      </c>
      <c r="F221" s="22" t="str">
        <f>IMAGE("https://raw.githubusercontent.com/ltdimages/images/refs/heads/main/ClothTopsCoatHalfHeartApron_03.png")</f>
        <v/>
      </c>
      <c r="G221" s="22" t="str">
        <f>IMAGE("https://raw.githubusercontent.com/ltdimages/images/refs/heads/main/ClothTopsCoatHalfHeartApron_04.png")</f>
        <v/>
      </c>
      <c r="H221" s="22" t="str">
        <f>IMAGE("https://raw.githubusercontent.com/ltdimages/images/refs/heads/main/ClothTopsCoatHalfHeartApron_05.png")</f>
        <v/>
      </c>
      <c r="I221" s="22" t="str">
        <f>IMAGE("https://raw.githubusercontent.com/ltdimages/images/refs/heads/main/ClothTopsCoatHalfHeartApron_06.png")</f>
        <v/>
      </c>
      <c r="J221" s="22" t="str">
        <f>IMAGE("https://raw.githubusercontent.com/ltdimages/images/refs/heads/main/ClothTopsCoatHalfHeartApron_07.png")</f>
        <v/>
      </c>
      <c r="K221" s="63" t="s">
        <v>3103</v>
      </c>
      <c r="L221" s="23">
        <v>13.0</v>
      </c>
      <c r="M221" s="22" t="s">
        <v>4231</v>
      </c>
      <c r="N221" s="22" t="s">
        <v>3099</v>
      </c>
      <c r="O221" s="22" t="s">
        <v>45</v>
      </c>
      <c r="P221" s="22" t="s">
        <v>45</v>
      </c>
      <c r="Q221" s="22" t="s">
        <v>45</v>
      </c>
      <c r="R221" s="22" t="s">
        <v>45</v>
      </c>
      <c r="S221" s="22" t="s">
        <v>45</v>
      </c>
      <c r="T221" s="22" t="s">
        <v>2002</v>
      </c>
      <c r="U221" s="22" t="s">
        <v>45</v>
      </c>
      <c r="V221" s="22" t="s">
        <v>45</v>
      </c>
      <c r="W221" s="22" t="s">
        <v>5035</v>
      </c>
      <c r="X221" s="22" t="s">
        <v>3095</v>
      </c>
      <c r="Y221" s="22" t="s">
        <v>3095</v>
      </c>
      <c r="Z221" s="22" t="s">
        <v>3095</v>
      </c>
      <c r="AA221" s="22" t="s">
        <v>3095</v>
      </c>
      <c r="AB221" s="22" t="s">
        <v>3095</v>
      </c>
      <c r="AC221" s="22" t="s">
        <v>3095</v>
      </c>
      <c r="AD221" s="22" t="s">
        <v>3095</v>
      </c>
      <c r="AE221" s="22" t="s">
        <v>3095</v>
      </c>
      <c r="AF221" s="22" t="s">
        <v>3095</v>
      </c>
    </row>
    <row r="222" ht="45.0" customHeight="1">
      <c r="A222" s="55" t="s">
        <v>981</v>
      </c>
      <c r="B222" s="62" t="s">
        <v>4475</v>
      </c>
      <c r="C222" s="22" t="str">
        <f>IMAGE("https://raw.githubusercontent.com/ltdimages/images/refs/heads/main/ClothTopsLace_00.png")</f>
        <v/>
      </c>
      <c r="D222" s="22" t="str">
        <f>IMAGE("https://raw.githubusercontent.com/ltdimages/images/refs/heads/main/ClothTopsLace_01.png")</f>
        <v/>
      </c>
      <c r="E222" s="22" t="str">
        <f>IMAGE("https://raw.githubusercontent.com/ltdimages/images/refs/heads/main/ClothTopsLace_02.png")</f>
        <v/>
      </c>
      <c r="F222" s="22" t="str">
        <f>IMAGE("https://raw.githubusercontent.com/ltdimages/images/refs/heads/main/ClothTopsLace_03.png")</f>
        <v/>
      </c>
      <c r="G222" s="22" t="str">
        <f>IMAGE("https://raw.githubusercontent.com/ltdimages/images/refs/heads/main/ClothTopsLace_04.png")</f>
        <v/>
      </c>
      <c r="H222" s="22" t="str">
        <f>IMAGE("https://raw.githubusercontent.com/ltdimages/images/refs/heads/main/ClothTopsLace_05.png")</f>
        <v/>
      </c>
      <c r="I222" s="22" t="str">
        <f>IMAGE("https://raw.githubusercontent.com/ltdimages/images/refs/heads/main/ClothTopsLace_06.png")</f>
        <v/>
      </c>
      <c r="J222" s="22" t="str">
        <f>IMAGE("https://raw.githubusercontent.com/ltdimages/images/refs/heads/main/ClothTopsLace_07.png")</f>
        <v/>
      </c>
      <c r="K222" s="63" t="s">
        <v>3103</v>
      </c>
      <c r="L222" s="23">
        <v>14.3</v>
      </c>
      <c r="M222" s="22" t="s">
        <v>4231</v>
      </c>
      <c r="N222" s="22" t="s">
        <v>3099</v>
      </c>
      <c r="O222" s="22" t="s">
        <v>45</v>
      </c>
      <c r="P222" s="22" t="s">
        <v>45</v>
      </c>
      <c r="Q222" s="22" t="s">
        <v>45</v>
      </c>
      <c r="R222" s="22" t="s">
        <v>45</v>
      </c>
      <c r="S222" s="22" t="s">
        <v>45</v>
      </c>
      <c r="T222" s="22" t="s">
        <v>2002</v>
      </c>
      <c r="U222" s="22" t="s">
        <v>45</v>
      </c>
      <c r="V222" s="22" t="s">
        <v>45</v>
      </c>
      <c r="W222" s="22" t="s">
        <v>5036</v>
      </c>
      <c r="X222" s="22" t="s">
        <v>3095</v>
      </c>
      <c r="Y222" s="22" t="s">
        <v>3095</v>
      </c>
      <c r="Z222" s="22" t="s">
        <v>3095</v>
      </c>
      <c r="AA222" s="22" t="s">
        <v>3095</v>
      </c>
      <c r="AB222" s="22" t="s">
        <v>3095</v>
      </c>
      <c r="AC222" s="22" t="s">
        <v>3095</v>
      </c>
      <c r="AD222" s="22" t="s">
        <v>3095</v>
      </c>
      <c r="AE222" s="22" t="s">
        <v>3095</v>
      </c>
      <c r="AF222" s="22" t="s">
        <v>3095</v>
      </c>
    </row>
    <row r="223" ht="45.0" customHeight="1">
      <c r="A223" s="55" t="s">
        <v>985</v>
      </c>
      <c r="B223" s="62" t="s">
        <v>5037</v>
      </c>
      <c r="C223" s="22" t="str">
        <f>IMAGE("https://raw.githubusercontent.com/ltdimages/images/refs/heads/main/ClothTopsCropped_00.png")</f>
        <v/>
      </c>
      <c r="D223" s="22" t="str">
        <f>IMAGE("https://raw.githubusercontent.com/ltdimages/images/refs/heads/main/ClothTopsCropped_01.png")</f>
        <v/>
      </c>
      <c r="E223" s="22" t="str">
        <f>IMAGE("https://raw.githubusercontent.com/ltdimages/images/refs/heads/main/ClothTopsCropped_02.png")</f>
        <v/>
      </c>
      <c r="F223" s="22" t="str">
        <f>IMAGE("https://raw.githubusercontent.com/ltdimages/images/refs/heads/main/ClothTopsCropped_03.png")</f>
        <v/>
      </c>
      <c r="G223" s="22" t="str">
        <f>IMAGE("https://raw.githubusercontent.com/ltdimages/images/refs/heads/main/ClothTopsCropped_04.png")</f>
        <v/>
      </c>
      <c r="H223" s="22" t="str">
        <f>IMAGE("https://raw.githubusercontent.com/ltdimages/images/refs/heads/main/ClothTopsCropped_05.png")</f>
        <v/>
      </c>
      <c r="I223" s="22" t="str">
        <f>IMAGE("https://raw.githubusercontent.com/ltdimages/images/refs/heads/main/ClothTopsCropped_06.png")</f>
        <v/>
      </c>
      <c r="J223" s="22" t="str">
        <f>IMAGE("https://raw.githubusercontent.com/ltdimages/images/refs/heads/main/ClothTopsCropped_07.png")</f>
        <v/>
      </c>
      <c r="K223" s="63" t="s">
        <v>3103</v>
      </c>
      <c r="L223" s="23">
        <v>13.0</v>
      </c>
      <c r="M223" s="22" t="s">
        <v>4231</v>
      </c>
      <c r="N223" s="22" t="s">
        <v>3123</v>
      </c>
      <c r="O223" s="22" t="s">
        <v>45</v>
      </c>
      <c r="P223" s="22" t="s">
        <v>45</v>
      </c>
      <c r="Q223" s="22" t="s">
        <v>45</v>
      </c>
      <c r="R223" s="22" t="s">
        <v>45</v>
      </c>
      <c r="S223" s="22" t="s">
        <v>45</v>
      </c>
      <c r="T223" s="22" t="s">
        <v>2002</v>
      </c>
      <c r="U223" s="22" t="s">
        <v>45</v>
      </c>
      <c r="V223" s="22" t="s">
        <v>45</v>
      </c>
      <c r="W223" s="22" t="s">
        <v>5038</v>
      </c>
      <c r="X223" s="22" t="s">
        <v>3095</v>
      </c>
      <c r="Y223" s="22" t="s">
        <v>3095</v>
      </c>
      <c r="Z223" s="22" t="s">
        <v>3095</v>
      </c>
      <c r="AA223" s="22" t="s">
        <v>3095</v>
      </c>
      <c r="AB223" s="22" t="s">
        <v>3095</v>
      </c>
      <c r="AC223" s="22" t="s">
        <v>3095</v>
      </c>
      <c r="AD223" s="22" t="s">
        <v>3095</v>
      </c>
      <c r="AE223" s="22" t="s">
        <v>3095</v>
      </c>
      <c r="AF223" s="22" t="s">
        <v>3095</v>
      </c>
    </row>
    <row r="224" ht="45.0" customHeight="1">
      <c r="A224" s="55" t="s">
        <v>989</v>
      </c>
      <c r="B224" s="62" t="s">
        <v>5039</v>
      </c>
      <c r="C224" s="22" t="str">
        <f>IMAGE("https://raw.githubusercontent.com/ltdimages/images/refs/heads/main/ClothTopsYshirtLongOffice_00.png")</f>
        <v/>
      </c>
      <c r="D224" s="22" t="str">
        <f>IMAGE("https://raw.githubusercontent.com/ltdimages/images/refs/heads/main/ClothTopsYshirtLongOffice_01.png")</f>
        <v/>
      </c>
      <c r="E224" s="22" t="str">
        <f>IMAGE("https://raw.githubusercontent.com/ltdimages/images/refs/heads/main/ClothTopsYshirtLongOffice_02.png")</f>
        <v/>
      </c>
      <c r="F224" s="22" t="str">
        <f>IMAGE("https://raw.githubusercontent.com/ltdimages/images/refs/heads/main/ClothTopsYshirtLongOffice_03.png")</f>
        <v/>
      </c>
      <c r="G224" s="22" t="str">
        <f>IMAGE("https://raw.githubusercontent.com/ltdimages/images/refs/heads/main/ClothTopsYshirtLongOffice_04.png")</f>
        <v/>
      </c>
      <c r="H224" s="22" t="str">
        <f>IMAGE("https://raw.githubusercontent.com/ltdimages/images/refs/heads/main/ClothTopsYshirtLongOffice_05.png")</f>
        <v/>
      </c>
      <c r="I224" s="22" t="str">
        <f>IMAGE("https://raw.githubusercontent.com/ltdimages/images/refs/heads/main/ClothTopsYshirtLongOffice_06.png")</f>
        <v/>
      </c>
      <c r="J224" s="22" t="str">
        <f>IMAGE("https://raw.githubusercontent.com/ltdimages/images/refs/heads/main/ClothTopsYshirtLongOffice_07.png")</f>
        <v/>
      </c>
      <c r="K224" s="63" t="s">
        <v>3103</v>
      </c>
      <c r="L224" s="23">
        <v>14.0</v>
      </c>
      <c r="M224" s="22" t="s">
        <v>4231</v>
      </c>
      <c r="N224" s="22" t="s">
        <v>3099</v>
      </c>
      <c r="O224" s="22" t="s">
        <v>45</v>
      </c>
      <c r="P224" s="22" t="s">
        <v>45</v>
      </c>
      <c r="Q224" s="22" t="s">
        <v>45</v>
      </c>
      <c r="R224" s="22" t="s">
        <v>45</v>
      </c>
      <c r="S224" s="22" t="s">
        <v>45</v>
      </c>
      <c r="T224" s="22" t="s">
        <v>2002</v>
      </c>
      <c r="U224" s="22" t="s">
        <v>45</v>
      </c>
      <c r="V224" s="22" t="s">
        <v>45</v>
      </c>
      <c r="W224" s="22" t="s">
        <v>5040</v>
      </c>
      <c r="X224" s="22" t="s">
        <v>3095</v>
      </c>
      <c r="Y224" s="22" t="s">
        <v>3095</v>
      </c>
      <c r="Z224" s="22" t="s">
        <v>3095</v>
      </c>
      <c r="AA224" s="22" t="s">
        <v>3095</v>
      </c>
      <c r="AB224" s="22" t="s">
        <v>3095</v>
      </c>
      <c r="AC224" s="22" t="s">
        <v>3095</v>
      </c>
      <c r="AD224" s="22" t="s">
        <v>3095</v>
      </c>
      <c r="AE224" s="22" t="s">
        <v>3095</v>
      </c>
      <c r="AF224" s="22" t="s">
        <v>3095</v>
      </c>
    </row>
    <row r="225" ht="45.0" customHeight="1">
      <c r="A225" s="55" t="s">
        <v>993</v>
      </c>
      <c r="B225" s="62" t="s">
        <v>5041</v>
      </c>
      <c r="C225" s="22" t="str">
        <f>IMAGE("https://raw.githubusercontent.com/ltdimages/images/refs/heads/main/ClothTopsYshirtPuffBlouse_00.png")</f>
        <v/>
      </c>
      <c r="D225" s="22" t="str">
        <f>IMAGE("https://raw.githubusercontent.com/ltdimages/images/refs/heads/main/ClothTopsYshirtPuffBlouse_01.png")</f>
        <v/>
      </c>
      <c r="E225" s="22" t="str">
        <f>IMAGE("https://raw.githubusercontent.com/ltdimages/images/refs/heads/main/ClothTopsYshirtPuffBlouse_02.png")</f>
        <v/>
      </c>
      <c r="F225" s="22" t="str">
        <f>IMAGE("https://raw.githubusercontent.com/ltdimages/images/refs/heads/main/ClothTopsYshirtPuffBlouse_03.png")</f>
        <v/>
      </c>
      <c r="G225" s="22" t="str">
        <f>IMAGE("https://raw.githubusercontent.com/ltdimages/images/refs/heads/main/ClothTopsYshirtPuffBlouse_04.png")</f>
        <v/>
      </c>
      <c r="H225" s="22" t="str">
        <f>IMAGE("https://raw.githubusercontent.com/ltdimages/images/refs/heads/main/ClothTopsYshirtPuffBlouse_05.png")</f>
        <v/>
      </c>
      <c r="I225" s="22" t="str">
        <f>IMAGE("https://raw.githubusercontent.com/ltdimages/images/refs/heads/main/ClothTopsYshirtPuffBlouse_06.png")</f>
        <v/>
      </c>
      <c r="J225" s="22" t="str">
        <f>IMAGE("https://raw.githubusercontent.com/ltdimages/images/refs/heads/main/ClothTopsYshirtPuffBlouse_07.png")</f>
        <v/>
      </c>
      <c r="K225" s="63" t="s">
        <v>3103</v>
      </c>
      <c r="L225" s="23">
        <v>11.8</v>
      </c>
      <c r="M225" s="22" t="s">
        <v>4231</v>
      </c>
      <c r="N225" s="22" t="s">
        <v>3099</v>
      </c>
      <c r="O225" s="22" t="s">
        <v>45</v>
      </c>
      <c r="P225" s="22" t="s">
        <v>45</v>
      </c>
      <c r="Q225" s="22" t="s">
        <v>45</v>
      </c>
      <c r="R225" s="22" t="s">
        <v>45</v>
      </c>
      <c r="S225" s="22" t="s">
        <v>45</v>
      </c>
      <c r="T225" s="22" t="s">
        <v>2002</v>
      </c>
      <c r="U225" s="22" t="s">
        <v>45</v>
      </c>
      <c r="V225" s="22" t="s">
        <v>45</v>
      </c>
      <c r="W225" s="22" t="s">
        <v>5042</v>
      </c>
      <c r="X225" s="22" t="s">
        <v>3095</v>
      </c>
      <c r="Y225" s="22" t="s">
        <v>3095</v>
      </c>
      <c r="Z225" s="22" t="s">
        <v>3095</v>
      </c>
      <c r="AA225" s="22" t="s">
        <v>3095</v>
      </c>
      <c r="AB225" s="22" t="s">
        <v>3095</v>
      </c>
      <c r="AC225" s="22" t="s">
        <v>3095</v>
      </c>
      <c r="AD225" s="22" t="s">
        <v>3095</v>
      </c>
      <c r="AE225" s="22" t="s">
        <v>3095</v>
      </c>
      <c r="AF225" s="22" t="s">
        <v>3095</v>
      </c>
    </row>
    <row r="226" ht="45.0" customHeight="1">
      <c r="A226" s="55" t="s">
        <v>997</v>
      </c>
      <c r="B226" s="62" t="s">
        <v>4612</v>
      </c>
      <c r="C226" s="22" t="str">
        <f>IMAGE("https://raw.githubusercontent.com/ltdimages/images/refs/heads/main/ClothTopsTshirtLongSailor_00.png")</f>
        <v/>
      </c>
      <c r="D226" s="22" t="str">
        <f>IMAGE("https://raw.githubusercontent.com/ltdimages/images/refs/heads/main/ClothTopsTshirtLongSailor_01.png")</f>
        <v/>
      </c>
      <c r="E226" s="22" t="str">
        <f>IMAGE("https://raw.githubusercontent.com/ltdimages/images/refs/heads/main/ClothTopsTshirtLongSailor_02.png")</f>
        <v/>
      </c>
      <c r="F226" s="22" t="str">
        <f>IMAGE("https://raw.githubusercontent.com/ltdimages/images/refs/heads/main/ClothTopsTshirtLongSailor_03.png")</f>
        <v/>
      </c>
      <c r="G226" s="22" t="s">
        <v>3095</v>
      </c>
      <c r="H226" s="22" t="s">
        <v>3095</v>
      </c>
      <c r="I226" s="22" t="s">
        <v>3095</v>
      </c>
      <c r="J226" s="22" t="s">
        <v>3095</v>
      </c>
      <c r="K226" s="63" t="s">
        <v>3103</v>
      </c>
      <c r="L226" s="23">
        <v>15.0</v>
      </c>
      <c r="M226" s="22" t="s">
        <v>4231</v>
      </c>
      <c r="N226" s="22" t="s">
        <v>3099</v>
      </c>
      <c r="O226" s="22" t="s">
        <v>45</v>
      </c>
      <c r="P226" s="22" t="s">
        <v>45</v>
      </c>
      <c r="Q226" s="22" t="s">
        <v>45</v>
      </c>
      <c r="R226" s="22" t="s">
        <v>45</v>
      </c>
      <c r="S226" s="22" t="s">
        <v>45</v>
      </c>
      <c r="T226" s="22" t="s">
        <v>2002</v>
      </c>
      <c r="U226" s="22" t="s">
        <v>45</v>
      </c>
      <c r="V226" s="22" t="s">
        <v>45</v>
      </c>
      <c r="W226" s="22" t="s">
        <v>5043</v>
      </c>
      <c r="X226" s="22" t="s">
        <v>3095</v>
      </c>
      <c r="Y226" s="22" t="s">
        <v>3095</v>
      </c>
      <c r="Z226" s="22" t="s">
        <v>3095</v>
      </c>
      <c r="AA226" s="22" t="s">
        <v>3095</v>
      </c>
      <c r="AB226" s="22" t="s">
        <v>3095</v>
      </c>
      <c r="AC226" s="22" t="s">
        <v>3095</v>
      </c>
      <c r="AD226" s="22" t="s">
        <v>3095</v>
      </c>
      <c r="AE226" s="22" t="s">
        <v>3095</v>
      </c>
      <c r="AF226" s="22" t="s">
        <v>3095</v>
      </c>
    </row>
    <row r="227" ht="45.0" customHeight="1">
      <c r="A227" s="55" t="s">
        <v>1002</v>
      </c>
      <c r="B227" s="62" t="s">
        <v>4635</v>
      </c>
      <c r="C227" s="22" t="str">
        <f>IMAGE("https://raw.githubusercontent.com/ltdimages/images/refs/heads/main/ClothTopsYshirtHalfRibbon_00.png")</f>
        <v/>
      </c>
      <c r="D227" s="22" t="str">
        <f>IMAGE("https://raw.githubusercontent.com/ltdimages/images/refs/heads/main/ClothTopsYshirtHalfRibbon_01.png")</f>
        <v/>
      </c>
      <c r="E227" s="22" t="str">
        <f>IMAGE("https://raw.githubusercontent.com/ltdimages/images/refs/heads/main/ClothTopsYshirtHalfRibbon_02.png")</f>
        <v/>
      </c>
      <c r="F227" s="22" t="str">
        <f>IMAGE("https://raw.githubusercontent.com/ltdimages/images/refs/heads/main/ClothTopsYshirtHalfRibbon_03.png")</f>
        <v/>
      </c>
      <c r="G227" s="22" t="str">
        <f>IMAGE("https://raw.githubusercontent.com/ltdimages/images/refs/heads/main/ClothTopsYshirtHalfRibbon_04.png")</f>
        <v/>
      </c>
      <c r="H227" s="22" t="str">
        <f>IMAGE("https://raw.githubusercontent.com/ltdimages/images/refs/heads/main/ClothTopsYshirtHalfRibbon_05.png")</f>
        <v/>
      </c>
      <c r="I227" s="22" t="s">
        <v>3095</v>
      </c>
      <c r="J227" s="22" t="s">
        <v>3095</v>
      </c>
      <c r="K227" s="63" t="s">
        <v>3103</v>
      </c>
      <c r="L227" s="23">
        <v>12.0</v>
      </c>
      <c r="M227" s="22" t="s">
        <v>4231</v>
      </c>
      <c r="N227" s="22" t="s">
        <v>3123</v>
      </c>
      <c r="O227" s="22" t="s">
        <v>45</v>
      </c>
      <c r="P227" s="22" t="s">
        <v>45</v>
      </c>
      <c r="Q227" s="22" t="s">
        <v>45</v>
      </c>
      <c r="R227" s="22" t="s">
        <v>45</v>
      </c>
      <c r="S227" s="22" t="s">
        <v>45</v>
      </c>
      <c r="T227" s="22" t="s">
        <v>2002</v>
      </c>
      <c r="U227" s="22" t="s">
        <v>45</v>
      </c>
      <c r="V227" s="22" t="s">
        <v>45</v>
      </c>
      <c r="W227" s="22" t="s">
        <v>5044</v>
      </c>
      <c r="X227" s="22" t="s">
        <v>3095</v>
      </c>
      <c r="Y227" s="22" t="s">
        <v>3095</v>
      </c>
      <c r="Z227" s="22" t="s">
        <v>3095</v>
      </c>
      <c r="AA227" s="22" t="s">
        <v>3095</v>
      </c>
      <c r="AB227" s="22" t="s">
        <v>3095</v>
      </c>
      <c r="AC227" s="22" t="s">
        <v>3095</v>
      </c>
      <c r="AD227" s="22" t="s">
        <v>3095</v>
      </c>
      <c r="AE227" s="22" t="s">
        <v>3095</v>
      </c>
      <c r="AF227" s="22" t="s">
        <v>3095</v>
      </c>
    </row>
    <row r="228" ht="45.0" customHeight="1">
      <c r="A228" s="55" t="s">
        <v>1007</v>
      </c>
      <c r="B228" s="62" t="s">
        <v>5045</v>
      </c>
      <c r="C228" s="22" t="str">
        <f>IMAGE("https://raw.githubusercontent.com/ltdimages/images/refs/heads/main/ClothTopsYshirtPuffSmock_00.png")</f>
        <v/>
      </c>
      <c r="D228" s="22" t="str">
        <f>IMAGE("https://raw.githubusercontent.com/ltdimages/images/refs/heads/main/ClothTopsYshirtPuffSmock_01.png")</f>
        <v/>
      </c>
      <c r="E228" s="22" t="str">
        <f>IMAGE("https://raw.githubusercontent.com/ltdimages/images/refs/heads/main/ClothTopsYshirtPuffSmock_02.png")</f>
        <v/>
      </c>
      <c r="F228" s="22" t="str">
        <f>IMAGE("https://raw.githubusercontent.com/ltdimages/images/refs/heads/main/ClothTopsYshirtPuffSmock_03.png")</f>
        <v/>
      </c>
      <c r="G228" s="22" t="str">
        <f>IMAGE("https://raw.githubusercontent.com/ltdimages/images/refs/heads/main/ClothTopsYshirtPuffSmock_04.png")</f>
        <v/>
      </c>
      <c r="H228" s="22" t="str">
        <f>IMAGE("https://raw.githubusercontent.com/ltdimages/images/refs/heads/main/ClothTopsYshirtPuffSmock_05.png")</f>
        <v/>
      </c>
      <c r="I228" s="22" t="str">
        <f>IMAGE("https://raw.githubusercontent.com/ltdimages/images/refs/heads/main/ClothTopsYshirtPuffSmock_06.png")</f>
        <v/>
      </c>
      <c r="J228" s="22" t="str">
        <f>IMAGE("https://raw.githubusercontent.com/ltdimages/images/refs/heads/main/ClothTopsYshirtPuffSmock_07.png")</f>
        <v/>
      </c>
      <c r="K228" s="63" t="s">
        <v>3103</v>
      </c>
      <c r="L228" s="23">
        <v>13.8</v>
      </c>
      <c r="M228" s="22" t="s">
        <v>4231</v>
      </c>
      <c r="N228" s="22" t="s">
        <v>3123</v>
      </c>
      <c r="O228" s="22" t="s">
        <v>45</v>
      </c>
      <c r="P228" s="22" t="s">
        <v>45</v>
      </c>
      <c r="Q228" s="22" t="s">
        <v>45</v>
      </c>
      <c r="R228" s="22" t="s">
        <v>45</v>
      </c>
      <c r="S228" s="22" t="s">
        <v>45</v>
      </c>
      <c r="T228" s="22" t="s">
        <v>2002</v>
      </c>
      <c r="U228" s="22" t="s">
        <v>45</v>
      </c>
      <c r="V228" s="22" t="s">
        <v>45</v>
      </c>
      <c r="W228" s="22" t="s">
        <v>5046</v>
      </c>
      <c r="X228" s="22" t="s">
        <v>3095</v>
      </c>
      <c r="Y228" s="22" t="s">
        <v>3095</v>
      </c>
      <c r="Z228" s="22" t="s">
        <v>3095</v>
      </c>
      <c r="AA228" s="22" t="s">
        <v>3095</v>
      </c>
      <c r="AB228" s="22" t="s">
        <v>3095</v>
      </c>
      <c r="AC228" s="22" t="s">
        <v>3095</v>
      </c>
      <c r="AD228" s="22" t="s">
        <v>3095</v>
      </c>
      <c r="AE228" s="22" t="s">
        <v>3095</v>
      </c>
      <c r="AF228" s="22" t="s">
        <v>3095</v>
      </c>
    </row>
    <row r="229" ht="45.0" customHeight="1">
      <c r="A229" s="55" t="s">
        <v>1011</v>
      </c>
      <c r="B229" s="62" t="s">
        <v>4605</v>
      </c>
      <c r="C229" s="22" t="str">
        <f>IMAGE("https://raw.githubusercontent.com/ltdimages/images/refs/heads/main/ClothTopsSportsBra_00.png")</f>
        <v/>
      </c>
      <c r="D229" s="22" t="str">
        <f>IMAGE("https://raw.githubusercontent.com/ltdimages/images/refs/heads/main/ClothTopsSportsBra_01.png")</f>
        <v/>
      </c>
      <c r="E229" s="22" t="str">
        <f>IMAGE("https://raw.githubusercontent.com/ltdimages/images/refs/heads/main/ClothTopsSportsBra_02.png")</f>
        <v/>
      </c>
      <c r="F229" s="22" t="str">
        <f>IMAGE("https://raw.githubusercontent.com/ltdimages/images/refs/heads/main/ClothTopsSportsBra_03.png")</f>
        <v/>
      </c>
      <c r="G229" s="22" t="str">
        <f>IMAGE("https://raw.githubusercontent.com/ltdimages/images/refs/heads/main/ClothTopsSportsBra_04.png")</f>
        <v/>
      </c>
      <c r="H229" s="22" t="str">
        <f>IMAGE("https://raw.githubusercontent.com/ltdimages/images/refs/heads/main/ClothTopsSportsBra_05.png")</f>
        <v/>
      </c>
      <c r="I229" s="22" t="s">
        <v>3095</v>
      </c>
      <c r="J229" s="22" t="s">
        <v>3095</v>
      </c>
      <c r="K229" s="63" t="s">
        <v>3103</v>
      </c>
      <c r="L229" s="23">
        <v>9.5</v>
      </c>
      <c r="M229" s="22" t="s">
        <v>4231</v>
      </c>
      <c r="N229" s="22" t="s">
        <v>3123</v>
      </c>
      <c r="O229" s="22" t="s">
        <v>45</v>
      </c>
      <c r="P229" s="22" t="s">
        <v>45</v>
      </c>
      <c r="Q229" s="22" t="s">
        <v>45</v>
      </c>
      <c r="R229" s="22" t="s">
        <v>45</v>
      </c>
      <c r="S229" s="22" t="s">
        <v>45</v>
      </c>
      <c r="T229" s="22" t="s">
        <v>2002</v>
      </c>
      <c r="U229" s="22" t="s">
        <v>45</v>
      </c>
      <c r="V229" s="22" t="s">
        <v>45</v>
      </c>
      <c r="W229" s="22" t="s">
        <v>5047</v>
      </c>
      <c r="X229" s="22" t="s">
        <v>3095</v>
      </c>
      <c r="Y229" s="22" t="s">
        <v>3095</v>
      </c>
      <c r="Z229" s="22" t="s">
        <v>3095</v>
      </c>
      <c r="AA229" s="22" t="s">
        <v>3095</v>
      </c>
      <c r="AB229" s="22" t="s">
        <v>3095</v>
      </c>
      <c r="AC229" s="22" t="s">
        <v>3095</v>
      </c>
      <c r="AD229" s="22" t="s">
        <v>3095</v>
      </c>
      <c r="AE229" s="22" t="s">
        <v>3095</v>
      </c>
      <c r="AF229" s="22" t="s">
        <v>3095</v>
      </c>
    </row>
    <row r="230" ht="45.0" customHeight="1">
      <c r="A230" s="55" t="s">
        <v>1015</v>
      </c>
      <c r="B230" s="62" t="s">
        <v>4683</v>
      </c>
      <c r="C230" s="22" t="str">
        <f>IMAGE("https://raw.githubusercontent.com/ltdimages/images/refs/heads/main/ClothTopsTshirtHalfSailor_00.png")</f>
        <v/>
      </c>
      <c r="D230" s="22" t="str">
        <f>IMAGE("https://raw.githubusercontent.com/ltdimages/images/refs/heads/main/ClothTopsTshirtHalfSailor_01.png")</f>
        <v/>
      </c>
      <c r="E230" s="22" t="str">
        <f>IMAGE("https://raw.githubusercontent.com/ltdimages/images/refs/heads/main/ClothTopsTshirtHalfSailor_02.png")</f>
        <v/>
      </c>
      <c r="F230" s="22" t="str">
        <f>IMAGE("https://raw.githubusercontent.com/ltdimages/images/refs/heads/main/ClothTopsTshirtHalfSailor_03.png")</f>
        <v/>
      </c>
      <c r="G230" s="22" t="str">
        <f>IMAGE("https://raw.githubusercontent.com/ltdimages/images/refs/heads/main/ClothTopsTshirtHalfSailor_04.png")</f>
        <v/>
      </c>
      <c r="H230" s="22" t="str">
        <f>IMAGE("https://raw.githubusercontent.com/ltdimages/images/refs/heads/main/ClothTopsTshirtHalfSailor_05.png")</f>
        <v/>
      </c>
      <c r="I230" s="22" t="str">
        <f>IMAGE("https://raw.githubusercontent.com/ltdimages/images/refs/heads/main/ClothTopsTshirtHalfSailor_06.png")</f>
        <v/>
      </c>
      <c r="J230" s="22" t="str">
        <f>IMAGE("https://raw.githubusercontent.com/ltdimages/images/refs/heads/main/ClothTopsTshirtHalfSailor_07.png")</f>
        <v/>
      </c>
      <c r="K230" s="63" t="s">
        <v>3103</v>
      </c>
      <c r="L230" s="23">
        <v>12.0</v>
      </c>
      <c r="M230" s="22" t="s">
        <v>4231</v>
      </c>
      <c r="N230" s="22" t="s">
        <v>3123</v>
      </c>
      <c r="O230" s="22" t="s">
        <v>45</v>
      </c>
      <c r="P230" s="22" t="s">
        <v>45</v>
      </c>
      <c r="Q230" s="22" t="s">
        <v>45</v>
      </c>
      <c r="R230" s="22" t="s">
        <v>45</v>
      </c>
      <c r="S230" s="22" t="s">
        <v>45</v>
      </c>
      <c r="T230" s="22" t="s">
        <v>2002</v>
      </c>
      <c r="U230" s="22" t="s">
        <v>45</v>
      </c>
      <c r="V230" s="22" t="s">
        <v>45</v>
      </c>
      <c r="W230" s="22" t="s">
        <v>5048</v>
      </c>
      <c r="X230" s="22" t="s">
        <v>3095</v>
      </c>
      <c r="Y230" s="22" t="s">
        <v>3095</v>
      </c>
      <c r="Z230" s="22" t="s">
        <v>3095</v>
      </c>
      <c r="AA230" s="22" t="s">
        <v>3095</v>
      </c>
      <c r="AB230" s="22" t="s">
        <v>3095</v>
      </c>
      <c r="AC230" s="22" t="s">
        <v>3095</v>
      </c>
      <c r="AD230" s="22" t="s">
        <v>3095</v>
      </c>
      <c r="AE230" s="22" t="s">
        <v>3095</v>
      </c>
      <c r="AF230" s="22" t="s">
        <v>3095</v>
      </c>
    </row>
    <row r="231" ht="45.0" customHeight="1">
      <c r="A231" s="55" t="s">
        <v>1020</v>
      </c>
      <c r="B231" s="62" t="s">
        <v>4739</v>
      </c>
      <c r="C231" s="22" t="str">
        <f>IMAGE("https://raw.githubusercontent.com/ltdimages/images/refs/heads/main/ClothTopsTubetop_00.png")</f>
        <v/>
      </c>
      <c r="D231" s="22" t="str">
        <f>IMAGE("https://raw.githubusercontent.com/ltdimages/images/refs/heads/main/ClothTopsTubetop_01.png")</f>
        <v/>
      </c>
      <c r="E231" s="22" t="str">
        <f>IMAGE("https://raw.githubusercontent.com/ltdimages/images/refs/heads/main/ClothTopsTubetop_02.png")</f>
        <v/>
      </c>
      <c r="F231" s="22" t="str">
        <f>IMAGE("https://raw.githubusercontent.com/ltdimages/images/refs/heads/main/ClothTopsTubetop_03.png")</f>
        <v/>
      </c>
      <c r="G231" s="22" t="str">
        <f>IMAGE("https://raw.githubusercontent.com/ltdimages/images/refs/heads/main/ClothTopsTubetop_04.png")</f>
        <v/>
      </c>
      <c r="H231" s="22" t="str">
        <f>IMAGE("https://raw.githubusercontent.com/ltdimages/images/refs/heads/main/ClothTopsTubetop_05.png")</f>
        <v/>
      </c>
      <c r="I231" s="22" t="str">
        <f>IMAGE("https://raw.githubusercontent.com/ltdimages/images/refs/heads/main/ClothTopsTubetop_06.png")</f>
        <v/>
      </c>
      <c r="J231" s="22" t="str">
        <f>IMAGE("https://raw.githubusercontent.com/ltdimages/images/refs/heads/main/ClothTopsTubetop_07.png")</f>
        <v/>
      </c>
      <c r="K231" s="63" t="s">
        <v>3103</v>
      </c>
      <c r="L231" s="23">
        <v>11.0</v>
      </c>
      <c r="M231" s="22" t="s">
        <v>4231</v>
      </c>
      <c r="N231" s="22" t="s">
        <v>3123</v>
      </c>
      <c r="O231" s="22" t="s">
        <v>45</v>
      </c>
      <c r="P231" s="22" t="s">
        <v>45</v>
      </c>
      <c r="Q231" s="22" t="s">
        <v>45</v>
      </c>
      <c r="R231" s="22" t="s">
        <v>45</v>
      </c>
      <c r="S231" s="22" t="s">
        <v>45</v>
      </c>
      <c r="T231" s="22" t="s">
        <v>2002</v>
      </c>
      <c r="U231" s="22" t="s">
        <v>45</v>
      </c>
      <c r="V231" s="22" t="s">
        <v>45</v>
      </c>
      <c r="W231" s="22" t="s">
        <v>5049</v>
      </c>
      <c r="X231" s="22" t="s">
        <v>3095</v>
      </c>
      <c r="Y231" s="22" t="s">
        <v>3095</v>
      </c>
      <c r="Z231" s="22" t="s">
        <v>3095</v>
      </c>
      <c r="AA231" s="22" t="s">
        <v>3095</v>
      </c>
      <c r="AB231" s="22" t="s">
        <v>3095</v>
      </c>
      <c r="AC231" s="22" t="s">
        <v>3095</v>
      </c>
      <c r="AD231" s="22" t="s">
        <v>3095</v>
      </c>
      <c r="AE231" s="22" t="s">
        <v>3095</v>
      </c>
      <c r="AF231" s="22" t="s">
        <v>3095</v>
      </c>
    </row>
    <row r="232" ht="45.0" customHeight="1">
      <c r="A232" s="55" t="s">
        <v>1024</v>
      </c>
      <c r="B232" s="62" t="s">
        <v>4704</v>
      </c>
      <c r="C232" s="22" t="str">
        <f>IMAGE("https://raw.githubusercontent.com/ltdimages/images/refs/heads/main/ClothTopsTshirtLongTweedJacket_00.png")</f>
        <v/>
      </c>
      <c r="D232" s="22" t="str">
        <f>IMAGE("https://raw.githubusercontent.com/ltdimages/images/refs/heads/main/ClothTopsTshirtLongTweedJacket_01.png")</f>
        <v/>
      </c>
      <c r="E232" s="22" t="str">
        <f>IMAGE("https://raw.githubusercontent.com/ltdimages/images/refs/heads/main/ClothTopsTshirtLongTweedJacket_02.png")</f>
        <v/>
      </c>
      <c r="F232" s="22" t="s">
        <v>3095</v>
      </c>
      <c r="G232" s="22" t="s">
        <v>3095</v>
      </c>
      <c r="H232" s="22" t="s">
        <v>3095</v>
      </c>
      <c r="I232" s="22" t="s">
        <v>3095</v>
      </c>
      <c r="J232" s="22" t="s">
        <v>3095</v>
      </c>
      <c r="K232" s="63" t="s">
        <v>3103</v>
      </c>
      <c r="L232" s="23">
        <v>25.0</v>
      </c>
      <c r="M232" s="22" t="s">
        <v>4231</v>
      </c>
      <c r="N232" s="22" t="s">
        <v>3099</v>
      </c>
      <c r="O232" s="22" t="s">
        <v>45</v>
      </c>
      <c r="P232" s="22" t="s">
        <v>45</v>
      </c>
      <c r="Q232" s="22" t="s">
        <v>45</v>
      </c>
      <c r="R232" s="22" t="s">
        <v>45</v>
      </c>
      <c r="S232" s="22" t="s">
        <v>45</v>
      </c>
      <c r="T232" s="22" t="s">
        <v>2002</v>
      </c>
      <c r="U232" s="22" t="s">
        <v>45</v>
      </c>
      <c r="V232" s="22" t="s">
        <v>45</v>
      </c>
      <c r="W232" s="22" t="s">
        <v>5050</v>
      </c>
      <c r="X232" s="22" t="s">
        <v>3095</v>
      </c>
      <c r="Y232" s="22" t="s">
        <v>3095</v>
      </c>
      <c r="Z232" s="22" t="s">
        <v>3095</v>
      </c>
      <c r="AA232" s="22" t="s">
        <v>3095</v>
      </c>
      <c r="AB232" s="22" t="s">
        <v>3095</v>
      </c>
      <c r="AC232" s="22" t="s">
        <v>3095</v>
      </c>
      <c r="AD232" s="22" t="s">
        <v>3095</v>
      </c>
      <c r="AE232" s="22" t="s">
        <v>3095</v>
      </c>
      <c r="AF232" s="22" t="s">
        <v>3095</v>
      </c>
    </row>
    <row r="233" ht="45.0" customHeight="1">
      <c r="A233" s="55" t="s">
        <v>3095</v>
      </c>
      <c r="B233" s="62" t="s">
        <v>4744</v>
      </c>
      <c r="C233" s="22" t="str">
        <f>IMAGE("https://raw.githubusercontent.com/ltdimages/images/refs/heads/main/ClothTopsTshirtLongDefault_00.png")</f>
        <v/>
      </c>
      <c r="D233" s="22" t="str">
        <f>IMAGE("https://raw.githubusercontent.com/ltdimages/images/refs/heads/main/ClothTopsTshirtLongDefault_01.png")</f>
        <v/>
      </c>
      <c r="E233" s="22" t="str">
        <f>IMAGE("https://raw.githubusercontent.com/ltdimages/images/refs/heads/main/ClothTopsTshirtLongDefault_02.png")</f>
        <v/>
      </c>
      <c r="F233" s="22" t="str">
        <f>IMAGE("https://raw.githubusercontent.com/ltdimages/images/refs/heads/main/ClothTopsTshirtLongDefault_03.png")</f>
        <v/>
      </c>
      <c r="G233" s="22" t="str">
        <f>IMAGE("https://raw.githubusercontent.com/ltdimages/images/refs/heads/main/ClothTopsTshirtLongDefault_04.png")</f>
        <v/>
      </c>
      <c r="H233" s="22" t="str">
        <f>IMAGE("https://raw.githubusercontent.com/ltdimages/images/refs/heads/main/ClothTopsTshirtLongDefault_05.png")</f>
        <v/>
      </c>
      <c r="I233" s="22" t="str">
        <f>IMAGE("https://raw.githubusercontent.com/ltdimages/images/refs/heads/main/ClothTopsTshirtLongDefault_06.png")</f>
        <v/>
      </c>
      <c r="J233" s="22" t="str">
        <f>IMAGE("https://raw.githubusercontent.com/ltdimages/images/refs/heads/main/ClothTopsTshirtLongDefault_07.png")</f>
        <v/>
      </c>
      <c r="K233" s="63" t="s">
        <v>3103</v>
      </c>
      <c r="L233" s="23">
        <v>0.0</v>
      </c>
      <c r="M233" s="22" t="s">
        <v>3097</v>
      </c>
      <c r="N233" s="22" t="s">
        <v>3099</v>
      </c>
      <c r="O233" s="22" t="s">
        <v>45</v>
      </c>
      <c r="P233" s="22" t="s">
        <v>45</v>
      </c>
      <c r="Q233" s="22" t="s">
        <v>45</v>
      </c>
      <c r="R233" s="22" t="s">
        <v>45</v>
      </c>
      <c r="S233" s="22" t="s">
        <v>49</v>
      </c>
      <c r="T233" s="22" t="s">
        <v>2002</v>
      </c>
      <c r="U233" s="22" t="s">
        <v>45</v>
      </c>
      <c r="V233" s="22" t="s">
        <v>45</v>
      </c>
      <c r="W233" s="22" t="s">
        <v>5051</v>
      </c>
      <c r="X233" s="22" t="str">
        <f>IMAGE("https://raw.githubusercontent.com/ltdimages/images/refs/heads/main/ClothTopsTshirtLongDefault_08.png")</f>
        <v/>
      </c>
      <c r="Y233" s="22" t="str">
        <f>IMAGE("https://raw.githubusercontent.com/ltdimages/images/refs/heads/main/ClothTopsTshirtLongDefault_09.png")</f>
        <v/>
      </c>
      <c r="Z233" s="22" t="str">
        <f>IMAGE("https://raw.githubusercontent.com/ltdimages/images/refs/heads/main/ClothTopsTshirtLongDefault_10.png")</f>
        <v/>
      </c>
      <c r="AA233" s="22" t="str">
        <f>IMAGE("https://raw.githubusercontent.com/ltdimages/images/refs/heads/main/ClothTopsTshirtLongDefault_11.png")</f>
        <v/>
      </c>
      <c r="AB233" s="22" t="str">
        <f>IMAGE("https://raw.githubusercontent.com/ltdimages/images/refs/heads/main/ClothTopsTshirtLongDefault_12.png")</f>
        <v/>
      </c>
      <c r="AC233" s="22" t="str">
        <f>IMAGE("https://raw.githubusercontent.com/ltdimages/images/refs/heads/main/ClothTopsTshirtLongDefault_13.png")</f>
        <v/>
      </c>
      <c r="AD233" s="22" t="str">
        <f>IMAGE("https://raw.githubusercontent.com/ltdimages/images/refs/heads/main/ClothTopsTshirtLongDefault_14.png")</f>
        <v/>
      </c>
      <c r="AE233" s="22" t="str">
        <f>IMAGE("https://raw.githubusercontent.com/ltdimages/images/refs/heads/main/ClothTopsTshirtLongDefault_15.png")</f>
        <v/>
      </c>
      <c r="AF233" s="22" t="str">
        <f>IMAGE("https://raw.githubusercontent.com/ltdimages/images/refs/heads/main/ClothTopsTshirtLongDefault_16.png")</f>
        <v/>
      </c>
    </row>
    <row r="234" ht="45.0" customHeight="1">
      <c r="A234" s="55" t="s">
        <v>3095</v>
      </c>
      <c r="B234" s="62"/>
      <c r="C234" s="22" t="str">
        <f>IMAGE("https://raw.githubusercontent.com/ltdimages/images/refs/heads/main/ClothTopsUgcTshirtHalf_00.png")</f>
        <v/>
      </c>
      <c r="D234" s="22" t="s">
        <v>3095</v>
      </c>
      <c r="E234" s="22" t="s">
        <v>3095</v>
      </c>
      <c r="F234" s="22" t="s">
        <v>3095</v>
      </c>
      <c r="G234" s="22" t="s">
        <v>3095</v>
      </c>
      <c r="H234" s="22" t="s">
        <v>3095</v>
      </c>
      <c r="I234" s="22" t="s">
        <v>3095</v>
      </c>
      <c r="J234" s="22" t="s">
        <v>3095</v>
      </c>
      <c r="K234" s="63" t="s">
        <v>3103</v>
      </c>
      <c r="L234" s="23">
        <v>0.0</v>
      </c>
      <c r="M234" s="22" t="s">
        <v>3097</v>
      </c>
      <c r="N234" s="22" t="s">
        <v>3099</v>
      </c>
      <c r="O234" s="22" t="s">
        <v>45</v>
      </c>
      <c r="P234" s="22" t="s">
        <v>45</v>
      </c>
      <c r="Q234" s="22" t="s">
        <v>45</v>
      </c>
      <c r="R234" s="22" t="s">
        <v>45</v>
      </c>
      <c r="S234" s="22" t="s">
        <v>49</v>
      </c>
      <c r="T234" s="22" t="s">
        <v>2002</v>
      </c>
      <c r="U234" s="22" t="s">
        <v>45</v>
      </c>
      <c r="V234" s="22" t="s">
        <v>45</v>
      </c>
      <c r="W234" s="22" t="s">
        <v>5052</v>
      </c>
      <c r="X234" s="22" t="s">
        <v>3095</v>
      </c>
      <c r="Y234" s="22" t="s">
        <v>3095</v>
      </c>
      <c r="Z234" s="22" t="s">
        <v>3095</v>
      </c>
      <c r="AA234" s="22" t="s">
        <v>3095</v>
      </c>
      <c r="AB234" s="22" t="s">
        <v>3095</v>
      </c>
      <c r="AC234" s="22" t="s">
        <v>3095</v>
      </c>
      <c r="AD234" s="22" t="s">
        <v>3095</v>
      </c>
      <c r="AE234" s="22" t="s">
        <v>3095</v>
      </c>
      <c r="AF234" s="22" t="s">
        <v>3095</v>
      </c>
    </row>
    <row r="235" ht="45.0" customHeight="1">
      <c r="A235" s="55" t="s">
        <v>3095</v>
      </c>
      <c r="B235" s="62"/>
      <c r="C235" s="22" t="str">
        <f>IMAGE("https://raw.githubusercontent.com/ltdimages/images/refs/heads/main/ClothTopsUgcTshirtHalfEasy_00.png")</f>
        <v/>
      </c>
      <c r="D235" s="22" t="s">
        <v>3095</v>
      </c>
      <c r="E235" s="22" t="s">
        <v>3095</v>
      </c>
      <c r="F235" s="22" t="s">
        <v>3095</v>
      </c>
      <c r="G235" s="22" t="s">
        <v>3095</v>
      </c>
      <c r="H235" s="22" t="s">
        <v>3095</v>
      </c>
      <c r="I235" s="22" t="s">
        <v>3095</v>
      </c>
      <c r="J235" s="22" t="s">
        <v>3095</v>
      </c>
      <c r="K235" s="63" t="s">
        <v>3103</v>
      </c>
      <c r="L235" s="23">
        <v>0.0</v>
      </c>
      <c r="M235" s="22" t="s">
        <v>3097</v>
      </c>
      <c r="N235" s="22" t="s">
        <v>3099</v>
      </c>
      <c r="O235" s="22" t="s">
        <v>45</v>
      </c>
      <c r="P235" s="22" t="s">
        <v>45</v>
      </c>
      <c r="Q235" s="22" t="s">
        <v>45</v>
      </c>
      <c r="R235" s="22" t="s">
        <v>45</v>
      </c>
      <c r="S235" s="22" t="s">
        <v>49</v>
      </c>
      <c r="T235" s="22" t="s">
        <v>2002</v>
      </c>
      <c r="U235" s="22" t="s">
        <v>45</v>
      </c>
      <c r="V235" s="22" t="s">
        <v>45</v>
      </c>
      <c r="W235" s="22" t="s">
        <v>5053</v>
      </c>
      <c r="X235" s="22" t="s">
        <v>3095</v>
      </c>
      <c r="Y235" s="22" t="s">
        <v>3095</v>
      </c>
      <c r="Z235" s="22" t="s">
        <v>3095</v>
      </c>
      <c r="AA235" s="22" t="s">
        <v>3095</v>
      </c>
      <c r="AB235" s="22" t="s">
        <v>3095</v>
      </c>
      <c r="AC235" s="22" t="s">
        <v>3095</v>
      </c>
      <c r="AD235" s="22" t="s">
        <v>3095</v>
      </c>
      <c r="AE235" s="22" t="s">
        <v>3095</v>
      </c>
      <c r="AF235" s="22" t="s">
        <v>3095</v>
      </c>
    </row>
    <row r="236" ht="45.0" customHeight="1">
      <c r="A236" s="55" t="s">
        <v>3095</v>
      </c>
      <c r="B236" s="62"/>
      <c r="C236" s="22" t="str">
        <f>IMAGE("https://raw.githubusercontent.com/ltdimages/images/refs/heads/main/ClothTopsUgcTshirtLong_00.png")</f>
        <v/>
      </c>
      <c r="D236" s="22" t="s">
        <v>3095</v>
      </c>
      <c r="E236" s="22" t="s">
        <v>3095</v>
      </c>
      <c r="F236" s="22" t="s">
        <v>3095</v>
      </c>
      <c r="G236" s="22" t="s">
        <v>3095</v>
      </c>
      <c r="H236" s="22" t="s">
        <v>3095</v>
      </c>
      <c r="I236" s="22" t="s">
        <v>3095</v>
      </c>
      <c r="J236" s="22" t="s">
        <v>3095</v>
      </c>
      <c r="K236" s="63" t="s">
        <v>3103</v>
      </c>
      <c r="L236" s="23">
        <v>0.0</v>
      </c>
      <c r="M236" s="22" t="s">
        <v>3097</v>
      </c>
      <c r="N236" s="22" t="s">
        <v>3099</v>
      </c>
      <c r="O236" s="22" t="s">
        <v>45</v>
      </c>
      <c r="P236" s="22" t="s">
        <v>45</v>
      </c>
      <c r="Q236" s="22" t="s">
        <v>45</v>
      </c>
      <c r="R236" s="22" t="s">
        <v>45</v>
      </c>
      <c r="S236" s="22" t="s">
        <v>49</v>
      </c>
      <c r="T236" s="22" t="s">
        <v>2002</v>
      </c>
      <c r="U236" s="22" t="s">
        <v>45</v>
      </c>
      <c r="V236" s="22" t="s">
        <v>45</v>
      </c>
      <c r="W236" s="22" t="s">
        <v>5054</v>
      </c>
      <c r="X236" s="22" t="s">
        <v>3095</v>
      </c>
      <c r="Y236" s="22" t="s">
        <v>3095</v>
      </c>
      <c r="Z236" s="22" t="s">
        <v>3095</v>
      </c>
      <c r="AA236" s="22" t="s">
        <v>3095</v>
      </c>
      <c r="AB236" s="22" t="s">
        <v>3095</v>
      </c>
      <c r="AC236" s="22" t="s">
        <v>3095</v>
      </c>
      <c r="AD236" s="22" t="s">
        <v>3095</v>
      </c>
      <c r="AE236" s="22" t="s">
        <v>3095</v>
      </c>
      <c r="AF236" s="22" t="s">
        <v>3095</v>
      </c>
    </row>
    <row r="237" ht="45.0" customHeight="1">
      <c r="A237" s="55" t="s">
        <v>3095</v>
      </c>
      <c r="B237" s="62"/>
      <c r="C237" s="22" t="str">
        <f>IMAGE("https://raw.githubusercontent.com/ltdimages/images/refs/heads/main/ClothTopsUgcTshirtSleeveless_00.png")</f>
        <v/>
      </c>
      <c r="D237" s="22" t="s">
        <v>3095</v>
      </c>
      <c r="E237" s="22" t="s">
        <v>3095</v>
      </c>
      <c r="F237" s="22" t="s">
        <v>3095</v>
      </c>
      <c r="G237" s="22" t="s">
        <v>3095</v>
      </c>
      <c r="H237" s="22" t="s">
        <v>3095</v>
      </c>
      <c r="I237" s="22" t="s">
        <v>3095</v>
      </c>
      <c r="J237" s="22" t="s">
        <v>3095</v>
      </c>
      <c r="K237" s="63" t="s">
        <v>3103</v>
      </c>
      <c r="L237" s="23">
        <v>0.0</v>
      </c>
      <c r="M237" s="22" t="s">
        <v>3097</v>
      </c>
      <c r="N237" s="22" t="s">
        <v>3099</v>
      </c>
      <c r="O237" s="22" t="s">
        <v>45</v>
      </c>
      <c r="P237" s="22" t="s">
        <v>45</v>
      </c>
      <c r="Q237" s="22" t="s">
        <v>45</v>
      </c>
      <c r="R237" s="22" t="s">
        <v>45</v>
      </c>
      <c r="S237" s="22" t="s">
        <v>49</v>
      </c>
      <c r="T237" s="22" t="s">
        <v>2002</v>
      </c>
      <c r="U237" s="22" t="s">
        <v>45</v>
      </c>
      <c r="V237" s="22" t="s">
        <v>45</v>
      </c>
      <c r="W237" s="22" t="s">
        <v>5055</v>
      </c>
      <c r="X237" s="22" t="s">
        <v>3095</v>
      </c>
      <c r="Y237" s="22" t="s">
        <v>3095</v>
      </c>
      <c r="Z237" s="22" t="s">
        <v>3095</v>
      </c>
      <c r="AA237" s="22" t="s">
        <v>3095</v>
      </c>
      <c r="AB237" s="22" t="s">
        <v>3095</v>
      </c>
      <c r="AC237" s="22" t="s">
        <v>3095</v>
      </c>
      <c r="AD237" s="22" t="s">
        <v>3095</v>
      </c>
      <c r="AE237" s="22" t="s">
        <v>3095</v>
      </c>
      <c r="AF237" s="22" t="s">
        <v>3095</v>
      </c>
    </row>
    <row r="238" ht="45.0" customHeight="1">
      <c r="A238" s="55" t="s">
        <v>3095</v>
      </c>
      <c r="B238" s="62"/>
      <c r="C238" s="22" t="str">
        <f>IMAGE("https://raw.githubusercontent.com/ltdimages/images/refs/heads/main/ClothTopsUnderwear_00.png")</f>
        <v/>
      </c>
      <c r="D238" s="22" t="s">
        <v>3095</v>
      </c>
      <c r="E238" s="22" t="s">
        <v>3095</v>
      </c>
      <c r="F238" s="22" t="s">
        <v>3095</v>
      </c>
      <c r="G238" s="22" t="s">
        <v>3095</v>
      </c>
      <c r="H238" s="22" t="s">
        <v>3095</v>
      </c>
      <c r="I238" s="22" t="s">
        <v>3095</v>
      </c>
      <c r="J238" s="22" t="s">
        <v>3095</v>
      </c>
      <c r="K238" s="63" t="s">
        <v>3103</v>
      </c>
      <c r="L238" s="23">
        <v>0.0</v>
      </c>
      <c r="M238" s="22" t="s">
        <v>3097</v>
      </c>
      <c r="N238" s="22" t="s">
        <v>3099</v>
      </c>
      <c r="O238" s="22" t="s">
        <v>45</v>
      </c>
      <c r="P238" s="22" t="s">
        <v>45</v>
      </c>
      <c r="Q238" s="22" t="s">
        <v>45</v>
      </c>
      <c r="R238" s="22" t="s">
        <v>45</v>
      </c>
      <c r="S238" s="22" t="s">
        <v>45</v>
      </c>
      <c r="T238" s="22" t="s">
        <v>2002</v>
      </c>
      <c r="U238" s="22" t="s">
        <v>45</v>
      </c>
      <c r="V238" s="22" t="s">
        <v>45</v>
      </c>
      <c r="W238" s="22" t="s">
        <v>5056</v>
      </c>
      <c r="X238" s="22" t="s">
        <v>3095</v>
      </c>
      <c r="Y238" s="22" t="s">
        <v>3095</v>
      </c>
      <c r="Z238" s="22" t="s">
        <v>3095</v>
      </c>
      <c r="AA238" s="22" t="s">
        <v>3095</v>
      </c>
      <c r="AB238" s="22" t="s">
        <v>3095</v>
      </c>
      <c r="AC238" s="22" t="s">
        <v>3095</v>
      </c>
      <c r="AD238" s="22" t="s">
        <v>3095</v>
      </c>
      <c r="AE238" s="22" t="s">
        <v>3095</v>
      </c>
      <c r="AF238" s="22" t="s">
        <v>3095</v>
      </c>
    </row>
  </sheetData>
  <autoFilter ref="$A$1:$AF$238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88"/>
    <col customWidth="1" min="2" max="2" width="18.0"/>
    <col customWidth="1" min="3" max="10" width="7.63"/>
    <col customWidth="1" min="11" max="11" width="15.13"/>
    <col customWidth="1" min="12" max="12" width="13.63"/>
    <col customWidth="1" min="13" max="13" width="9.5"/>
    <col customWidth="1" min="14" max="14" width="13.63"/>
    <col customWidth="1" min="15" max="15" width="8.63"/>
    <col customWidth="1" min="16" max="16" width="8.5"/>
    <col customWidth="1" min="17" max="17" width="12.63"/>
    <col customWidth="1" min="18" max="18" width="9.75"/>
    <col customWidth="1" min="19" max="19" width="15.13"/>
    <col customWidth="1" min="20" max="20" width="11.38"/>
    <col customWidth="1" min="21" max="21" width="8.38"/>
    <col customWidth="1" min="22" max="22" width="9.38"/>
    <col customWidth="1" min="23" max="23" width="31.0"/>
  </cols>
  <sheetData>
    <row r="1" ht="31.5" customHeight="1">
      <c r="A1" s="58" t="s">
        <v>23</v>
      </c>
      <c r="B1" s="59" t="s">
        <v>25</v>
      </c>
      <c r="C1" s="60" t="s">
        <v>3059</v>
      </c>
      <c r="D1" s="60" t="s">
        <v>3060</v>
      </c>
      <c r="E1" s="60" t="s">
        <v>3061</v>
      </c>
      <c r="F1" s="60" t="s">
        <v>3062</v>
      </c>
      <c r="G1" s="60" t="s">
        <v>3063</v>
      </c>
      <c r="H1" s="60" t="s">
        <v>3064</v>
      </c>
      <c r="I1" s="60" t="s">
        <v>3065</v>
      </c>
      <c r="J1" s="60" t="s">
        <v>3066</v>
      </c>
      <c r="K1" s="19" t="s">
        <v>1993</v>
      </c>
      <c r="L1" s="19" t="s">
        <v>29</v>
      </c>
      <c r="M1" s="19" t="s">
        <v>3067</v>
      </c>
      <c r="N1" s="19" t="s">
        <v>3069</v>
      </c>
      <c r="O1" s="19" t="s">
        <v>3070</v>
      </c>
      <c r="P1" s="19" t="s">
        <v>3071</v>
      </c>
      <c r="Q1" s="19" t="s">
        <v>3072</v>
      </c>
      <c r="R1" s="19" t="s">
        <v>3073</v>
      </c>
      <c r="S1" s="19" t="s">
        <v>3075</v>
      </c>
      <c r="T1" s="19" t="s">
        <v>4749</v>
      </c>
      <c r="U1" s="19" t="s">
        <v>4750</v>
      </c>
      <c r="V1" s="19" t="s">
        <v>4751</v>
      </c>
      <c r="W1" s="19" t="s">
        <v>40</v>
      </c>
    </row>
    <row r="2" ht="45.0" customHeight="1">
      <c r="A2" s="55" t="s">
        <v>41</v>
      </c>
      <c r="B2" s="62" t="s">
        <v>3107</v>
      </c>
      <c r="C2" s="22" t="str">
        <f>IMAGE("https://raw.githubusercontent.com/ltdimages/images/refs/heads/main/ClothTopslongOverallSleevelessAerobics_00.png")</f>
        <v/>
      </c>
      <c r="D2" s="22" t="str">
        <f>IMAGE("https://raw.githubusercontent.com/ltdimages/images/refs/heads/main/ClothTopslongOverallSleevelessAerobics_01.png")</f>
        <v/>
      </c>
      <c r="E2" s="22" t="str">
        <f>IMAGE("https://raw.githubusercontent.com/ltdimages/images/refs/heads/main/ClothTopslongOverallSleevelessAerobics_02.png")</f>
        <v/>
      </c>
      <c r="F2" s="22" t="str">
        <f>IMAGE("https://raw.githubusercontent.com/ltdimages/images/refs/heads/main/ClothTopslongOverallSleevelessAerobics_03.png")</f>
        <v/>
      </c>
      <c r="G2" s="22" t="str">
        <f>IMAGE("https://raw.githubusercontent.com/ltdimages/images/refs/heads/main/ClothTopslongOverallSleevelessAerobics_04.png")</f>
        <v/>
      </c>
      <c r="H2" s="22" t="str">
        <f>IMAGE("https://raw.githubusercontent.com/ltdimages/images/refs/heads/main/ClothTopslongOverallSleevelessAerobics_05.png")</f>
        <v/>
      </c>
      <c r="I2" s="22" t="str">
        <f>IMAGE("https://raw.githubusercontent.com/ltdimages/images/refs/heads/main/ClothTopslongOverallSleevelessAerobics_06.png")</f>
        <v/>
      </c>
      <c r="J2" s="22" t="str">
        <f>IMAGE("https://raw.githubusercontent.com/ltdimages/images/refs/heads/main/ClothTopslongOverallSleevelessAerobics_07.png")</f>
        <v/>
      </c>
      <c r="K2" s="63" t="s">
        <v>3110</v>
      </c>
      <c r="L2" s="23">
        <v>27.9</v>
      </c>
      <c r="M2" s="22" t="s">
        <v>3097</v>
      </c>
      <c r="N2" s="22" t="s">
        <v>3099</v>
      </c>
      <c r="O2" s="22" t="s">
        <v>45</v>
      </c>
      <c r="P2" s="22" t="s">
        <v>45</v>
      </c>
      <c r="Q2" s="22" t="s">
        <v>45</v>
      </c>
      <c r="R2" s="22" t="s">
        <v>45</v>
      </c>
      <c r="S2" s="22" t="s">
        <v>45</v>
      </c>
      <c r="T2" s="22" t="s">
        <v>2002</v>
      </c>
      <c r="U2" s="22" t="s">
        <v>45</v>
      </c>
      <c r="V2" s="22" t="s">
        <v>45</v>
      </c>
      <c r="W2" s="22" t="s">
        <v>5057</v>
      </c>
    </row>
    <row r="3" ht="45.0" customHeight="1">
      <c r="A3" s="55" t="s">
        <v>52</v>
      </c>
      <c r="B3" s="62" t="s">
        <v>3192</v>
      </c>
      <c r="C3" s="22" t="str">
        <f>IMAGE("https://raw.githubusercontent.com/ltdimages/images/refs/heads/main/ClothTopslongOverallLongBajiJeogori_00.png")</f>
        <v/>
      </c>
      <c r="D3" s="22" t="str">
        <f>IMAGE("https://raw.githubusercontent.com/ltdimages/images/refs/heads/main/ClothTopslongOverallLongBajiJeogori_01.png")</f>
        <v/>
      </c>
      <c r="E3" s="22" t="str">
        <f>IMAGE("https://raw.githubusercontent.com/ltdimages/images/refs/heads/main/ClothTopslongOverallLongBajiJeogori_02.png")</f>
        <v/>
      </c>
      <c r="F3" s="22" t="str">
        <f>IMAGE("https://raw.githubusercontent.com/ltdimages/images/refs/heads/main/ClothTopslongOverallLongBajiJeogori_03.png")</f>
        <v/>
      </c>
      <c r="G3" s="22" t="str">
        <f>IMAGE("https://raw.githubusercontent.com/ltdimages/images/refs/heads/main/ClothTopslongOverallLongBajiJeogori_04.png")</f>
        <v/>
      </c>
      <c r="H3" s="22" t="str">
        <f>IMAGE("https://raw.githubusercontent.com/ltdimages/images/refs/heads/main/ClothTopslongOverallLongBajiJeogori_05.png")</f>
        <v/>
      </c>
      <c r="I3" s="22" t="str">
        <f>IMAGE("https://raw.githubusercontent.com/ltdimages/images/refs/heads/main/ClothTopslongOverallLongBajiJeogori_06.png")</f>
        <v/>
      </c>
      <c r="J3" s="22" t="str">
        <f>IMAGE("https://raw.githubusercontent.com/ltdimages/images/refs/heads/main/ClothTopslongOverallLongBajiJeogori_07.png")</f>
        <v/>
      </c>
      <c r="K3" s="63" t="s">
        <v>3110</v>
      </c>
      <c r="L3" s="23">
        <v>43.5</v>
      </c>
      <c r="M3" s="22" t="s">
        <v>3097</v>
      </c>
      <c r="N3" s="22" t="s">
        <v>3099</v>
      </c>
      <c r="O3" s="22" t="s">
        <v>45</v>
      </c>
      <c r="P3" s="22" t="s">
        <v>45</v>
      </c>
      <c r="Q3" s="22" t="s">
        <v>45</v>
      </c>
      <c r="R3" s="22" t="s">
        <v>45</v>
      </c>
      <c r="S3" s="22" t="s">
        <v>45</v>
      </c>
      <c r="T3" s="22" t="s">
        <v>2002</v>
      </c>
      <c r="U3" s="22" t="s">
        <v>45</v>
      </c>
      <c r="V3" s="22" t="s">
        <v>45</v>
      </c>
      <c r="W3" s="22" t="s">
        <v>5058</v>
      </c>
    </row>
    <row r="4" ht="45.0" customHeight="1">
      <c r="A4" s="55" t="s">
        <v>60</v>
      </c>
      <c r="B4" s="62" t="s">
        <v>3198</v>
      </c>
      <c r="C4" s="22" t="str">
        <f>IMAGE("https://raw.githubusercontent.com/ltdimages/images/refs/heads/main/ClothTopslongOverallLongBaseball_00.png")</f>
        <v/>
      </c>
      <c r="D4" s="22" t="str">
        <f>IMAGE("https://raw.githubusercontent.com/ltdimages/images/refs/heads/main/ClothTopslongOverallLongBaseball_01.png")</f>
        <v/>
      </c>
      <c r="E4" s="22" t="str">
        <f>IMAGE("https://raw.githubusercontent.com/ltdimages/images/refs/heads/main/ClothTopslongOverallLongBaseball_02.png")</f>
        <v/>
      </c>
      <c r="F4" s="22" t="str">
        <f>IMAGE("https://raw.githubusercontent.com/ltdimages/images/refs/heads/main/ClothTopslongOverallLongBaseball_03.png")</f>
        <v/>
      </c>
      <c r="G4" s="22" t="str">
        <f>IMAGE("https://raw.githubusercontent.com/ltdimages/images/refs/heads/main/ClothTopslongOverallLongBaseball_04.png")</f>
        <v/>
      </c>
      <c r="H4" s="22" t="str">
        <f>IMAGE("https://raw.githubusercontent.com/ltdimages/images/refs/heads/main/ClothTopslongOverallLongBaseball_05.png")</f>
        <v/>
      </c>
      <c r="I4" s="22" t="s">
        <v>3095</v>
      </c>
      <c r="J4" s="22" t="s">
        <v>3095</v>
      </c>
      <c r="K4" s="63" t="s">
        <v>3110</v>
      </c>
      <c r="L4" s="23">
        <v>33.0</v>
      </c>
      <c r="M4" s="22" t="s">
        <v>3097</v>
      </c>
      <c r="N4" s="22" t="s">
        <v>3099</v>
      </c>
      <c r="O4" s="22" t="s">
        <v>45</v>
      </c>
      <c r="P4" s="22" t="s">
        <v>45</v>
      </c>
      <c r="Q4" s="22" t="s">
        <v>45</v>
      </c>
      <c r="R4" s="22" t="s">
        <v>45</v>
      </c>
      <c r="S4" s="22" t="s">
        <v>45</v>
      </c>
      <c r="T4" s="22" t="s">
        <v>2002</v>
      </c>
      <c r="U4" s="22" t="s">
        <v>45</v>
      </c>
      <c r="V4" s="22" t="s">
        <v>45</v>
      </c>
      <c r="W4" s="22" t="s">
        <v>5059</v>
      </c>
    </row>
    <row r="5" ht="45.0" customHeight="1">
      <c r="A5" s="55" t="s">
        <v>65</v>
      </c>
      <c r="B5" s="62" t="s">
        <v>3726</v>
      </c>
      <c r="C5" s="22" t="str">
        <f>IMAGE("https://raw.githubusercontent.com/ltdimages/images/refs/heads/main/ClothTopslongBoxDressLongBathrobe_00.png")</f>
        <v/>
      </c>
      <c r="D5" s="22" t="str">
        <f>IMAGE("https://raw.githubusercontent.com/ltdimages/images/refs/heads/main/ClothTopslongBoxDressLongBathrobe_01.png")</f>
        <v/>
      </c>
      <c r="E5" s="22" t="str">
        <f>IMAGE("https://raw.githubusercontent.com/ltdimages/images/refs/heads/main/ClothTopslongBoxDressLongBathrobe_02.png")</f>
        <v/>
      </c>
      <c r="F5" s="22" t="str">
        <f>IMAGE("https://raw.githubusercontent.com/ltdimages/images/refs/heads/main/ClothTopslongBoxDressLongBathrobe_03.png")</f>
        <v/>
      </c>
      <c r="G5" s="22" t="str">
        <f>IMAGE("https://raw.githubusercontent.com/ltdimages/images/refs/heads/main/ClothTopslongBoxDressLongBathrobe_04.png")</f>
        <v/>
      </c>
      <c r="H5" s="22" t="str">
        <f>IMAGE("https://raw.githubusercontent.com/ltdimages/images/refs/heads/main/ClothTopslongBoxDressLongBathrobe_05.png")</f>
        <v/>
      </c>
      <c r="I5" s="22" t="s">
        <v>3095</v>
      </c>
      <c r="J5" s="22" t="s">
        <v>3095</v>
      </c>
      <c r="K5" s="63" t="s">
        <v>3110</v>
      </c>
      <c r="L5" s="23">
        <v>15.0</v>
      </c>
      <c r="M5" s="22" t="s">
        <v>3097</v>
      </c>
      <c r="N5" s="22" t="s">
        <v>3099</v>
      </c>
      <c r="O5" s="22" t="s">
        <v>45</v>
      </c>
      <c r="P5" s="22" t="s">
        <v>45</v>
      </c>
      <c r="Q5" s="22" t="s">
        <v>45</v>
      </c>
      <c r="R5" s="22" t="s">
        <v>45</v>
      </c>
      <c r="S5" s="22" t="s">
        <v>45</v>
      </c>
      <c r="T5" s="22" t="s">
        <v>2002</v>
      </c>
      <c r="U5" s="22" t="s">
        <v>45</v>
      </c>
      <c r="V5" s="22" t="s">
        <v>45</v>
      </c>
      <c r="W5" s="22" t="s">
        <v>5060</v>
      </c>
    </row>
    <row r="6" ht="45.0" customHeight="1">
      <c r="A6" s="55" t="s">
        <v>70</v>
      </c>
      <c r="B6" s="62" t="s">
        <v>3731</v>
      </c>
      <c r="C6" s="22" t="str">
        <f>IMAGE("https://raw.githubusercontent.com/ltdimages/images/refs/heads/main/ClothTopslongBoxDressSleevelessBathTowel_00.png")</f>
        <v/>
      </c>
      <c r="D6" s="22" t="str">
        <f>IMAGE("https://raw.githubusercontent.com/ltdimages/images/refs/heads/main/ClothTopslongBoxDressSleevelessBathTowel_01.png")</f>
        <v/>
      </c>
      <c r="E6" s="22" t="str">
        <f>IMAGE("https://raw.githubusercontent.com/ltdimages/images/refs/heads/main/ClothTopslongBoxDressSleevelessBathTowel_02.png")</f>
        <v/>
      </c>
      <c r="F6" s="22" t="str">
        <f>IMAGE("https://raw.githubusercontent.com/ltdimages/images/refs/heads/main/ClothTopslongBoxDressSleevelessBathTowel_03.png")</f>
        <v/>
      </c>
      <c r="G6" s="22" t="str">
        <f>IMAGE("https://raw.githubusercontent.com/ltdimages/images/refs/heads/main/ClothTopslongBoxDressSleevelessBathTowel_04.png")</f>
        <v/>
      </c>
      <c r="H6" s="22" t="str">
        <f>IMAGE("https://raw.githubusercontent.com/ltdimages/images/refs/heads/main/ClothTopslongBoxDressSleevelessBathTowel_05.png")</f>
        <v/>
      </c>
      <c r="I6" s="22" t="str">
        <f>IMAGE("https://raw.githubusercontent.com/ltdimages/images/refs/heads/main/ClothTopslongBoxDressSleevelessBathTowel_06.png")</f>
        <v/>
      </c>
      <c r="J6" s="22" t="str">
        <f>IMAGE("https://raw.githubusercontent.com/ltdimages/images/refs/heads/main/ClothTopslongBoxDressSleevelessBathTowel_07.png")</f>
        <v/>
      </c>
      <c r="K6" s="63" t="s">
        <v>3110</v>
      </c>
      <c r="L6" s="23">
        <v>10.0</v>
      </c>
      <c r="M6" s="22" t="s">
        <v>3097</v>
      </c>
      <c r="N6" s="22" t="s">
        <v>3099</v>
      </c>
      <c r="O6" s="22" t="s">
        <v>45</v>
      </c>
      <c r="P6" s="22" t="s">
        <v>45</v>
      </c>
      <c r="Q6" s="22" t="s">
        <v>45</v>
      </c>
      <c r="R6" s="22" t="s">
        <v>45</v>
      </c>
      <c r="S6" s="22" t="s">
        <v>45</v>
      </c>
      <c r="T6" s="22" t="s">
        <v>2002</v>
      </c>
      <c r="U6" s="22" t="s">
        <v>45</v>
      </c>
      <c r="V6" s="22" t="s">
        <v>45</v>
      </c>
      <c r="W6" s="22" t="s">
        <v>5061</v>
      </c>
    </row>
    <row r="7" ht="45.0" customHeight="1">
      <c r="A7" s="55" t="s">
        <v>74</v>
      </c>
      <c r="B7" s="62" t="s">
        <v>5062</v>
      </c>
      <c r="C7" s="22" t="str">
        <f>IMAGE("https://raw.githubusercontent.com/ltdimages/images/refs/heads/main/ClothTopslongOverallLongRiderSuit_00.png")</f>
        <v/>
      </c>
      <c r="D7" s="22" t="str">
        <f>IMAGE("https://raw.githubusercontent.com/ltdimages/images/refs/heads/main/ClothTopslongOverallLongRiderSuit_01.png")</f>
        <v/>
      </c>
      <c r="E7" s="22" t="str">
        <f>IMAGE("https://raw.githubusercontent.com/ltdimages/images/refs/heads/main/ClothTopslongOverallLongRiderSuit_02.png")</f>
        <v/>
      </c>
      <c r="F7" s="22" t="str">
        <f>IMAGE("https://raw.githubusercontent.com/ltdimages/images/refs/heads/main/ClothTopslongOverallLongRiderSuit_03.png")</f>
        <v/>
      </c>
      <c r="G7" s="22" t="s">
        <v>3095</v>
      </c>
      <c r="H7" s="22" t="s">
        <v>3095</v>
      </c>
      <c r="I7" s="22" t="s">
        <v>3095</v>
      </c>
      <c r="J7" s="22" t="s">
        <v>3095</v>
      </c>
      <c r="K7" s="63" t="s">
        <v>3110</v>
      </c>
      <c r="L7" s="23">
        <v>31.0</v>
      </c>
      <c r="M7" s="22" t="s">
        <v>3097</v>
      </c>
      <c r="N7" s="22" t="s">
        <v>3099</v>
      </c>
      <c r="O7" s="22" t="s">
        <v>45</v>
      </c>
      <c r="P7" s="22" t="s">
        <v>45</v>
      </c>
      <c r="Q7" s="22" t="s">
        <v>45</v>
      </c>
      <c r="R7" s="22" t="s">
        <v>45</v>
      </c>
      <c r="S7" s="22" t="s">
        <v>45</v>
      </c>
      <c r="T7" s="22" t="s">
        <v>2002</v>
      </c>
      <c r="U7" s="22" t="s">
        <v>45</v>
      </c>
      <c r="V7" s="22" t="s">
        <v>45</v>
      </c>
      <c r="W7" s="22" t="s">
        <v>5063</v>
      </c>
    </row>
    <row r="8" ht="45.0" customHeight="1">
      <c r="A8" s="55" t="s">
        <v>78</v>
      </c>
      <c r="B8" s="62" t="s">
        <v>5064</v>
      </c>
      <c r="C8" s="22" t="str">
        <f>IMAGE("https://raw.githubusercontent.com/ltdimages/images/refs/heads/main/ClothTopslongSalopetteLongCasual_00.png")</f>
        <v/>
      </c>
      <c r="D8" s="22" t="str">
        <f>IMAGE("https://raw.githubusercontent.com/ltdimages/images/refs/heads/main/ClothTopslongSalopetteLongCasual_01.png")</f>
        <v/>
      </c>
      <c r="E8" s="22" t="str">
        <f>IMAGE("https://raw.githubusercontent.com/ltdimages/images/refs/heads/main/ClothTopslongSalopetteLongCasual_02.png")</f>
        <v/>
      </c>
      <c r="F8" s="22" t="str">
        <f>IMAGE("https://raw.githubusercontent.com/ltdimages/images/refs/heads/main/ClothTopslongSalopetteLongCasual_03.png")</f>
        <v/>
      </c>
      <c r="G8" s="22" t="str">
        <f>IMAGE("https://raw.githubusercontent.com/ltdimages/images/refs/heads/main/ClothTopslongSalopetteLongCasual_04.png")</f>
        <v/>
      </c>
      <c r="H8" s="22" t="str">
        <f>IMAGE("https://raw.githubusercontent.com/ltdimages/images/refs/heads/main/ClothTopslongSalopetteLongCasual_05.png")</f>
        <v/>
      </c>
      <c r="I8" s="22" t="str">
        <f>IMAGE("https://raw.githubusercontent.com/ltdimages/images/refs/heads/main/ClothTopslongSalopetteLongCasual_06.png")</f>
        <v/>
      </c>
      <c r="J8" s="22" t="str">
        <f>IMAGE("https://raw.githubusercontent.com/ltdimages/images/refs/heads/main/ClothTopslongSalopetteLongCasual_07.png")</f>
        <v/>
      </c>
      <c r="K8" s="63" t="s">
        <v>3110</v>
      </c>
      <c r="L8" s="23">
        <v>29.0</v>
      </c>
      <c r="M8" s="22" t="s">
        <v>3097</v>
      </c>
      <c r="N8" s="22" t="s">
        <v>3099</v>
      </c>
      <c r="O8" s="22" t="s">
        <v>45</v>
      </c>
      <c r="P8" s="22" t="s">
        <v>45</v>
      </c>
      <c r="Q8" s="22" t="s">
        <v>45</v>
      </c>
      <c r="R8" s="22" t="s">
        <v>45</v>
      </c>
      <c r="S8" s="22" t="s">
        <v>45</v>
      </c>
      <c r="T8" s="22" t="s">
        <v>2002</v>
      </c>
      <c r="U8" s="22" t="s">
        <v>45</v>
      </c>
      <c r="V8" s="22" t="s">
        <v>45</v>
      </c>
      <c r="W8" s="22" t="s">
        <v>5065</v>
      </c>
    </row>
    <row r="9" ht="45.0" customHeight="1">
      <c r="A9" s="55" t="s">
        <v>83</v>
      </c>
      <c r="B9" s="62" t="s">
        <v>3303</v>
      </c>
      <c r="C9" s="22" t="str">
        <f>IMAGE("https://raw.githubusercontent.com/ltdimages/images/refs/heads/main/ClothTopslongKimonoLongKinagashi_00.png")</f>
        <v/>
      </c>
      <c r="D9" s="22" t="str">
        <f>IMAGE("https://raw.githubusercontent.com/ltdimages/images/refs/heads/main/ClothTopslongKimonoLongKinagashi_01.png")</f>
        <v/>
      </c>
      <c r="E9" s="22" t="str">
        <f>IMAGE("https://raw.githubusercontent.com/ltdimages/images/refs/heads/main/ClothTopslongKimonoLongKinagashi_02.png")</f>
        <v/>
      </c>
      <c r="F9" s="22" t="str">
        <f>IMAGE("https://raw.githubusercontent.com/ltdimages/images/refs/heads/main/ClothTopslongKimonoLongKinagashi_03.png")</f>
        <v/>
      </c>
      <c r="G9" s="22" t="str">
        <f>IMAGE("https://raw.githubusercontent.com/ltdimages/images/refs/heads/main/ClothTopslongKimonoLongKinagashi_04.png")</f>
        <v/>
      </c>
      <c r="H9" s="22" t="str">
        <f>IMAGE("https://raw.githubusercontent.com/ltdimages/images/refs/heads/main/ClothTopslongKimonoLongKinagashi_05.png")</f>
        <v/>
      </c>
      <c r="I9" s="22" t="s">
        <v>3095</v>
      </c>
      <c r="J9" s="22" t="s">
        <v>3095</v>
      </c>
      <c r="K9" s="63" t="s">
        <v>3110</v>
      </c>
      <c r="L9" s="23">
        <v>45.0</v>
      </c>
      <c r="M9" s="22" t="s">
        <v>3097</v>
      </c>
      <c r="N9" s="22" t="s">
        <v>3099</v>
      </c>
      <c r="O9" s="22" t="s">
        <v>45</v>
      </c>
      <c r="P9" s="22" t="s">
        <v>45</v>
      </c>
      <c r="Q9" s="22" t="s">
        <v>45</v>
      </c>
      <c r="R9" s="22" t="s">
        <v>45</v>
      </c>
      <c r="S9" s="22" t="s">
        <v>45</v>
      </c>
      <c r="T9" s="22" t="s">
        <v>2002</v>
      </c>
      <c r="U9" s="22" t="s">
        <v>45</v>
      </c>
      <c r="V9" s="22" t="s">
        <v>45</v>
      </c>
      <c r="W9" s="22" t="s">
        <v>5066</v>
      </c>
    </row>
    <row r="10" ht="45.0" customHeight="1">
      <c r="A10" s="55" t="s">
        <v>89</v>
      </c>
      <c r="B10" s="62" t="s">
        <v>3314</v>
      </c>
      <c r="C10" s="22" t="str">
        <f>IMAGE("https://raw.githubusercontent.com/ltdimages/images/refs/heads/main/ClothTopslongOverallLongCatcher_00.png")</f>
        <v/>
      </c>
      <c r="D10" s="22" t="str">
        <f>IMAGE("https://raw.githubusercontent.com/ltdimages/images/refs/heads/main/ClothTopslongOverallLongCatcher_01.png")</f>
        <v/>
      </c>
      <c r="E10" s="22" t="str">
        <f>IMAGE("https://raw.githubusercontent.com/ltdimages/images/refs/heads/main/ClothTopslongOverallLongCatcher_02.png")</f>
        <v/>
      </c>
      <c r="F10" s="22" t="str">
        <f>IMAGE("https://raw.githubusercontent.com/ltdimages/images/refs/heads/main/ClothTopslongOverallLongCatcher_03.png")</f>
        <v/>
      </c>
      <c r="G10" s="22" t="str">
        <f>IMAGE("https://raw.githubusercontent.com/ltdimages/images/refs/heads/main/ClothTopslongOverallLongCatcher_04.png")</f>
        <v/>
      </c>
      <c r="H10" s="22" t="str">
        <f>IMAGE("https://raw.githubusercontent.com/ltdimages/images/refs/heads/main/ClothTopslongOverallLongCatcher_05.png")</f>
        <v/>
      </c>
      <c r="I10" s="22" t="s">
        <v>3095</v>
      </c>
      <c r="J10" s="22" t="s">
        <v>3095</v>
      </c>
      <c r="K10" s="63" t="s">
        <v>3110</v>
      </c>
      <c r="L10" s="23">
        <v>39.0</v>
      </c>
      <c r="M10" s="22" t="s">
        <v>3097</v>
      </c>
      <c r="N10" s="22" t="s">
        <v>3099</v>
      </c>
      <c r="O10" s="22" t="s">
        <v>45</v>
      </c>
      <c r="P10" s="22" t="s">
        <v>45</v>
      </c>
      <c r="Q10" s="22" t="s">
        <v>45</v>
      </c>
      <c r="R10" s="22" t="s">
        <v>45</v>
      </c>
      <c r="S10" s="22" t="s">
        <v>45</v>
      </c>
      <c r="T10" s="22" t="s">
        <v>2002</v>
      </c>
      <c r="U10" s="22" t="s">
        <v>45</v>
      </c>
      <c r="V10" s="22" t="s">
        <v>45</v>
      </c>
      <c r="W10" s="22" t="s">
        <v>5067</v>
      </c>
    </row>
    <row r="11" ht="45.0" customHeight="1">
      <c r="A11" s="55" t="s">
        <v>94</v>
      </c>
      <c r="B11" s="62" t="s">
        <v>5068</v>
      </c>
      <c r="C11" s="22" t="str">
        <f>IMAGE("https://raw.githubusercontent.com/ltdimages/images/refs/heads/main/ClothTopslongBoxDressSleevelessCaveman_00.png")</f>
        <v/>
      </c>
      <c r="D11" s="22" t="str">
        <f>IMAGE("https://raw.githubusercontent.com/ltdimages/images/refs/heads/main/ClothTopslongBoxDressSleevelessCaveman_01.png")</f>
        <v/>
      </c>
      <c r="E11" s="22" t="str">
        <f>IMAGE("https://raw.githubusercontent.com/ltdimages/images/refs/heads/main/ClothTopslongBoxDressSleevelessCaveman_02.png")</f>
        <v/>
      </c>
      <c r="F11" s="22" t="str">
        <f>IMAGE("https://raw.githubusercontent.com/ltdimages/images/refs/heads/main/ClothTopslongBoxDressSleevelessCaveman_03.png")</f>
        <v/>
      </c>
      <c r="G11" s="22" t="s">
        <v>3095</v>
      </c>
      <c r="H11" s="22" t="s">
        <v>3095</v>
      </c>
      <c r="I11" s="22" t="s">
        <v>3095</v>
      </c>
      <c r="J11" s="22" t="s">
        <v>3095</v>
      </c>
      <c r="K11" s="63" t="s">
        <v>3110</v>
      </c>
      <c r="L11" s="23">
        <v>15.0</v>
      </c>
      <c r="M11" s="22" t="s">
        <v>3097</v>
      </c>
      <c r="N11" s="22" t="s">
        <v>3099</v>
      </c>
      <c r="O11" s="22" t="s">
        <v>45</v>
      </c>
      <c r="P11" s="22" t="s">
        <v>45</v>
      </c>
      <c r="Q11" s="22" t="s">
        <v>45</v>
      </c>
      <c r="R11" s="22" t="s">
        <v>49</v>
      </c>
      <c r="S11" s="22" t="s">
        <v>45</v>
      </c>
      <c r="T11" s="22" t="s">
        <v>2002</v>
      </c>
      <c r="U11" s="22" t="s">
        <v>45</v>
      </c>
      <c r="V11" s="22" t="s">
        <v>45</v>
      </c>
      <c r="W11" s="22" t="s">
        <v>5069</v>
      </c>
    </row>
    <row r="12" ht="45.0" customHeight="1">
      <c r="A12" s="55" t="s">
        <v>98</v>
      </c>
      <c r="B12" s="62" t="s">
        <v>5070</v>
      </c>
      <c r="C12" s="22" t="str">
        <f>IMAGE("https://raw.githubusercontent.com/ltdimages/images/refs/heads/main/ClothTopslongOverallLongMariachi_00.png")</f>
        <v/>
      </c>
      <c r="D12" s="22" t="str">
        <f>IMAGE("https://raw.githubusercontent.com/ltdimages/images/refs/heads/main/ClothTopslongOverallLongMariachi_01.png")</f>
        <v/>
      </c>
      <c r="E12" s="22" t="str">
        <f>IMAGE("https://raw.githubusercontent.com/ltdimages/images/refs/heads/main/ClothTopslongOverallLongMariachi_02.png")</f>
        <v/>
      </c>
      <c r="F12" s="22" t="str">
        <f>IMAGE("https://raw.githubusercontent.com/ltdimages/images/refs/heads/main/ClothTopslongOverallLongMariachi_03.png")</f>
        <v/>
      </c>
      <c r="G12" s="22" t="str">
        <f>IMAGE("https://raw.githubusercontent.com/ltdimages/images/refs/heads/main/ClothTopslongOverallLongMariachi_04.png")</f>
        <v/>
      </c>
      <c r="H12" s="22" t="str">
        <f>IMAGE("https://raw.githubusercontent.com/ltdimages/images/refs/heads/main/ClothTopslongOverallLongMariachi_05.png")</f>
        <v/>
      </c>
      <c r="I12" s="22" t="s">
        <v>3095</v>
      </c>
      <c r="J12" s="22" t="s">
        <v>3095</v>
      </c>
      <c r="K12" s="63" t="s">
        <v>3110</v>
      </c>
      <c r="L12" s="23">
        <v>45.5</v>
      </c>
      <c r="M12" s="22" t="s">
        <v>3097</v>
      </c>
      <c r="N12" s="22" t="s">
        <v>3099</v>
      </c>
      <c r="O12" s="22" t="s">
        <v>45</v>
      </c>
      <c r="P12" s="22" t="s">
        <v>45</v>
      </c>
      <c r="Q12" s="22" t="s">
        <v>45</v>
      </c>
      <c r="R12" s="22" t="s">
        <v>49</v>
      </c>
      <c r="S12" s="22" t="s">
        <v>45</v>
      </c>
      <c r="T12" s="22" t="s">
        <v>2002</v>
      </c>
      <c r="U12" s="22" t="s">
        <v>45</v>
      </c>
      <c r="V12" s="22" t="s">
        <v>45</v>
      </c>
      <c r="W12" s="22" t="s">
        <v>5071</v>
      </c>
    </row>
    <row r="13" ht="45.0" customHeight="1">
      <c r="A13" s="55" t="s">
        <v>104</v>
      </c>
      <c r="B13" s="62" t="s">
        <v>3328</v>
      </c>
      <c r="C13" s="22" t="str">
        <f>IMAGE("https://raw.githubusercontent.com/ltdimages/images/refs/heads/main/ClothTopslongBoxDressLongChangshan_00.png")</f>
        <v/>
      </c>
      <c r="D13" s="22" t="str">
        <f>IMAGE("https://raw.githubusercontent.com/ltdimages/images/refs/heads/main/ClothTopslongBoxDressLongChangshan_01.png")</f>
        <v/>
      </c>
      <c r="E13" s="22" t="str">
        <f>IMAGE("https://raw.githubusercontent.com/ltdimages/images/refs/heads/main/ClothTopslongBoxDressLongChangshan_02.png")</f>
        <v/>
      </c>
      <c r="F13" s="22" t="str">
        <f>IMAGE("https://raw.githubusercontent.com/ltdimages/images/refs/heads/main/ClothTopslongBoxDressLongChangshan_03.png")</f>
        <v/>
      </c>
      <c r="G13" s="22" t="str">
        <f>IMAGE("https://raw.githubusercontent.com/ltdimages/images/refs/heads/main/ClothTopslongBoxDressLongChangshan_04.png")</f>
        <v/>
      </c>
      <c r="H13" s="22" t="str">
        <f>IMAGE("https://raw.githubusercontent.com/ltdimages/images/refs/heads/main/ClothTopslongBoxDressLongChangshan_05.png")</f>
        <v/>
      </c>
      <c r="I13" s="22" t="str">
        <f>IMAGE("https://raw.githubusercontent.com/ltdimages/images/refs/heads/main/ClothTopslongBoxDressLongChangshan_06.png")</f>
        <v/>
      </c>
      <c r="J13" s="22" t="str">
        <f>IMAGE("https://raw.githubusercontent.com/ltdimages/images/refs/heads/main/ClothTopslongBoxDressLongChangshan_07.png")</f>
        <v/>
      </c>
      <c r="K13" s="63" t="s">
        <v>3110</v>
      </c>
      <c r="L13" s="23">
        <v>32.0</v>
      </c>
      <c r="M13" s="22" t="s">
        <v>3097</v>
      </c>
      <c r="N13" s="22" t="s">
        <v>3099</v>
      </c>
      <c r="O13" s="22" t="s">
        <v>45</v>
      </c>
      <c r="P13" s="22" t="s">
        <v>45</v>
      </c>
      <c r="Q13" s="22" t="s">
        <v>45</v>
      </c>
      <c r="R13" s="22" t="s">
        <v>45</v>
      </c>
      <c r="S13" s="22" t="s">
        <v>45</v>
      </c>
      <c r="T13" s="22" t="s">
        <v>2002</v>
      </c>
      <c r="U13" s="22" t="s">
        <v>45</v>
      </c>
      <c r="V13" s="22" t="s">
        <v>45</v>
      </c>
      <c r="W13" s="22" t="s">
        <v>5072</v>
      </c>
    </row>
    <row r="14" ht="45.0" customHeight="1">
      <c r="A14" s="55" t="s">
        <v>109</v>
      </c>
      <c r="B14" s="62" t="s">
        <v>3132</v>
      </c>
      <c r="C14" s="22" t="str">
        <f>IMAGE("https://raw.githubusercontent.com/ltdimages/images/refs/heads/main/ClothTopslongBoxDressSleevelessAncient_00.png")</f>
        <v/>
      </c>
      <c r="D14" s="22" t="s">
        <v>3095</v>
      </c>
      <c r="E14" s="22" t="s">
        <v>3095</v>
      </c>
      <c r="F14" s="22" t="s">
        <v>3095</v>
      </c>
      <c r="G14" s="22" t="s">
        <v>3095</v>
      </c>
      <c r="H14" s="22" t="s">
        <v>3095</v>
      </c>
      <c r="I14" s="22" t="s">
        <v>3095</v>
      </c>
      <c r="J14" s="22" t="s">
        <v>3095</v>
      </c>
      <c r="K14" s="63" t="s">
        <v>3110</v>
      </c>
      <c r="L14" s="23">
        <v>22.0</v>
      </c>
      <c r="M14" s="22" t="s">
        <v>3097</v>
      </c>
      <c r="N14" s="22" t="s">
        <v>3099</v>
      </c>
      <c r="O14" s="22" t="s">
        <v>45</v>
      </c>
      <c r="P14" s="22" t="s">
        <v>45</v>
      </c>
      <c r="Q14" s="22" t="s">
        <v>45</v>
      </c>
      <c r="R14" s="22" t="s">
        <v>49</v>
      </c>
      <c r="S14" s="22" t="s">
        <v>45</v>
      </c>
      <c r="T14" s="22" t="s">
        <v>2002</v>
      </c>
      <c r="U14" s="22" t="s">
        <v>45</v>
      </c>
      <c r="V14" s="22" t="s">
        <v>45</v>
      </c>
      <c r="W14" s="22" t="s">
        <v>5073</v>
      </c>
    </row>
    <row r="15" ht="45.0" customHeight="1">
      <c r="A15" s="55" t="s">
        <v>115</v>
      </c>
      <c r="B15" s="62" t="s">
        <v>5074</v>
      </c>
      <c r="C15" s="22" t="str">
        <f>IMAGE("https://raw.githubusercontent.com/ltdimages/images/refs/heads/main/ClothTopslongOverallLongOverall_00.png")</f>
        <v/>
      </c>
      <c r="D15" s="22" t="str">
        <f>IMAGE("https://raw.githubusercontent.com/ltdimages/images/refs/heads/main/ClothTopslongOverallLongOverall_01.png")</f>
        <v/>
      </c>
      <c r="E15" s="22" t="str">
        <f>IMAGE("https://raw.githubusercontent.com/ltdimages/images/refs/heads/main/ClothTopslongOverallLongOverall_02.png")</f>
        <v/>
      </c>
      <c r="F15" s="22" t="str">
        <f>IMAGE("https://raw.githubusercontent.com/ltdimages/images/refs/heads/main/ClothTopslongOverallLongOverall_03.png")</f>
        <v/>
      </c>
      <c r="G15" s="22" t="str">
        <f>IMAGE("https://raw.githubusercontent.com/ltdimages/images/refs/heads/main/ClothTopslongOverallLongOverall_04.png")</f>
        <v/>
      </c>
      <c r="H15" s="22" t="str">
        <f>IMAGE("https://raw.githubusercontent.com/ltdimages/images/refs/heads/main/ClothTopslongOverallLongOverall_05.png")</f>
        <v/>
      </c>
      <c r="I15" s="22" t="str">
        <f>IMAGE("https://raw.githubusercontent.com/ltdimages/images/refs/heads/main/ClothTopslongOverallLongOverall_06.png")</f>
        <v/>
      </c>
      <c r="J15" s="22" t="str">
        <f>IMAGE("https://raw.githubusercontent.com/ltdimages/images/refs/heads/main/ClothTopslongOverallLongOverall_07.png")</f>
        <v/>
      </c>
      <c r="K15" s="63" t="s">
        <v>3110</v>
      </c>
      <c r="L15" s="23">
        <v>23.4</v>
      </c>
      <c r="M15" s="22" t="s">
        <v>3097</v>
      </c>
      <c r="N15" s="22" t="s">
        <v>3099</v>
      </c>
      <c r="O15" s="22" t="s">
        <v>45</v>
      </c>
      <c r="P15" s="22" t="s">
        <v>45</v>
      </c>
      <c r="Q15" s="22" t="s">
        <v>45</v>
      </c>
      <c r="R15" s="22" t="s">
        <v>45</v>
      </c>
      <c r="S15" s="22" t="s">
        <v>45</v>
      </c>
      <c r="T15" s="22" t="s">
        <v>2002</v>
      </c>
      <c r="U15" s="22" t="s">
        <v>45</v>
      </c>
      <c r="V15" s="22" t="s">
        <v>45</v>
      </c>
      <c r="W15" s="22" t="s">
        <v>5075</v>
      </c>
    </row>
    <row r="16" ht="45.0" customHeight="1">
      <c r="A16" s="55" t="s">
        <v>119</v>
      </c>
      <c r="B16" s="62" t="s">
        <v>3410</v>
      </c>
      <c r="C16" s="22" t="str">
        <f>IMAGE("https://raw.githubusercontent.com/ltdimages/images/refs/heads/main/ClothTopslongOverallHalfBicycle_00.png")</f>
        <v/>
      </c>
      <c r="D16" s="22" t="str">
        <f>IMAGE("https://raw.githubusercontent.com/ltdimages/images/refs/heads/main/ClothTopslongOverallHalfBicycle_01.png")</f>
        <v/>
      </c>
      <c r="E16" s="22" t="str">
        <f>IMAGE("https://raw.githubusercontent.com/ltdimages/images/refs/heads/main/ClothTopslongOverallHalfBicycle_02.png")</f>
        <v/>
      </c>
      <c r="F16" s="22" t="str">
        <f>IMAGE("https://raw.githubusercontent.com/ltdimages/images/refs/heads/main/ClothTopslongOverallHalfBicycle_03.png")</f>
        <v/>
      </c>
      <c r="G16" s="22" t="str">
        <f>IMAGE("https://raw.githubusercontent.com/ltdimages/images/refs/heads/main/ClothTopslongOverallHalfBicycle_04.png")</f>
        <v/>
      </c>
      <c r="H16" s="22" t="str">
        <f>IMAGE("https://raw.githubusercontent.com/ltdimages/images/refs/heads/main/ClothTopslongOverallHalfBicycle_05.png")</f>
        <v/>
      </c>
      <c r="I16" s="22" t="s">
        <v>3095</v>
      </c>
      <c r="J16" s="22" t="s">
        <v>3095</v>
      </c>
      <c r="K16" s="63" t="s">
        <v>3110</v>
      </c>
      <c r="L16" s="23">
        <v>28.9</v>
      </c>
      <c r="M16" s="22" t="s">
        <v>3097</v>
      </c>
      <c r="N16" s="22" t="s">
        <v>3099</v>
      </c>
      <c r="O16" s="22" t="s">
        <v>45</v>
      </c>
      <c r="P16" s="22" t="s">
        <v>45</v>
      </c>
      <c r="Q16" s="22" t="s">
        <v>45</v>
      </c>
      <c r="R16" s="22" t="s">
        <v>45</v>
      </c>
      <c r="S16" s="22" t="s">
        <v>45</v>
      </c>
      <c r="T16" s="22" t="s">
        <v>2002</v>
      </c>
      <c r="U16" s="22" t="s">
        <v>45</v>
      </c>
      <c r="V16" s="22" t="s">
        <v>45</v>
      </c>
      <c r="W16" s="22" t="s">
        <v>5076</v>
      </c>
    </row>
    <row r="17" ht="45.0" customHeight="1">
      <c r="A17" s="55" t="s">
        <v>124</v>
      </c>
      <c r="B17" s="62" t="s">
        <v>5077</v>
      </c>
      <c r="C17" s="22" t="str">
        <f>IMAGE("https://raw.githubusercontent.com/ltdimages/images/refs/heads/main/ClothTopslongSalopetteLongDisco_00.png")</f>
        <v/>
      </c>
      <c r="D17" s="22" t="str">
        <f>IMAGE("https://raw.githubusercontent.com/ltdimages/images/refs/heads/main/ClothTopslongSalopetteLongDisco_01.png")</f>
        <v/>
      </c>
      <c r="E17" s="22" t="str">
        <f>IMAGE("https://raw.githubusercontent.com/ltdimages/images/refs/heads/main/ClothTopslongSalopetteLongDisco_02.png")</f>
        <v/>
      </c>
      <c r="F17" s="22" t="str">
        <f>IMAGE("https://raw.githubusercontent.com/ltdimages/images/refs/heads/main/ClothTopslongSalopetteLongDisco_03.png")</f>
        <v/>
      </c>
      <c r="G17" s="22" t="str">
        <f>IMAGE("https://raw.githubusercontent.com/ltdimages/images/refs/heads/main/ClothTopslongSalopetteLongDisco_04.png")</f>
        <v/>
      </c>
      <c r="H17" s="22" t="str">
        <f>IMAGE("https://raw.githubusercontent.com/ltdimages/images/refs/heads/main/ClothTopslongSalopetteLongDisco_05.png")</f>
        <v/>
      </c>
      <c r="I17" s="22" t="s">
        <v>3095</v>
      </c>
      <c r="J17" s="22" t="s">
        <v>3095</v>
      </c>
      <c r="K17" s="63" t="s">
        <v>3110</v>
      </c>
      <c r="L17" s="23">
        <v>34.0</v>
      </c>
      <c r="M17" s="22" t="s">
        <v>3097</v>
      </c>
      <c r="N17" s="22" t="s">
        <v>3099</v>
      </c>
      <c r="O17" s="22" t="s">
        <v>45</v>
      </c>
      <c r="P17" s="22" t="s">
        <v>45</v>
      </c>
      <c r="Q17" s="22" t="s">
        <v>45</v>
      </c>
      <c r="R17" s="22" t="s">
        <v>49</v>
      </c>
      <c r="S17" s="22" t="s">
        <v>45</v>
      </c>
      <c r="T17" s="22" t="s">
        <v>2002</v>
      </c>
      <c r="U17" s="22" t="s">
        <v>45</v>
      </c>
      <c r="V17" s="22" t="s">
        <v>45</v>
      </c>
      <c r="W17" s="22" t="s">
        <v>5078</v>
      </c>
    </row>
    <row r="18" ht="45.0" customHeight="1">
      <c r="A18" s="55" t="s">
        <v>129</v>
      </c>
      <c r="B18" s="62" t="s">
        <v>3432</v>
      </c>
      <c r="C18" s="22" t="str">
        <f>IMAGE("https://raw.githubusercontent.com/ltdimages/images/refs/heads/main/ClothTopslongSalopetteLongStar_00.png")</f>
        <v/>
      </c>
      <c r="D18" s="22" t="str">
        <f>IMAGE("https://raw.githubusercontent.com/ltdimages/images/refs/heads/main/ClothTopslongSalopetteLongStar_01.png")</f>
        <v/>
      </c>
      <c r="E18" s="22" t="str">
        <f>IMAGE("https://raw.githubusercontent.com/ltdimages/images/refs/heads/main/ClothTopslongSalopetteLongStar_02.png")</f>
        <v/>
      </c>
      <c r="F18" s="22" t="s">
        <v>3095</v>
      </c>
      <c r="G18" s="22" t="s">
        <v>3095</v>
      </c>
      <c r="H18" s="22" t="s">
        <v>3095</v>
      </c>
      <c r="I18" s="22" t="s">
        <v>3095</v>
      </c>
      <c r="J18" s="22" t="s">
        <v>3095</v>
      </c>
      <c r="K18" s="63" t="s">
        <v>3110</v>
      </c>
      <c r="L18" s="23">
        <v>51.2</v>
      </c>
      <c r="M18" s="22" t="s">
        <v>3097</v>
      </c>
      <c r="N18" s="22" t="s">
        <v>3099</v>
      </c>
      <c r="O18" s="22" t="s">
        <v>45</v>
      </c>
      <c r="P18" s="22" t="s">
        <v>45</v>
      </c>
      <c r="Q18" s="22" t="s">
        <v>45</v>
      </c>
      <c r="R18" s="22" t="s">
        <v>49</v>
      </c>
      <c r="S18" s="22" t="s">
        <v>45</v>
      </c>
      <c r="T18" s="22" t="s">
        <v>2002</v>
      </c>
      <c r="U18" s="22" t="s">
        <v>45</v>
      </c>
      <c r="V18" s="22" t="s">
        <v>45</v>
      </c>
      <c r="W18" s="22" t="s">
        <v>5079</v>
      </c>
    </row>
    <row r="19" ht="45.0" customHeight="1">
      <c r="A19" s="55" t="s">
        <v>134</v>
      </c>
      <c r="B19" s="62" t="s">
        <v>3481</v>
      </c>
      <c r="C19" s="22" t="str">
        <f>IMAGE("https://raw.githubusercontent.com/ltdimages/images/refs/heads/main/ClothTopslongSalopetteHalfSafari_00.png")</f>
        <v/>
      </c>
      <c r="D19" s="22" t="str">
        <f>IMAGE("https://raw.githubusercontent.com/ltdimages/images/refs/heads/main/ClothTopslongSalopetteHalfSafari_01.png")</f>
        <v/>
      </c>
      <c r="E19" s="22" t="str">
        <f>IMAGE("https://raw.githubusercontent.com/ltdimages/images/refs/heads/main/ClothTopslongSalopetteHalfSafari_02.png")</f>
        <v/>
      </c>
      <c r="F19" s="22" t="str">
        <f>IMAGE("https://raw.githubusercontent.com/ltdimages/images/refs/heads/main/ClothTopslongSalopetteHalfSafari_03.png")</f>
        <v/>
      </c>
      <c r="G19" s="22" t="s">
        <v>3095</v>
      </c>
      <c r="H19" s="22" t="s">
        <v>3095</v>
      </c>
      <c r="I19" s="22" t="s">
        <v>3095</v>
      </c>
      <c r="J19" s="22" t="s">
        <v>3095</v>
      </c>
      <c r="K19" s="63" t="s">
        <v>3110</v>
      </c>
      <c r="L19" s="23">
        <v>25.0</v>
      </c>
      <c r="M19" s="22" t="s">
        <v>3097</v>
      </c>
      <c r="N19" s="22" t="s">
        <v>3123</v>
      </c>
      <c r="O19" s="22" t="s">
        <v>45</v>
      </c>
      <c r="P19" s="22" t="s">
        <v>45</v>
      </c>
      <c r="Q19" s="22" t="s">
        <v>45</v>
      </c>
      <c r="R19" s="22" t="s">
        <v>49</v>
      </c>
      <c r="S19" s="22" t="s">
        <v>45</v>
      </c>
      <c r="T19" s="22" t="s">
        <v>2002</v>
      </c>
      <c r="U19" s="22" t="s">
        <v>45</v>
      </c>
      <c r="V19" s="22" t="s">
        <v>45</v>
      </c>
      <c r="W19" s="22" t="s">
        <v>5080</v>
      </c>
    </row>
    <row r="20" ht="45.0" customHeight="1">
      <c r="A20" s="55" t="s">
        <v>138</v>
      </c>
      <c r="B20" s="62" t="s">
        <v>3495</v>
      </c>
      <c r="C20" s="22" t="str">
        <f>IMAGE("https://raw.githubusercontent.com/ltdimages/images/refs/heads/main/ClothTopslongSalopetteLongFirefighter_00.png")</f>
        <v/>
      </c>
      <c r="D20" s="22" t="str">
        <f>IMAGE("https://raw.githubusercontent.com/ltdimages/images/refs/heads/main/ClothTopslongSalopetteLongFirefighter_01.png")</f>
        <v/>
      </c>
      <c r="E20" s="22" t="str">
        <f>IMAGE("https://raw.githubusercontent.com/ltdimages/images/refs/heads/main/ClothTopslongSalopetteLongFirefighter_02.png")</f>
        <v/>
      </c>
      <c r="F20" s="22" t="str">
        <f>IMAGE("https://raw.githubusercontent.com/ltdimages/images/refs/heads/main/ClothTopslongSalopetteLongFirefighter_03.png")</f>
        <v/>
      </c>
      <c r="G20" s="22" t="s">
        <v>3095</v>
      </c>
      <c r="H20" s="22" t="s">
        <v>3095</v>
      </c>
      <c r="I20" s="22" t="s">
        <v>3095</v>
      </c>
      <c r="J20" s="22" t="s">
        <v>3095</v>
      </c>
      <c r="K20" s="63" t="s">
        <v>3110</v>
      </c>
      <c r="L20" s="23">
        <v>39.0</v>
      </c>
      <c r="M20" s="22" t="s">
        <v>3097</v>
      </c>
      <c r="N20" s="22" t="s">
        <v>3099</v>
      </c>
      <c r="O20" s="22" t="s">
        <v>45</v>
      </c>
      <c r="P20" s="22" t="s">
        <v>45</v>
      </c>
      <c r="Q20" s="22" t="s">
        <v>45</v>
      </c>
      <c r="R20" s="22" t="s">
        <v>49</v>
      </c>
      <c r="S20" s="22" t="s">
        <v>45</v>
      </c>
      <c r="T20" s="22" t="s">
        <v>2002</v>
      </c>
      <c r="U20" s="22" t="s">
        <v>45</v>
      </c>
      <c r="V20" s="22" t="s">
        <v>45</v>
      </c>
      <c r="W20" s="22" t="s">
        <v>5081</v>
      </c>
    </row>
    <row r="21" ht="45.0" customHeight="1">
      <c r="A21" s="55" t="s">
        <v>142</v>
      </c>
      <c r="B21" s="62" t="s">
        <v>3524</v>
      </c>
      <c r="C21" s="22" t="str">
        <f>IMAGE("https://raw.githubusercontent.com/ltdimages/images/refs/heads/main/ClothTopslongOverallHalfAmericanFootball_00.png")</f>
        <v/>
      </c>
      <c r="D21" s="22" t="str">
        <f>IMAGE("https://raw.githubusercontent.com/ltdimages/images/refs/heads/main/ClothTopslongOverallHalfAmericanFootball_01.png")</f>
        <v/>
      </c>
      <c r="E21" s="22" t="str">
        <f>IMAGE("https://raw.githubusercontent.com/ltdimages/images/refs/heads/main/ClothTopslongOverallHalfAmericanFootball_02.png")</f>
        <v/>
      </c>
      <c r="F21" s="22" t="str">
        <f>IMAGE("https://raw.githubusercontent.com/ltdimages/images/refs/heads/main/ClothTopslongOverallHalfAmericanFootball_03.png")</f>
        <v/>
      </c>
      <c r="G21" s="22" t="str">
        <f>IMAGE("https://raw.githubusercontent.com/ltdimages/images/refs/heads/main/ClothTopslongOverallHalfAmericanFootball_04.png")</f>
        <v/>
      </c>
      <c r="H21" s="22" t="str">
        <f>IMAGE("https://raw.githubusercontent.com/ltdimages/images/refs/heads/main/ClothTopslongOverallHalfAmericanFootball_05.png")</f>
        <v/>
      </c>
      <c r="I21" s="22" t="s">
        <v>3095</v>
      </c>
      <c r="J21" s="22" t="s">
        <v>3095</v>
      </c>
      <c r="K21" s="63" t="s">
        <v>3110</v>
      </c>
      <c r="L21" s="23">
        <v>33.0</v>
      </c>
      <c r="M21" s="22" t="s">
        <v>3097</v>
      </c>
      <c r="N21" s="22" t="s">
        <v>3099</v>
      </c>
      <c r="O21" s="22" t="s">
        <v>45</v>
      </c>
      <c r="P21" s="22" t="s">
        <v>45</v>
      </c>
      <c r="Q21" s="22" t="s">
        <v>45</v>
      </c>
      <c r="R21" s="22" t="s">
        <v>45</v>
      </c>
      <c r="S21" s="22" t="s">
        <v>45</v>
      </c>
      <c r="T21" s="22" t="s">
        <v>2002</v>
      </c>
      <c r="U21" s="22" t="s">
        <v>45</v>
      </c>
      <c r="V21" s="22" t="s">
        <v>45</v>
      </c>
      <c r="W21" s="22" t="s">
        <v>5082</v>
      </c>
    </row>
    <row r="22" ht="45.0" customHeight="1">
      <c r="A22" s="55" t="s">
        <v>147</v>
      </c>
      <c r="B22" s="62" t="s">
        <v>3529</v>
      </c>
      <c r="C22" s="22" t="str">
        <f>IMAGE("https://raw.githubusercontent.com/ltdimages/images/refs/heads/main/ClothTopslongSalopetteHalfSuspendersFormal_00.png")</f>
        <v/>
      </c>
      <c r="D22" s="22" t="str">
        <f>IMAGE("https://raw.githubusercontent.com/ltdimages/images/refs/heads/main/ClothTopslongSalopetteHalfSuspendersFormal_01.png")</f>
        <v/>
      </c>
      <c r="E22" s="22" t="str">
        <f>IMAGE("https://raw.githubusercontent.com/ltdimages/images/refs/heads/main/ClothTopslongSalopetteHalfSuspendersFormal_02.png")</f>
        <v/>
      </c>
      <c r="F22" s="22" t="str">
        <f>IMAGE("https://raw.githubusercontent.com/ltdimages/images/refs/heads/main/ClothTopslongSalopetteHalfSuspendersFormal_03.png")</f>
        <v/>
      </c>
      <c r="G22" s="22" t="str">
        <f>IMAGE("https://raw.githubusercontent.com/ltdimages/images/refs/heads/main/ClothTopslongSalopetteHalfSuspendersFormal_04.png")</f>
        <v/>
      </c>
      <c r="H22" s="22" t="str">
        <f>IMAGE("https://raw.githubusercontent.com/ltdimages/images/refs/heads/main/ClothTopslongSalopetteHalfSuspendersFormal_05.png")</f>
        <v/>
      </c>
      <c r="I22" s="22" t="s">
        <v>3095</v>
      </c>
      <c r="J22" s="22" t="s">
        <v>3095</v>
      </c>
      <c r="K22" s="63" t="s">
        <v>3110</v>
      </c>
      <c r="L22" s="23">
        <v>33.9</v>
      </c>
      <c r="M22" s="22" t="s">
        <v>3097</v>
      </c>
      <c r="N22" s="22" t="s">
        <v>3099</v>
      </c>
      <c r="O22" s="22" t="s">
        <v>45</v>
      </c>
      <c r="P22" s="22" t="s">
        <v>45</v>
      </c>
      <c r="Q22" s="22" t="s">
        <v>45</v>
      </c>
      <c r="R22" s="22" t="s">
        <v>45</v>
      </c>
      <c r="S22" s="22" t="s">
        <v>45</v>
      </c>
      <c r="T22" s="22" t="s">
        <v>2002</v>
      </c>
      <c r="U22" s="22" t="s">
        <v>45</v>
      </c>
      <c r="V22" s="22" t="s">
        <v>45</v>
      </c>
      <c r="W22" s="22" t="s">
        <v>5083</v>
      </c>
    </row>
    <row r="23" ht="45.0" customHeight="1">
      <c r="A23" s="55" t="s">
        <v>152</v>
      </c>
      <c r="B23" s="62" t="s">
        <v>5084</v>
      </c>
      <c r="C23" s="22" t="str">
        <f>IMAGE("https://raw.githubusercontent.com/ltdimages/images/refs/heads/main/ClothTopslongMuscleLongTraining_00.png")</f>
        <v/>
      </c>
      <c r="D23" s="22" t="str">
        <f>IMAGE("https://raw.githubusercontent.com/ltdimages/images/refs/heads/main/ClothTopslongMuscleLongTraining_01.png")</f>
        <v/>
      </c>
      <c r="E23" s="22" t="str">
        <f>IMAGE("https://raw.githubusercontent.com/ltdimages/images/refs/heads/main/ClothTopslongMuscleLongTraining_02.png")</f>
        <v/>
      </c>
      <c r="F23" s="22" t="str">
        <f>IMAGE("https://raw.githubusercontent.com/ltdimages/images/refs/heads/main/ClothTopslongMuscleLongTraining_03.png")</f>
        <v/>
      </c>
      <c r="G23" s="22" t="str">
        <f>IMAGE("https://raw.githubusercontent.com/ltdimages/images/refs/heads/main/ClothTopslongMuscleLongTraining_04.png")</f>
        <v/>
      </c>
      <c r="H23" s="22" t="str">
        <f>IMAGE("https://raw.githubusercontent.com/ltdimages/images/refs/heads/main/ClothTopslongMuscleLongTraining_05.png")</f>
        <v/>
      </c>
      <c r="I23" s="22" t="str">
        <f>IMAGE("https://raw.githubusercontent.com/ltdimages/images/refs/heads/main/ClothTopslongMuscleLongTraining_06.png")</f>
        <v/>
      </c>
      <c r="J23" s="22" t="str">
        <f>IMAGE("https://raw.githubusercontent.com/ltdimages/images/refs/heads/main/ClothTopslongMuscleLongTraining_07.png")</f>
        <v/>
      </c>
      <c r="K23" s="63" t="s">
        <v>3110</v>
      </c>
      <c r="L23" s="23">
        <v>22.0</v>
      </c>
      <c r="M23" s="22" t="s">
        <v>3097</v>
      </c>
      <c r="N23" s="22" t="s">
        <v>3099</v>
      </c>
      <c r="O23" s="22" t="s">
        <v>45</v>
      </c>
      <c r="P23" s="22" t="s">
        <v>45</v>
      </c>
      <c r="Q23" s="22" t="s">
        <v>45</v>
      </c>
      <c r="R23" s="22" t="s">
        <v>45</v>
      </c>
      <c r="S23" s="22" t="s">
        <v>45</v>
      </c>
      <c r="T23" s="22" t="s">
        <v>2002</v>
      </c>
      <c r="U23" s="22" t="s">
        <v>45</v>
      </c>
      <c r="V23" s="22" t="s">
        <v>45</v>
      </c>
      <c r="W23" s="22" t="s">
        <v>5085</v>
      </c>
    </row>
    <row r="24" ht="45.0" customHeight="1">
      <c r="A24" s="55" t="s">
        <v>156</v>
      </c>
      <c r="B24" s="62" t="s">
        <v>3604</v>
      </c>
      <c r="C24" s="22" t="str">
        <f>IMAGE("https://raw.githubusercontent.com/ltdimages/images/refs/heads/main/ClothTopslongKimonoLongLinen_00.png")</f>
        <v/>
      </c>
      <c r="D24" s="22" t="str">
        <f>IMAGE("https://raw.githubusercontent.com/ltdimages/images/refs/heads/main/ClothTopslongKimonoLongLinen_01.png")</f>
        <v/>
      </c>
      <c r="E24" s="22" t="str">
        <f>IMAGE("https://raw.githubusercontent.com/ltdimages/images/refs/heads/main/ClothTopslongKimonoLongLinen_02.png")</f>
        <v/>
      </c>
      <c r="F24" s="22" t="str">
        <f>IMAGE("https://raw.githubusercontent.com/ltdimages/images/refs/heads/main/ClothTopslongKimonoLongLinen_03.png")</f>
        <v/>
      </c>
      <c r="G24" s="22" t="str">
        <f>IMAGE("https://raw.githubusercontent.com/ltdimages/images/refs/heads/main/ClothTopslongKimonoLongLinen_04.png")</f>
        <v/>
      </c>
      <c r="H24" s="22" t="str">
        <f>IMAGE("https://raw.githubusercontent.com/ltdimages/images/refs/heads/main/ClothTopslongKimonoLongLinen_05.png")</f>
        <v/>
      </c>
      <c r="I24" s="22" t="str">
        <f>IMAGE("https://raw.githubusercontent.com/ltdimages/images/refs/heads/main/ClothTopslongKimonoLongLinen_06.png")</f>
        <v/>
      </c>
      <c r="J24" s="22" t="str">
        <f>IMAGE("https://raw.githubusercontent.com/ltdimages/images/refs/heads/main/ClothTopslongKimonoLongLinen_07.png")</f>
        <v/>
      </c>
      <c r="K24" s="63" t="s">
        <v>3110</v>
      </c>
      <c r="L24" s="23">
        <v>37.8</v>
      </c>
      <c r="M24" s="22" t="s">
        <v>3097</v>
      </c>
      <c r="N24" s="22" t="s">
        <v>3123</v>
      </c>
      <c r="O24" s="22" t="s">
        <v>45</v>
      </c>
      <c r="P24" s="22" t="s">
        <v>45</v>
      </c>
      <c r="Q24" s="22" t="s">
        <v>45</v>
      </c>
      <c r="R24" s="22" t="s">
        <v>45</v>
      </c>
      <c r="S24" s="22" t="s">
        <v>45</v>
      </c>
      <c r="T24" s="22" t="s">
        <v>2002</v>
      </c>
      <c r="U24" s="22" t="s">
        <v>45</v>
      </c>
      <c r="V24" s="22" t="s">
        <v>45</v>
      </c>
      <c r="W24" s="22" t="s">
        <v>5086</v>
      </c>
    </row>
    <row r="25" ht="45.0" customHeight="1">
      <c r="A25" s="55" t="s">
        <v>161</v>
      </c>
      <c r="B25" s="62" t="s">
        <v>3649</v>
      </c>
      <c r="C25" s="22" t="str">
        <f>IMAGE("https://raw.githubusercontent.com/ltdimages/images/refs/heads/main/ClothTopslongOverallLongIceHockey_00.png")</f>
        <v/>
      </c>
      <c r="D25" s="22" t="str">
        <f>IMAGE("https://raw.githubusercontent.com/ltdimages/images/refs/heads/main/ClothTopslongOverallLongIceHockey_01.png")</f>
        <v/>
      </c>
      <c r="E25" s="22" t="str">
        <f>IMAGE("https://raw.githubusercontent.com/ltdimages/images/refs/heads/main/ClothTopslongOverallLongIceHockey_02.png")</f>
        <v/>
      </c>
      <c r="F25" s="22" t="str">
        <f>IMAGE("https://raw.githubusercontent.com/ltdimages/images/refs/heads/main/ClothTopslongOverallLongIceHockey_03.png")</f>
        <v/>
      </c>
      <c r="G25" s="22" t="str">
        <f>IMAGE("https://raw.githubusercontent.com/ltdimages/images/refs/heads/main/ClothTopslongOverallLongIceHockey_04.png")</f>
        <v/>
      </c>
      <c r="H25" s="22" t="str">
        <f>IMAGE("https://raw.githubusercontent.com/ltdimages/images/refs/heads/main/ClothTopslongOverallLongIceHockey_05.png")</f>
        <v/>
      </c>
      <c r="I25" s="22" t="s">
        <v>3095</v>
      </c>
      <c r="J25" s="22" t="s">
        <v>3095</v>
      </c>
      <c r="K25" s="63" t="s">
        <v>3110</v>
      </c>
      <c r="L25" s="23">
        <v>29.0</v>
      </c>
      <c r="M25" s="22" t="s">
        <v>3097</v>
      </c>
      <c r="N25" s="22" t="s">
        <v>3099</v>
      </c>
      <c r="O25" s="22" t="s">
        <v>45</v>
      </c>
      <c r="P25" s="22" t="s">
        <v>45</v>
      </c>
      <c r="Q25" s="22" t="s">
        <v>45</v>
      </c>
      <c r="R25" s="22" t="s">
        <v>45</v>
      </c>
      <c r="S25" s="22" t="s">
        <v>45</v>
      </c>
      <c r="T25" s="22" t="s">
        <v>2002</v>
      </c>
      <c r="U25" s="22" t="s">
        <v>45</v>
      </c>
      <c r="V25" s="22" t="s">
        <v>45</v>
      </c>
      <c r="W25" s="22" t="s">
        <v>5087</v>
      </c>
    </row>
    <row r="26" ht="45.0" customHeight="1">
      <c r="A26" s="55" t="s">
        <v>165</v>
      </c>
      <c r="B26" s="62" t="s">
        <v>5088</v>
      </c>
      <c r="C26" s="22" t="str">
        <f>IMAGE("https://raw.githubusercontent.com/ltdimages/images/refs/heads/main/ClothTopslongSalopetteHalfJimbei_00.png")</f>
        <v/>
      </c>
      <c r="D26" s="22" t="str">
        <f>IMAGE("https://raw.githubusercontent.com/ltdimages/images/refs/heads/main/ClothTopslongSalopetteHalfJimbei_01.png")</f>
        <v/>
      </c>
      <c r="E26" s="22" t="str">
        <f>IMAGE("https://raw.githubusercontent.com/ltdimages/images/refs/heads/main/ClothTopslongSalopetteHalfJimbei_02.png")</f>
        <v/>
      </c>
      <c r="F26" s="22" t="str">
        <f>IMAGE("https://raw.githubusercontent.com/ltdimages/images/refs/heads/main/ClothTopslongSalopetteHalfJimbei_03.png")</f>
        <v/>
      </c>
      <c r="G26" s="22" t="str">
        <f>IMAGE("https://raw.githubusercontent.com/ltdimages/images/refs/heads/main/ClothTopslongSalopetteHalfJimbei_04.png")</f>
        <v/>
      </c>
      <c r="H26" s="22" t="str">
        <f>IMAGE("https://raw.githubusercontent.com/ltdimages/images/refs/heads/main/ClothTopslongSalopetteHalfJimbei_05.png")</f>
        <v/>
      </c>
      <c r="I26" s="22" t="str">
        <f>IMAGE("https://raw.githubusercontent.com/ltdimages/images/refs/heads/main/ClothTopslongSalopetteHalfJimbei_06.png")</f>
        <v/>
      </c>
      <c r="J26" s="22" t="str">
        <f>IMAGE("https://raw.githubusercontent.com/ltdimages/images/refs/heads/main/ClothTopslongSalopetteHalfJimbei_07.png")</f>
        <v/>
      </c>
      <c r="K26" s="63" t="s">
        <v>3110</v>
      </c>
      <c r="L26" s="23">
        <v>22.0</v>
      </c>
      <c r="M26" s="22" t="s">
        <v>3097</v>
      </c>
      <c r="N26" s="22" t="s">
        <v>3123</v>
      </c>
      <c r="O26" s="22" t="s">
        <v>45</v>
      </c>
      <c r="P26" s="22" t="s">
        <v>45</v>
      </c>
      <c r="Q26" s="22" t="s">
        <v>45</v>
      </c>
      <c r="R26" s="22" t="s">
        <v>45</v>
      </c>
      <c r="S26" s="22" t="s">
        <v>45</v>
      </c>
      <c r="T26" s="22" t="s">
        <v>2002</v>
      </c>
      <c r="U26" s="22" t="s">
        <v>45</v>
      </c>
      <c r="V26" s="22" t="s">
        <v>45</v>
      </c>
      <c r="W26" s="22" t="s">
        <v>5089</v>
      </c>
    </row>
    <row r="27" ht="45.0" customHeight="1">
      <c r="A27" s="55" t="s">
        <v>170</v>
      </c>
      <c r="B27" s="62" t="s">
        <v>4463</v>
      </c>
      <c r="C27" s="22" t="str">
        <f>IMAGE("https://raw.githubusercontent.com/ltdimages/images/refs/heads/main/ClothTopslongSalopetteHalfAllinOne_00.png")</f>
        <v/>
      </c>
      <c r="D27" s="22" t="str">
        <f>IMAGE("https://raw.githubusercontent.com/ltdimages/images/refs/heads/main/ClothTopslongSalopetteHalfAllinOne_01.png")</f>
        <v/>
      </c>
      <c r="E27" s="22" t="str">
        <f>IMAGE("https://raw.githubusercontent.com/ltdimages/images/refs/heads/main/ClothTopslongSalopetteHalfAllinOne_02.png")</f>
        <v/>
      </c>
      <c r="F27" s="22" t="str">
        <f>IMAGE("https://raw.githubusercontent.com/ltdimages/images/refs/heads/main/ClothTopslongSalopetteHalfAllinOne_03.png")</f>
        <v/>
      </c>
      <c r="G27" s="22" t="str">
        <f>IMAGE("https://raw.githubusercontent.com/ltdimages/images/refs/heads/main/ClothTopslongSalopetteHalfAllinOne_04.png")</f>
        <v/>
      </c>
      <c r="H27" s="22" t="str">
        <f>IMAGE("https://raw.githubusercontent.com/ltdimages/images/refs/heads/main/ClothTopslongSalopetteHalfAllinOne_05.png")</f>
        <v/>
      </c>
      <c r="I27" s="22" t="s">
        <v>3095</v>
      </c>
      <c r="J27" s="22" t="s">
        <v>3095</v>
      </c>
      <c r="K27" s="63" t="s">
        <v>3110</v>
      </c>
      <c r="L27" s="23">
        <v>20.0</v>
      </c>
      <c r="M27" s="22" t="s">
        <v>3097</v>
      </c>
      <c r="N27" s="22" t="s">
        <v>3099</v>
      </c>
      <c r="O27" s="22" t="s">
        <v>45</v>
      </c>
      <c r="P27" s="22" t="s">
        <v>45</v>
      </c>
      <c r="Q27" s="22" t="s">
        <v>45</v>
      </c>
      <c r="R27" s="22" t="s">
        <v>45</v>
      </c>
      <c r="S27" s="22" t="s">
        <v>45</v>
      </c>
      <c r="T27" s="22" t="s">
        <v>2002</v>
      </c>
      <c r="U27" s="22" t="s">
        <v>45</v>
      </c>
      <c r="V27" s="22" t="s">
        <v>45</v>
      </c>
      <c r="W27" s="22" t="s">
        <v>5090</v>
      </c>
    </row>
    <row r="28" ht="45.0" customHeight="1">
      <c r="A28" s="55" t="s">
        <v>175</v>
      </c>
      <c r="B28" s="62" t="s">
        <v>5091</v>
      </c>
      <c r="C28" s="22" t="str">
        <f>IMAGE("https://raw.githubusercontent.com/ltdimages/images/refs/heads/main/ClothTopslongBoxDressLongKandoora_00.png")</f>
        <v/>
      </c>
      <c r="D28" s="22" t="str">
        <f>IMAGE("https://raw.githubusercontent.com/ltdimages/images/refs/heads/main/ClothTopslongBoxDressLongKandoora_01.png")</f>
        <v/>
      </c>
      <c r="E28" s="22" t="str">
        <f>IMAGE("https://raw.githubusercontent.com/ltdimages/images/refs/heads/main/ClothTopslongBoxDressLongKandoora_02.png")</f>
        <v/>
      </c>
      <c r="F28" s="22" t="str">
        <f>IMAGE("https://raw.githubusercontent.com/ltdimages/images/refs/heads/main/ClothTopslongBoxDressLongKandoora_03.png")</f>
        <v/>
      </c>
      <c r="G28" s="22" t="str">
        <f>IMAGE("https://raw.githubusercontent.com/ltdimages/images/refs/heads/main/ClothTopslongBoxDressLongKandoora_04.png")</f>
        <v/>
      </c>
      <c r="H28" s="22" t="str">
        <f>IMAGE("https://raw.githubusercontent.com/ltdimages/images/refs/heads/main/ClothTopslongBoxDressLongKandoora_05.png")</f>
        <v/>
      </c>
      <c r="I28" s="22" t="s">
        <v>3095</v>
      </c>
      <c r="J28" s="22" t="s">
        <v>3095</v>
      </c>
      <c r="K28" s="63" t="s">
        <v>3110</v>
      </c>
      <c r="L28" s="23">
        <v>39.0</v>
      </c>
      <c r="M28" s="22" t="s">
        <v>3097</v>
      </c>
      <c r="N28" s="22" t="s">
        <v>3099</v>
      </c>
      <c r="O28" s="22" t="s">
        <v>45</v>
      </c>
      <c r="P28" s="22" t="s">
        <v>45</v>
      </c>
      <c r="Q28" s="22" t="s">
        <v>45</v>
      </c>
      <c r="R28" s="22" t="s">
        <v>45</v>
      </c>
      <c r="S28" s="22" t="s">
        <v>45</v>
      </c>
      <c r="T28" s="22" t="s">
        <v>2002</v>
      </c>
      <c r="U28" s="22" t="s">
        <v>45</v>
      </c>
      <c r="V28" s="22" t="s">
        <v>45</v>
      </c>
      <c r="W28" s="22" t="s">
        <v>5092</v>
      </c>
    </row>
    <row r="29" ht="45.0" customHeight="1">
      <c r="A29" s="55" t="s">
        <v>180</v>
      </c>
      <c r="B29" s="62" t="s">
        <v>5093</v>
      </c>
      <c r="C29" s="22" t="str">
        <f>IMAGE("https://raw.githubusercontent.com/ltdimages/images/refs/heads/main/ClothTopslongSalopetteLongJudo_00.png")</f>
        <v/>
      </c>
      <c r="D29" s="22" t="str">
        <f>IMAGE("https://raw.githubusercontent.com/ltdimages/images/refs/heads/main/ClothTopslongSalopetteLongJudo_01.png")</f>
        <v/>
      </c>
      <c r="E29" s="22" t="str">
        <f>IMAGE("https://raw.githubusercontent.com/ltdimages/images/refs/heads/main/ClothTopslongSalopetteLongJudo_02.png")</f>
        <v/>
      </c>
      <c r="F29" s="22" t="str">
        <f>IMAGE("https://raw.githubusercontent.com/ltdimages/images/refs/heads/main/ClothTopslongSalopetteLongJudo_03.png")</f>
        <v/>
      </c>
      <c r="G29" s="22" t="s">
        <v>3095</v>
      </c>
      <c r="H29" s="22" t="s">
        <v>3095</v>
      </c>
      <c r="I29" s="22" t="s">
        <v>3095</v>
      </c>
      <c r="J29" s="22" t="s">
        <v>3095</v>
      </c>
      <c r="K29" s="63" t="s">
        <v>3110</v>
      </c>
      <c r="L29" s="23">
        <v>27.5</v>
      </c>
      <c r="M29" s="22" t="s">
        <v>3097</v>
      </c>
      <c r="N29" s="22" t="s">
        <v>3099</v>
      </c>
      <c r="O29" s="22" t="s">
        <v>45</v>
      </c>
      <c r="P29" s="22" t="s">
        <v>45</v>
      </c>
      <c r="Q29" s="22" t="s">
        <v>45</v>
      </c>
      <c r="R29" s="22" t="s">
        <v>45</v>
      </c>
      <c r="S29" s="22" t="s">
        <v>45</v>
      </c>
      <c r="T29" s="22" t="s">
        <v>2002</v>
      </c>
      <c r="U29" s="22" t="s">
        <v>45</v>
      </c>
      <c r="V29" s="22" t="s">
        <v>45</v>
      </c>
      <c r="W29" s="22" t="s">
        <v>5094</v>
      </c>
    </row>
    <row r="30" ht="45.0" customHeight="1">
      <c r="A30" s="55" t="s">
        <v>185</v>
      </c>
      <c r="B30" s="62" t="s">
        <v>5095</v>
      </c>
      <c r="C30" s="22" t="str">
        <f>IMAGE("https://raw.githubusercontent.com/ltdimages/images/refs/heads/main/ClothTopslongMuscleLongMuscle_00.png")</f>
        <v/>
      </c>
      <c r="D30" s="22" t="str">
        <f>IMAGE("https://raw.githubusercontent.com/ltdimages/images/refs/heads/main/ClothTopslongMuscleLongMuscle_01.png")</f>
        <v/>
      </c>
      <c r="E30" s="22" t="str">
        <f>IMAGE("https://raw.githubusercontent.com/ltdimages/images/refs/heads/main/ClothTopslongMuscleLongMuscle_02.png")</f>
        <v/>
      </c>
      <c r="F30" s="22" t="str">
        <f>IMAGE("https://raw.githubusercontent.com/ltdimages/images/refs/heads/main/ClothTopslongMuscleLongMuscle_03.png")</f>
        <v/>
      </c>
      <c r="G30" s="22" t="str">
        <f>IMAGE("https://raw.githubusercontent.com/ltdimages/images/refs/heads/main/ClothTopslongMuscleLongMuscle_04.png")</f>
        <v/>
      </c>
      <c r="H30" s="22" t="str">
        <f>IMAGE("https://raw.githubusercontent.com/ltdimages/images/refs/heads/main/ClothTopslongMuscleLongMuscle_05.png")</f>
        <v/>
      </c>
      <c r="I30" s="22" t="str">
        <f>IMAGE("https://raw.githubusercontent.com/ltdimages/images/refs/heads/main/ClothTopslongMuscleLongMuscle_06.png")</f>
        <v/>
      </c>
      <c r="J30" s="22" t="str">
        <f>IMAGE("https://raw.githubusercontent.com/ltdimages/images/refs/heads/main/ClothTopslongMuscleLongMuscle_07.png")</f>
        <v/>
      </c>
      <c r="K30" s="63" t="s">
        <v>3110</v>
      </c>
      <c r="L30" s="23">
        <v>30.0</v>
      </c>
      <c r="M30" s="22" t="s">
        <v>3097</v>
      </c>
      <c r="N30" s="22" t="s">
        <v>3099</v>
      </c>
      <c r="O30" s="22" t="s">
        <v>45</v>
      </c>
      <c r="P30" s="22" t="s">
        <v>45</v>
      </c>
      <c r="Q30" s="22" t="s">
        <v>45</v>
      </c>
      <c r="R30" s="22" t="s">
        <v>45</v>
      </c>
      <c r="S30" s="22" t="s">
        <v>45</v>
      </c>
      <c r="T30" s="22" t="s">
        <v>2002</v>
      </c>
      <c r="U30" s="22" t="s">
        <v>45</v>
      </c>
      <c r="V30" s="22" t="s">
        <v>45</v>
      </c>
      <c r="W30" s="22" t="s">
        <v>5096</v>
      </c>
    </row>
    <row r="31" ht="45.0" customHeight="1">
      <c r="A31" s="55" t="s">
        <v>189</v>
      </c>
      <c r="B31" s="62" t="s">
        <v>3756</v>
      </c>
      <c r="C31" s="22" t="str">
        <f>IMAGE("https://raw.githubusercontent.com/ltdimages/images/refs/heads/main/ClothTopslongOverallLongNinja_00.png")</f>
        <v/>
      </c>
      <c r="D31" s="22" t="str">
        <f>IMAGE("https://raw.githubusercontent.com/ltdimages/images/refs/heads/main/ClothTopslongOverallLongNinja_01.png")</f>
        <v/>
      </c>
      <c r="E31" s="22" t="str">
        <f>IMAGE("https://raw.githubusercontent.com/ltdimages/images/refs/heads/main/ClothTopslongOverallLongNinja_02.png")</f>
        <v/>
      </c>
      <c r="F31" s="22" t="str">
        <f>IMAGE("https://raw.githubusercontent.com/ltdimages/images/refs/heads/main/ClothTopslongOverallLongNinja_03.png")</f>
        <v/>
      </c>
      <c r="G31" s="22" t="str">
        <f>IMAGE("https://raw.githubusercontent.com/ltdimages/images/refs/heads/main/ClothTopslongOverallLongNinja_04.png")</f>
        <v/>
      </c>
      <c r="H31" s="22" t="str">
        <f>IMAGE("https://raw.githubusercontent.com/ltdimages/images/refs/heads/main/ClothTopslongOverallLongNinja_05.png")</f>
        <v/>
      </c>
      <c r="I31" s="22" t="str">
        <f>IMAGE("https://raw.githubusercontent.com/ltdimages/images/refs/heads/main/ClothTopslongOverallLongNinja_06.png")</f>
        <v/>
      </c>
      <c r="J31" s="22" t="str">
        <f>IMAGE("https://raw.githubusercontent.com/ltdimages/images/refs/heads/main/ClothTopslongOverallLongNinja_07.png")</f>
        <v/>
      </c>
      <c r="K31" s="63" t="s">
        <v>3110</v>
      </c>
      <c r="L31" s="23">
        <v>32.1</v>
      </c>
      <c r="M31" s="22" t="s">
        <v>3097</v>
      </c>
      <c r="N31" s="22" t="s">
        <v>3099</v>
      </c>
      <c r="O31" s="22" t="s">
        <v>45</v>
      </c>
      <c r="P31" s="22" t="s">
        <v>45</v>
      </c>
      <c r="Q31" s="22" t="s">
        <v>45</v>
      </c>
      <c r="R31" s="22" t="s">
        <v>49</v>
      </c>
      <c r="S31" s="22" t="s">
        <v>45</v>
      </c>
      <c r="T31" s="22" t="s">
        <v>2002</v>
      </c>
      <c r="U31" s="22" t="s">
        <v>45</v>
      </c>
      <c r="V31" s="22" t="s">
        <v>45</v>
      </c>
      <c r="W31" s="22" t="s">
        <v>5097</v>
      </c>
    </row>
    <row r="32" ht="45.0" customHeight="1">
      <c r="A32" s="55" t="s">
        <v>194</v>
      </c>
      <c r="B32" s="62" t="s">
        <v>3388</v>
      </c>
      <c r="C32" s="22" t="str">
        <f>IMAGE("https://raw.githubusercontent.com/ltdimages/images/refs/heads/main/ClothTopslongOverallLongOverallDenim_00.png")</f>
        <v/>
      </c>
      <c r="D32" s="22" t="str">
        <f>IMAGE("https://raw.githubusercontent.com/ltdimages/images/refs/heads/main/ClothTopslongOverallLongOverallDenim_01.png")</f>
        <v/>
      </c>
      <c r="E32" s="22" t="str">
        <f>IMAGE("https://raw.githubusercontent.com/ltdimages/images/refs/heads/main/ClothTopslongOverallLongOverallDenim_02.png")</f>
        <v/>
      </c>
      <c r="F32" s="22" t="str">
        <f>IMAGE("https://raw.githubusercontent.com/ltdimages/images/refs/heads/main/ClothTopslongOverallLongOverallDenim_03.png")</f>
        <v/>
      </c>
      <c r="G32" s="22" t="s">
        <v>3095</v>
      </c>
      <c r="H32" s="22" t="s">
        <v>3095</v>
      </c>
      <c r="I32" s="22" t="s">
        <v>3095</v>
      </c>
      <c r="J32" s="22" t="s">
        <v>3095</v>
      </c>
      <c r="K32" s="63" t="s">
        <v>3110</v>
      </c>
      <c r="L32" s="23">
        <v>25.6</v>
      </c>
      <c r="M32" s="22" t="s">
        <v>3097</v>
      </c>
      <c r="N32" s="22" t="s">
        <v>3099</v>
      </c>
      <c r="O32" s="22" t="s">
        <v>45</v>
      </c>
      <c r="P32" s="22" t="s">
        <v>45</v>
      </c>
      <c r="Q32" s="22" t="s">
        <v>45</v>
      </c>
      <c r="R32" s="22" t="s">
        <v>45</v>
      </c>
      <c r="S32" s="22" t="s">
        <v>45</v>
      </c>
      <c r="T32" s="22" t="s">
        <v>2002</v>
      </c>
      <c r="U32" s="22" t="s">
        <v>45</v>
      </c>
      <c r="V32" s="22" t="s">
        <v>45</v>
      </c>
      <c r="W32" s="22" t="s">
        <v>5098</v>
      </c>
    </row>
    <row r="33" ht="45.0" customHeight="1">
      <c r="A33" s="55" t="s">
        <v>198</v>
      </c>
      <c r="B33" s="62" t="s">
        <v>3781</v>
      </c>
      <c r="C33" s="22" t="str">
        <f>IMAGE("https://raw.githubusercontent.com/ltdimages/images/refs/heads/main/ClothTopslongSalopetteLongSplashed_00.png")</f>
        <v/>
      </c>
      <c r="D33" s="22" t="str">
        <f>IMAGE("https://raw.githubusercontent.com/ltdimages/images/refs/heads/main/ClothTopslongSalopetteLongSplashed_01.png")</f>
        <v/>
      </c>
      <c r="E33" s="22" t="str">
        <f>IMAGE("https://raw.githubusercontent.com/ltdimages/images/refs/heads/main/ClothTopslongSalopetteLongSplashed_02.png")</f>
        <v/>
      </c>
      <c r="F33" s="22" t="str">
        <f>IMAGE("https://raw.githubusercontent.com/ltdimages/images/refs/heads/main/ClothTopslongSalopetteLongSplashed_03.png")</f>
        <v/>
      </c>
      <c r="G33" s="22" t="str">
        <f>IMAGE("https://raw.githubusercontent.com/ltdimages/images/refs/heads/main/ClothTopslongSalopetteLongSplashed_04.png")</f>
        <v/>
      </c>
      <c r="H33" s="22" t="s">
        <v>3095</v>
      </c>
      <c r="I33" s="22" t="s">
        <v>3095</v>
      </c>
      <c r="J33" s="22" t="s">
        <v>3095</v>
      </c>
      <c r="K33" s="63" t="s">
        <v>3110</v>
      </c>
      <c r="L33" s="23">
        <v>21.0</v>
      </c>
      <c r="M33" s="22" t="s">
        <v>3097</v>
      </c>
      <c r="N33" s="22" t="s">
        <v>3099</v>
      </c>
      <c r="O33" s="22" t="s">
        <v>45</v>
      </c>
      <c r="P33" s="22" t="s">
        <v>45</v>
      </c>
      <c r="Q33" s="22" t="s">
        <v>45</v>
      </c>
      <c r="R33" s="22" t="s">
        <v>45</v>
      </c>
      <c r="S33" s="22" t="s">
        <v>45</v>
      </c>
      <c r="T33" s="22" t="s">
        <v>2002</v>
      </c>
      <c r="U33" s="22" t="s">
        <v>45</v>
      </c>
      <c r="V33" s="22" t="s">
        <v>45</v>
      </c>
      <c r="W33" s="22" t="s">
        <v>5099</v>
      </c>
    </row>
    <row r="34" ht="45.0" customHeight="1">
      <c r="A34" s="55" t="s">
        <v>202</v>
      </c>
      <c r="B34" s="62" t="s">
        <v>3812</v>
      </c>
      <c r="C34" s="22" t="str">
        <f>IMAGE("https://raw.githubusercontent.com/ltdimages/images/refs/heads/main/ClothTopslongBoxDressHalfPharaoh_00.png")</f>
        <v/>
      </c>
      <c r="D34" s="22" t="str">
        <f>IMAGE("https://raw.githubusercontent.com/ltdimages/images/refs/heads/main/ClothTopslongBoxDressHalfPharaoh_01.png")</f>
        <v/>
      </c>
      <c r="E34" s="22" t="s">
        <v>3095</v>
      </c>
      <c r="F34" s="22" t="s">
        <v>3095</v>
      </c>
      <c r="G34" s="22" t="s">
        <v>3095</v>
      </c>
      <c r="H34" s="22" t="s">
        <v>3095</v>
      </c>
      <c r="I34" s="22" t="s">
        <v>3095</v>
      </c>
      <c r="J34" s="22" t="s">
        <v>3095</v>
      </c>
      <c r="K34" s="63" t="s">
        <v>3110</v>
      </c>
      <c r="L34" s="23">
        <v>98.0</v>
      </c>
      <c r="M34" s="22" t="s">
        <v>3097</v>
      </c>
      <c r="N34" s="22" t="s">
        <v>3099</v>
      </c>
      <c r="O34" s="22" t="s">
        <v>45</v>
      </c>
      <c r="P34" s="22" t="s">
        <v>45</v>
      </c>
      <c r="Q34" s="22" t="s">
        <v>45</v>
      </c>
      <c r="R34" s="22" t="s">
        <v>49</v>
      </c>
      <c r="S34" s="22" t="s">
        <v>45</v>
      </c>
      <c r="T34" s="22" t="s">
        <v>2002</v>
      </c>
      <c r="U34" s="22" t="s">
        <v>45</v>
      </c>
      <c r="V34" s="22" t="s">
        <v>45</v>
      </c>
      <c r="W34" s="22" t="s">
        <v>5100</v>
      </c>
    </row>
    <row r="35" ht="45.0" customHeight="1">
      <c r="A35" s="55" t="s">
        <v>207</v>
      </c>
      <c r="B35" s="62" t="s">
        <v>3873</v>
      </c>
      <c r="C35" s="22" t="str">
        <f>IMAGE("https://raw.githubusercontent.com/ltdimages/images/refs/heads/main/ClothTopslongOverallLongRacingSuit_00.png")</f>
        <v/>
      </c>
      <c r="D35" s="22" t="str">
        <f>IMAGE("https://raw.githubusercontent.com/ltdimages/images/refs/heads/main/ClothTopslongOverallLongRacingSuit_01.png")</f>
        <v/>
      </c>
      <c r="E35" s="22" t="str">
        <f>IMAGE("https://raw.githubusercontent.com/ltdimages/images/refs/heads/main/ClothTopslongOverallLongRacingSuit_02.png")</f>
        <v/>
      </c>
      <c r="F35" s="22" t="str">
        <f>IMAGE("https://raw.githubusercontent.com/ltdimages/images/refs/heads/main/ClothTopslongOverallLongRacingSuit_03.png")</f>
        <v/>
      </c>
      <c r="G35" s="22" t="str">
        <f>IMAGE("https://raw.githubusercontent.com/ltdimages/images/refs/heads/main/ClothTopslongOverallLongRacingSuit_04.png")</f>
        <v/>
      </c>
      <c r="H35" s="22" t="str">
        <f>IMAGE("https://raw.githubusercontent.com/ltdimages/images/refs/heads/main/ClothTopslongOverallLongRacingSuit_05.png")</f>
        <v/>
      </c>
      <c r="I35" s="22" t="str">
        <f>IMAGE("https://raw.githubusercontent.com/ltdimages/images/refs/heads/main/ClothTopslongOverallLongRacingSuit_06.png")</f>
        <v/>
      </c>
      <c r="J35" s="22" t="str">
        <f>IMAGE("https://raw.githubusercontent.com/ltdimages/images/refs/heads/main/ClothTopslongOverallLongRacingSuit_07.png")</f>
        <v/>
      </c>
      <c r="K35" s="63" t="s">
        <v>3110</v>
      </c>
      <c r="L35" s="23">
        <v>35.0</v>
      </c>
      <c r="M35" s="22" t="s">
        <v>3097</v>
      </c>
      <c r="N35" s="22" t="s">
        <v>3099</v>
      </c>
      <c r="O35" s="22" t="s">
        <v>45</v>
      </c>
      <c r="P35" s="22" t="s">
        <v>45</v>
      </c>
      <c r="Q35" s="22" t="s">
        <v>45</v>
      </c>
      <c r="R35" s="22" t="s">
        <v>45</v>
      </c>
      <c r="S35" s="22" t="s">
        <v>45</v>
      </c>
      <c r="T35" s="22" t="s">
        <v>2002</v>
      </c>
      <c r="U35" s="22" t="s">
        <v>45</v>
      </c>
      <c r="V35" s="22" t="s">
        <v>45</v>
      </c>
      <c r="W35" s="22" t="s">
        <v>5101</v>
      </c>
    </row>
    <row r="36" ht="45.0" customHeight="1">
      <c r="A36" s="55" t="s">
        <v>211</v>
      </c>
      <c r="B36" s="62" t="s">
        <v>5102</v>
      </c>
      <c r="C36" s="22" t="str">
        <f>IMAGE("https://raw.githubusercontent.com/ltdimages/images/refs/heads/main/ClothTopslongBoxDressLongRagged_00.png")</f>
        <v/>
      </c>
      <c r="D36" s="22" t="str">
        <f>IMAGE("https://raw.githubusercontent.com/ltdimages/images/refs/heads/main/ClothTopslongBoxDressLongRagged_01.png")</f>
        <v/>
      </c>
      <c r="E36" s="22" t="str">
        <f>IMAGE("https://raw.githubusercontent.com/ltdimages/images/refs/heads/main/ClothTopslongBoxDressLongRagged_02.png")</f>
        <v/>
      </c>
      <c r="F36" s="22" t="s">
        <v>3095</v>
      </c>
      <c r="G36" s="22" t="s">
        <v>3095</v>
      </c>
      <c r="H36" s="22" t="s">
        <v>3095</v>
      </c>
      <c r="I36" s="22" t="s">
        <v>3095</v>
      </c>
      <c r="J36" s="22" t="s">
        <v>3095</v>
      </c>
      <c r="K36" s="63" t="s">
        <v>3110</v>
      </c>
      <c r="L36" s="23">
        <v>5.0</v>
      </c>
      <c r="M36" s="22" t="s">
        <v>3097</v>
      </c>
      <c r="N36" s="22" t="s">
        <v>3099</v>
      </c>
      <c r="O36" s="22" t="s">
        <v>45</v>
      </c>
      <c r="P36" s="22" t="s">
        <v>49</v>
      </c>
      <c r="Q36" s="22" t="s">
        <v>45</v>
      </c>
      <c r="R36" s="22" t="s">
        <v>49</v>
      </c>
      <c r="S36" s="22" t="s">
        <v>45</v>
      </c>
      <c r="T36" s="22" t="s">
        <v>2002</v>
      </c>
      <c r="U36" s="22" t="s">
        <v>45</v>
      </c>
      <c r="V36" s="22" t="s">
        <v>45</v>
      </c>
      <c r="W36" s="22" t="s">
        <v>5103</v>
      </c>
    </row>
    <row r="37" ht="45.0" customHeight="1">
      <c r="A37" s="55" t="s">
        <v>215</v>
      </c>
      <c r="B37" s="62" t="s">
        <v>3894</v>
      </c>
      <c r="C37" s="22" t="str">
        <f>IMAGE("https://raw.githubusercontent.com/ltdimages/images/refs/heads/main/ClothTopslongOverallSleevelessSwimwear_00.png")</f>
        <v/>
      </c>
      <c r="D37" s="22" t="str">
        <f>IMAGE("https://raw.githubusercontent.com/ltdimages/images/refs/heads/main/ClothTopslongOverallSleevelessSwimwear_01.png")</f>
        <v/>
      </c>
      <c r="E37" s="22" t="str">
        <f>IMAGE("https://raw.githubusercontent.com/ltdimages/images/refs/heads/main/ClothTopslongOverallSleevelessSwimwear_02.png")</f>
        <v/>
      </c>
      <c r="F37" s="22" t="str">
        <f>IMAGE("https://raw.githubusercontent.com/ltdimages/images/refs/heads/main/ClothTopslongOverallSleevelessSwimwear_03.png")</f>
        <v/>
      </c>
      <c r="G37" s="22" t="str">
        <f>IMAGE("https://raw.githubusercontent.com/ltdimages/images/refs/heads/main/ClothTopslongOverallSleevelessSwimwear_04.png")</f>
        <v/>
      </c>
      <c r="H37" s="22" t="str">
        <f>IMAGE("https://raw.githubusercontent.com/ltdimages/images/refs/heads/main/ClothTopslongOverallSleevelessSwimwear_05.png")</f>
        <v/>
      </c>
      <c r="I37" s="22" t="str">
        <f>IMAGE("https://raw.githubusercontent.com/ltdimages/images/refs/heads/main/ClothTopslongOverallSleevelessSwimwear_06.png")</f>
        <v/>
      </c>
      <c r="J37" s="22" t="str">
        <f>IMAGE("https://raw.githubusercontent.com/ltdimages/images/refs/heads/main/ClothTopslongOverallSleevelessSwimwear_07.png")</f>
        <v/>
      </c>
      <c r="K37" s="63" t="s">
        <v>3110</v>
      </c>
      <c r="L37" s="23">
        <v>20.0</v>
      </c>
      <c r="M37" s="22" t="s">
        <v>3097</v>
      </c>
      <c r="N37" s="22" t="s">
        <v>3123</v>
      </c>
      <c r="O37" s="22" t="s">
        <v>45</v>
      </c>
      <c r="P37" s="22" t="s">
        <v>45</v>
      </c>
      <c r="Q37" s="22" t="s">
        <v>49</v>
      </c>
      <c r="R37" s="22" t="s">
        <v>45</v>
      </c>
      <c r="S37" s="22" t="s">
        <v>45</v>
      </c>
      <c r="T37" s="22" t="s">
        <v>2002</v>
      </c>
      <c r="U37" s="22" t="s">
        <v>45</v>
      </c>
      <c r="V37" s="22" t="s">
        <v>45</v>
      </c>
      <c r="W37" s="22" t="s">
        <v>5104</v>
      </c>
    </row>
    <row r="38" ht="45.0" customHeight="1">
      <c r="A38" s="55" t="s">
        <v>220</v>
      </c>
      <c r="B38" s="62" t="s">
        <v>3922</v>
      </c>
      <c r="C38" s="22" t="str">
        <f>IMAGE("https://raw.githubusercontent.com/ltdimages/images/refs/heads/main/ClothTopslongKimonoLongRobe_00.png")</f>
        <v/>
      </c>
      <c r="D38" s="22" t="str">
        <f>IMAGE("https://raw.githubusercontent.com/ltdimages/images/refs/heads/main/ClothTopslongKimonoLongRobe_01.png")</f>
        <v/>
      </c>
      <c r="E38" s="22" t="str">
        <f>IMAGE("https://raw.githubusercontent.com/ltdimages/images/refs/heads/main/ClothTopslongKimonoLongRobe_02.png")</f>
        <v/>
      </c>
      <c r="F38" s="22" t="str">
        <f>IMAGE("https://raw.githubusercontent.com/ltdimages/images/refs/heads/main/ClothTopslongKimonoLongRobe_03.png")</f>
        <v/>
      </c>
      <c r="G38" s="22" t="str">
        <f>IMAGE("https://raw.githubusercontent.com/ltdimages/images/refs/heads/main/ClothTopslongKimonoLongRobe_04.png")</f>
        <v/>
      </c>
      <c r="H38" s="22" t="str">
        <f>IMAGE("https://raw.githubusercontent.com/ltdimages/images/refs/heads/main/ClothTopslongKimonoLongRobe_05.png")</f>
        <v/>
      </c>
      <c r="I38" s="22" t="str">
        <f>IMAGE("https://raw.githubusercontent.com/ltdimages/images/refs/heads/main/ClothTopslongKimonoLongRobe_06.png")</f>
        <v/>
      </c>
      <c r="J38" s="22" t="str">
        <f>IMAGE("https://raw.githubusercontent.com/ltdimages/images/refs/heads/main/ClothTopslongKimonoLongRobe_07.png")</f>
        <v/>
      </c>
      <c r="K38" s="63" t="s">
        <v>3110</v>
      </c>
      <c r="L38" s="23">
        <v>30.0</v>
      </c>
      <c r="M38" s="22" t="s">
        <v>3097</v>
      </c>
      <c r="N38" s="22" t="s">
        <v>3099</v>
      </c>
      <c r="O38" s="22" t="s">
        <v>45</v>
      </c>
      <c r="P38" s="22" t="s">
        <v>45</v>
      </c>
      <c r="Q38" s="22" t="s">
        <v>45</v>
      </c>
      <c r="R38" s="22" t="s">
        <v>49</v>
      </c>
      <c r="S38" s="22" t="s">
        <v>45</v>
      </c>
      <c r="T38" s="22" t="s">
        <v>2002</v>
      </c>
      <c r="U38" s="22" t="s">
        <v>45</v>
      </c>
      <c r="V38" s="22" t="s">
        <v>45</v>
      </c>
      <c r="W38" s="22" t="s">
        <v>5105</v>
      </c>
    </row>
    <row r="39" ht="45.0" customHeight="1">
      <c r="A39" s="55" t="s">
        <v>224</v>
      </c>
      <c r="B39" s="62" t="s">
        <v>3912</v>
      </c>
      <c r="C39" s="22" t="str">
        <f>IMAGE("https://raw.githubusercontent.com/ltdimages/images/refs/heads/main/ClothTopslongAlongLongKing_00.png")</f>
        <v/>
      </c>
      <c r="D39" s="22" t="str">
        <f>IMAGE("https://raw.githubusercontent.com/ltdimages/images/refs/heads/main/ClothTopslongAlongLongKing_01.png")</f>
        <v/>
      </c>
      <c r="E39" s="22" t="s">
        <v>3095</v>
      </c>
      <c r="F39" s="22" t="s">
        <v>3095</v>
      </c>
      <c r="G39" s="22" t="s">
        <v>3095</v>
      </c>
      <c r="H39" s="22" t="s">
        <v>3095</v>
      </c>
      <c r="I39" s="22" t="s">
        <v>3095</v>
      </c>
      <c r="J39" s="22" t="s">
        <v>3095</v>
      </c>
      <c r="K39" s="63" t="s">
        <v>3110</v>
      </c>
      <c r="L39" s="23">
        <v>2500.0</v>
      </c>
      <c r="M39" s="22" t="s">
        <v>3097</v>
      </c>
      <c r="N39" s="22" t="s">
        <v>3099</v>
      </c>
      <c r="O39" s="22" t="s">
        <v>45</v>
      </c>
      <c r="P39" s="22" t="s">
        <v>45</v>
      </c>
      <c r="Q39" s="22" t="s">
        <v>45</v>
      </c>
      <c r="R39" s="22" t="s">
        <v>49</v>
      </c>
      <c r="S39" s="22" t="s">
        <v>45</v>
      </c>
      <c r="T39" s="22" t="s">
        <v>2002</v>
      </c>
      <c r="U39" s="22" t="s">
        <v>45</v>
      </c>
      <c r="V39" s="22" t="s">
        <v>45</v>
      </c>
      <c r="W39" s="22" t="s">
        <v>5106</v>
      </c>
    </row>
    <row r="40" ht="45.0" customHeight="1">
      <c r="A40" s="55" t="s">
        <v>229</v>
      </c>
      <c r="B40" s="62" t="s">
        <v>5107</v>
      </c>
      <c r="C40" s="22" t="str">
        <f>IMAGE("https://raw.githubusercontent.com/ltdimages/images/refs/heads/main/ClothTopslongSalopetteLongMambo_00.png")</f>
        <v/>
      </c>
      <c r="D40" s="22" t="str">
        <f>IMAGE("https://raw.githubusercontent.com/ltdimages/images/refs/heads/main/ClothTopslongSalopetteLongMambo_01.png")</f>
        <v/>
      </c>
      <c r="E40" s="22" t="s">
        <v>3095</v>
      </c>
      <c r="F40" s="22" t="s">
        <v>3095</v>
      </c>
      <c r="G40" s="22" t="s">
        <v>3095</v>
      </c>
      <c r="H40" s="22" t="s">
        <v>3095</v>
      </c>
      <c r="I40" s="22" t="s">
        <v>3095</v>
      </c>
      <c r="J40" s="22" t="s">
        <v>3095</v>
      </c>
      <c r="K40" s="63" t="s">
        <v>3110</v>
      </c>
      <c r="L40" s="23">
        <v>48.0</v>
      </c>
      <c r="M40" s="22" t="s">
        <v>3097</v>
      </c>
      <c r="N40" s="22" t="s">
        <v>3099</v>
      </c>
      <c r="O40" s="22" t="s">
        <v>45</v>
      </c>
      <c r="P40" s="22" t="s">
        <v>45</v>
      </c>
      <c r="Q40" s="22" t="s">
        <v>45</v>
      </c>
      <c r="R40" s="22" t="s">
        <v>49</v>
      </c>
      <c r="S40" s="22" t="s">
        <v>45</v>
      </c>
      <c r="T40" s="22" t="s">
        <v>2002</v>
      </c>
      <c r="U40" s="22" t="s">
        <v>45</v>
      </c>
      <c r="V40" s="22" t="s">
        <v>45</v>
      </c>
      <c r="W40" s="22" t="s">
        <v>5108</v>
      </c>
    </row>
    <row r="41" ht="45.0" customHeight="1">
      <c r="A41" s="55" t="s">
        <v>233</v>
      </c>
      <c r="B41" s="62" t="s">
        <v>3928</v>
      </c>
      <c r="C41" s="22" t="str">
        <f>IMAGE("https://raw.githubusercontent.com/ltdimages/images/refs/heads/main/ClothTopslongOverallSleevelessSamba_00.png")</f>
        <v/>
      </c>
      <c r="D41" s="22" t="str">
        <f>IMAGE("https://raw.githubusercontent.com/ltdimages/images/refs/heads/main/ClothTopslongOverallSleevelessSamba_01.png")</f>
        <v/>
      </c>
      <c r="E41" s="22" t="str">
        <f>IMAGE("https://raw.githubusercontent.com/ltdimages/images/refs/heads/main/ClothTopslongOverallSleevelessSamba_02.png")</f>
        <v/>
      </c>
      <c r="F41" s="22" t="str">
        <f>IMAGE("https://raw.githubusercontent.com/ltdimages/images/refs/heads/main/ClothTopslongOverallSleevelessSamba_03.png")</f>
        <v/>
      </c>
      <c r="G41" s="22" t="str">
        <f>IMAGE("https://raw.githubusercontent.com/ltdimages/images/refs/heads/main/ClothTopslongOverallSleevelessSamba_04.png")</f>
        <v/>
      </c>
      <c r="H41" s="22" t="str">
        <f>IMAGE("https://raw.githubusercontent.com/ltdimages/images/refs/heads/main/ClothTopslongOverallSleevelessSamba_05.png")</f>
        <v/>
      </c>
      <c r="I41" s="22" t="str">
        <f>IMAGE("https://raw.githubusercontent.com/ltdimages/images/refs/heads/main/ClothTopslongOverallSleevelessSamba_06.png")</f>
        <v/>
      </c>
      <c r="J41" s="22" t="str">
        <f>IMAGE("https://raw.githubusercontent.com/ltdimages/images/refs/heads/main/ClothTopslongOverallSleevelessSamba_07.png")</f>
        <v/>
      </c>
      <c r="K41" s="63" t="s">
        <v>3110</v>
      </c>
      <c r="L41" s="23">
        <v>35.0</v>
      </c>
      <c r="M41" s="22" t="s">
        <v>3097</v>
      </c>
      <c r="N41" s="22" t="s">
        <v>3123</v>
      </c>
      <c r="O41" s="22" t="s">
        <v>45</v>
      </c>
      <c r="P41" s="22" t="s">
        <v>45</v>
      </c>
      <c r="Q41" s="22" t="s">
        <v>45</v>
      </c>
      <c r="R41" s="22" t="s">
        <v>49</v>
      </c>
      <c r="S41" s="22" t="s">
        <v>45</v>
      </c>
      <c r="T41" s="22" t="s">
        <v>2002</v>
      </c>
      <c r="U41" s="22" t="s">
        <v>45</v>
      </c>
      <c r="V41" s="22" t="s">
        <v>45</v>
      </c>
      <c r="W41" s="22" t="s">
        <v>5109</v>
      </c>
    </row>
    <row r="42" ht="45.0" customHeight="1">
      <c r="A42" s="55" t="s">
        <v>237</v>
      </c>
      <c r="B42" s="62" t="s">
        <v>4088</v>
      </c>
      <c r="C42" s="22" t="str">
        <f>IMAGE("https://raw.githubusercontent.com/ltdimages/images/refs/heads/main/ClothTopslongOverallLongSuspenders_00.png")</f>
        <v/>
      </c>
      <c r="D42" s="22" t="str">
        <f>IMAGE("https://raw.githubusercontent.com/ltdimages/images/refs/heads/main/ClothTopslongOverallLongSuspenders_01.png")</f>
        <v/>
      </c>
      <c r="E42" s="22" t="str">
        <f>IMAGE("https://raw.githubusercontent.com/ltdimages/images/refs/heads/main/ClothTopslongOverallLongSuspenders_02.png")</f>
        <v/>
      </c>
      <c r="F42" s="22" t="str">
        <f>IMAGE("https://raw.githubusercontent.com/ltdimages/images/refs/heads/main/ClothTopslongOverallLongSuspenders_03.png")</f>
        <v/>
      </c>
      <c r="G42" s="22" t="s">
        <v>3095</v>
      </c>
      <c r="H42" s="22" t="s">
        <v>3095</v>
      </c>
      <c r="I42" s="22" t="s">
        <v>3095</v>
      </c>
      <c r="J42" s="22" t="s">
        <v>3095</v>
      </c>
      <c r="K42" s="63" t="s">
        <v>3110</v>
      </c>
      <c r="L42" s="23">
        <v>31.1</v>
      </c>
      <c r="M42" s="22" t="s">
        <v>3097</v>
      </c>
      <c r="N42" s="22" t="s">
        <v>3099</v>
      </c>
      <c r="O42" s="22" t="s">
        <v>45</v>
      </c>
      <c r="P42" s="22" t="s">
        <v>45</v>
      </c>
      <c r="Q42" s="22" t="s">
        <v>45</v>
      </c>
      <c r="R42" s="22" t="s">
        <v>45</v>
      </c>
      <c r="S42" s="22" t="s">
        <v>45</v>
      </c>
      <c r="T42" s="22" t="s">
        <v>2002</v>
      </c>
      <c r="U42" s="22" t="s">
        <v>45</v>
      </c>
      <c r="V42" s="22" t="s">
        <v>45</v>
      </c>
      <c r="W42" s="22" t="s">
        <v>5110</v>
      </c>
    </row>
    <row r="43" ht="45.0" customHeight="1">
      <c r="A43" s="55" t="s">
        <v>241</v>
      </c>
      <c r="B43" s="62" t="s">
        <v>5111</v>
      </c>
      <c r="C43" s="22" t="str">
        <f>IMAGE("https://raw.githubusercontent.com/ltdimages/images/refs/heads/main/ClothTopslongBoxDressHalfToga_00.png")</f>
        <v/>
      </c>
      <c r="D43" s="22" t="str">
        <f>IMAGE("https://raw.githubusercontent.com/ltdimages/images/refs/heads/main/ClothTopslongBoxDressHalfToga_01.png")</f>
        <v/>
      </c>
      <c r="E43" s="22" t="str">
        <f>IMAGE("https://raw.githubusercontent.com/ltdimages/images/refs/heads/main/ClothTopslongBoxDressHalfToga_02.png")</f>
        <v/>
      </c>
      <c r="F43" s="22" t="s">
        <v>3095</v>
      </c>
      <c r="G43" s="22" t="s">
        <v>3095</v>
      </c>
      <c r="H43" s="22" t="s">
        <v>3095</v>
      </c>
      <c r="I43" s="22" t="s">
        <v>3095</v>
      </c>
      <c r="J43" s="22" t="s">
        <v>3095</v>
      </c>
      <c r="K43" s="63" t="s">
        <v>3110</v>
      </c>
      <c r="L43" s="23">
        <v>43.5</v>
      </c>
      <c r="M43" s="22" t="s">
        <v>3097</v>
      </c>
      <c r="N43" s="22" t="s">
        <v>3099</v>
      </c>
      <c r="O43" s="22" t="s">
        <v>45</v>
      </c>
      <c r="P43" s="22" t="s">
        <v>45</v>
      </c>
      <c r="Q43" s="22" t="s">
        <v>45</v>
      </c>
      <c r="R43" s="22" t="s">
        <v>49</v>
      </c>
      <c r="S43" s="22" t="s">
        <v>45</v>
      </c>
      <c r="T43" s="22" t="s">
        <v>2002</v>
      </c>
      <c r="U43" s="22" t="s">
        <v>45</v>
      </c>
      <c r="V43" s="22" t="s">
        <v>45</v>
      </c>
      <c r="W43" s="22" t="s">
        <v>5112</v>
      </c>
    </row>
    <row r="44" ht="45.0" customHeight="1">
      <c r="A44" s="55" t="s">
        <v>245</v>
      </c>
      <c r="B44" s="62" t="s">
        <v>4162</v>
      </c>
      <c r="C44" s="22" t="str">
        <f>IMAGE("https://raw.githubusercontent.com/ltdimages/images/refs/heads/main/ClothTopslongOverallLongAlpinist_00.png")</f>
        <v/>
      </c>
      <c r="D44" s="22" t="str">
        <f>IMAGE("https://raw.githubusercontent.com/ltdimages/images/refs/heads/main/ClothTopslongOverallLongAlpinist_01.png")</f>
        <v/>
      </c>
      <c r="E44" s="22" t="str">
        <f>IMAGE("https://raw.githubusercontent.com/ltdimages/images/refs/heads/main/ClothTopslongOverallLongAlpinist_02.png")</f>
        <v/>
      </c>
      <c r="F44" s="22" t="str">
        <f>IMAGE("https://raw.githubusercontent.com/ltdimages/images/refs/heads/main/ClothTopslongOverallLongAlpinist_03.png")</f>
        <v/>
      </c>
      <c r="G44" s="22" t="str">
        <f>IMAGE("https://raw.githubusercontent.com/ltdimages/images/refs/heads/main/ClothTopslongOverallLongAlpinist_04.png")</f>
        <v/>
      </c>
      <c r="H44" s="22" t="str">
        <f>IMAGE("https://raw.githubusercontent.com/ltdimages/images/refs/heads/main/ClothTopslongOverallLongAlpinist_05.png")</f>
        <v/>
      </c>
      <c r="I44" s="22" t="s">
        <v>3095</v>
      </c>
      <c r="J44" s="22" t="s">
        <v>3095</v>
      </c>
      <c r="K44" s="63" t="s">
        <v>3110</v>
      </c>
      <c r="L44" s="23">
        <v>40.0</v>
      </c>
      <c r="M44" s="22" t="s">
        <v>3097</v>
      </c>
      <c r="N44" s="22" t="s">
        <v>3099</v>
      </c>
      <c r="O44" s="22" t="s">
        <v>45</v>
      </c>
      <c r="P44" s="22" t="s">
        <v>45</v>
      </c>
      <c r="Q44" s="22" t="s">
        <v>45</v>
      </c>
      <c r="R44" s="22" t="s">
        <v>45</v>
      </c>
      <c r="S44" s="22" t="s">
        <v>45</v>
      </c>
      <c r="T44" s="22" t="s">
        <v>2002</v>
      </c>
      <c r="U44" s="22" t="s">
        <v>45</v>
      </c>
      <c r="V44" s="22" t="s">
        <v>45</v>
      </c>
      <c r="W44" s="22" t="s">
        <v>5113</v>
      </c>
    </row>
    <row r="45" ht="45.0" customHeight="1">
      <c r="A45" s="55" t="s">
        <v>249</v>
      </c>
      <c r="B45" s="62" t="s">
        <v>3519</v>
      </c>
      <c r="C45" s="22" t="str">
        <f>IMAGE("https://raw.githubusercontent.com/ltdimages/images/refs/heads/main/ClothTopslongOverallHalfWader_00.png")</f>
        <v/>
      </c>
      <c r="D45" s="22" t="str">
        <f>IMAGE("https://raw.githubusercontent.com/ltdimages/images/refs/heads/main/ClothTopslongOverallHalfWader_01.png")</f>
        <v/>
      </c>
      <c r="E45" s="22" t="str">
        <f>IMAGE("https://raw.githubusercontent.com/ltdimages/images/refs/heads/main/ClothTopslongOverallHalfWader_02.png")</f>
        <v/>
      </c>
      <c r="F45" s="22" t="str">
        <f>IMAGE("https://raw.githubusercontent.com/ltdimages/images/refs/heads/main/ClothTopslongOverallHalfWader_03.png")</f>
        <v/>
      </c>
      <c r="G45" s="22" t="str">
        <f>IMAGE("https://raw.githubusercontent.com/ltdimages/images/refs/heads/main/ClothTopslongOverallHalfWader_04.png")</f>
        <v/>
      </c>
      <c r="H45" s="22" t="str">
        <f>IMAGE("https://raw.githubusercontent.com/ltdimages/images/refs/heads/main/ClothTopslongOverallHalfWader_05.png")</f>
        <v/>
      </c>
      <c r="I45" s="22" t="str">
        <f>IMAGE("https://raw.githubusercontent.com/ltdimages/images/refs/heads/main/ClothTopslongOverallHalfWader_06.png")</f>
        <v/>
      </c>
      <c r="J45" s="22" t="str">
        <f>IMAGE("https://raw.githubusercontent.com/ltdimages/images/refs/heads/main/ClothTopslongOverallHalfWader_07.png")</f>
        <v/>
      </c>
      <c r="K45" s="63" t="s">
        <v>3110</v>
      </c>
      <c r="L45" s="23">
        <v>28.0</v>
      </c>
      <c r="M45" s="22" t="s">
        <v>3097</v>
      </c>
      <c r="N45" s="22" t="s">
        <v>3099</v>
      </c>
      <c r="O45" s="22" t="s">
        <v>45</v>
      </c>
      <c r="P45" s="22" t="s">
        <v>45</v>
      </c>
      <c r="Q45" s="22" t="s">
        <v>45</v>
      </c>
      <c r="R45" s="22" t="s">
        <v>45</v>
      </c>
      <c r="S45" s="22" t="s">
        <v>45</v>
      </c>
      <c r="T45" s="22" t="s">
        <v>2002</v>
      </c>
      <c r="U45" s="22" t="s">
        <v>45</v>
      </c>
      <c r="V45" s="22" t="s">
        <v>45</v>
      </c>
      <c r="W45" s="22" t="s">
        <v>5114</v>
      </c>
    </row>
    <row r="46" ht="45.0" customHeight="1">
      <c r="A46" s="55" t="s">
        <v>253</v>
      </c>
      <c r="B46" s="62" t="s">
        <v>5115</v>
      </c>
      <c r="C46" s="22" t="str">
        <f>IMAGE("https://raw.githubusercontent.com/ltdimages/images/refs/heads/main/ClothTopslongMuscleLongSinglet_00.png")</f>
        <v/>
      </c>
      <c r="D46" s="22" t="str">
        <f>IMAGE("https://raw.githubusercontent.com/ltdimages/images/refs/heads/main/ClothTopslongMuscleLongSinglet_01.png")</f>
        <v/>
      </c>
      <c r="E46" s="22" t="str">
        <f>IMAGE("https://raw.githubusercontent.com/ltdimages/images/refs/heads/main/ClothTopslongMuscleLongSinglet_02.png")</f>
        <v/>
      </c>
      <c r="F46" s="22" t="str">
        <f>IMAGE("https://raw.githubusercontent.com/ltdimages/images/refs/heads/main/ClothTopslongMuscleLongSinglet_03.png")</f>
        <v/>
      </c>
      <c r="G46" s="22" t="str">
        <f>IMAGE("https://raw.githubusercontent.com/ltdimages/images/refs/heads/main/ClothTopslongMuscleLongSinglet_04.png")</f>
        <v/>
      </c>
      <c r="H46" s="22" t="str">
        <f>IMAGE("https://raw.githubusercontent.com/ltdimages/images/refs/heads/main/ClothTopslongMuscleLongSinglet_05.png")</f>
        <v/>
      </c>
      <c r="I46" s="22" t="str">
        <f>IMAGE("https://raw.githubusercontent.com/ltdimages/images/refs/heads/main/ClothTopslongMuscleLongSinglet_06.png")</f>
        <v/>
      </c>
      <c r="J46" s="22" t="str">
        <f>IMAGE("https://raw.githubusercontent.com/ltdimages/images/refs/heads/main/ClothTopslongMuscleLongSinglet_07.png")</f>
        <v/>
      </c>
      <c r="K46" s="63" t="s">
        <v>3110</v>
      </c>
      <c r="L46" s="23">
        <v>23.0</v>
      </c>
      <c r="M46" s="22" t="s">
        <v>3097</v>
      </c>
      <c r="N46" s="22" t="s">
        <v>3099</v>
      </c>
      <c r="O46" s="22" t="s">
        <v>45</v>
      </c>
      <c r="P46" s="22" t="s">
        <v>45</v>
      </c>
      <c r="Q46" s="22" t="s">
        <v>45</v>
      </c>
      <c r="R46" s="22" t="s">
        <v>45</v>
      </c>
      <c r="S46" s="22" t="s">
        <v>45</v>
      </c>
      <c r="T46" s="22" t="s">
        <v>2002</v>
      </c>
      <c r="U46" s="22" t="s">
        <v>45</v>
      </c>
      <c r="V46" s="22" t="s">
        <v>45</v>
      </c>
      <c r="W46" s="22" t="s">
        <v>5116</v>
      </c>
    </row>
    <row r="47" ht="45.0" customHeight="1">
      <c r="A47" s="55" t="s">
        <v>257</v>
      </c>
      <c r="B47" s="62" t="s">
        <v>4009</v>
      </c>
      <c r="C47" s="22" t="str">
        <f>IMAGE("https://raw.githubusercontent.com/ltdimages/images/refs/heads/main/ClothTopslongOverallLongWetSuit_00.png")</f>
        <v/>
      </c>
      <c r="D47" s="22" t="str">
        <f>IMAGE("https://raw.githubusercontent.com/ltdimages/images/refs/heads/main/ClothTopslongOverallLongWetSuit_01.png")</f>
        <v/>
      </c>
      <c r="E47" s="22" t="str">
        <f>IMAGE("https://raw.githubusercontent.com/ltdimages/images/refs/heads/main/ClothTopslongOverallLongWetSuit_02.png")</f>
        <v/>
      </c>
      <c r="F47" s="22" t="str">
        <f>IMAGE("https://raw.githubusercontent.com/ltdimages/images/refs/heads/main/ClothTopslongOverallLongWetSuit_03.png")</f>
        <v/>
      </c>
      <c r="G47" s="22" t="str">
        <f>IMAGE("https://raw.githubusercontent.com/ltdimages/images/refs/heads/main/ClothTopslongOverallLongWetSuit_04.png")</f>
        <v/>
      </c>
      <c r="H47" s="22" t="str">
        <f>IMAGE("https://raw.githubusercontent.com/ltdimages/images/refs/heads/main/ClothTopslongOverallLongWetSuit_05.png")</f>
        <v/>
      </c>
      <c r="I47" s="22" t="str">
        <f>IMAGE("https://raw.githubusercontent.com/ltdimages/images/refs/heads/main/ClothTopslongOverallLongWetSuit_06.png")</f>
        <v/>
      </c>
      <c r="J47" s="22" t="str">
        <f>IMAGE("https://raw.githubusercontent.com/ltdimages/images/refs/heads/main/ClothTopslongOverallLongWetSuit_07.png")</f>
        <v/>
      </c>
      <c r="K47" s="63" t="s">
        <v>3110</v>
      </c>
      <c r="L47" s="23">
        <v>39.0</v>
      </c>
      <c r="M47" s="22" t="s">
        <v>3097</v>
      </c>
      <c r="N47" s="22" t="s">
        <v>3123</v>
      </c>
      <c r="O47" s="22" t="s">
        <v>45</v>
      </c>
      <c r="P47" s="22" t="s">
        <v>45</v>
      </c>
      <c r="Q47" s="22" t="s">
        <v>49</v>
      </c>
      <c r="R47" s="22" t="s">
        <v>49</v>
      </c>
      <c r="S47" s="22" t="s">
        <v>45</v>
      </c>
      <c r="T47" s="22" t="s">
        <v>2002</v>
      </c>
      <c r="U47" s="22" t="s">
        <v>45</v>
      </c>
      <c r="V47" s="22" t="s">
        <v>45</v>
      </c>
      <c r="W47" s="22" t="s">
        <v>5117</v>
      </c>
    </row>
    <row r="48" ht="45.0" customHeight="1">
      <c r="A48" s="55" t="s">
        <v>261</v>
      </c>
      <c r="B48" s="62" t="s">
        <v>5118</v>
      </c>
      <c r="C48" s="22" t="str">
        <f>IMAGE("https://raw.githubusercontent.com/ltdimages/images/refs/heads/main/ClothTopslongKimonoLongMagician_00.png")</f>
        <v/>
      </c>
      <c r="D48" s="22" t="str">
        <f>IMAGE("https://raw.githubusercontent.com/ltdimages/images/refs/heads/main/ClothTopslongKimonoLongMagician_01.png")</f>
        <v/>
      </c>
      <c r="E48" s="22" t="str">
        <f>IMAGE("https://raw.githubusercontent.com/ltdimages/images/refs/heads/main/ClothTopslongKimonoLongMagician_02.png")</f>
        <v/>
      </c>
      <c r="F48" s="22" t="s">
        <v>3095</v>
      </c>
      <c r="G48" s="22" t="s">
        <v>3095</v>
      </c>
      <c r="H48" s="22" t="s">
        <v>3095</v>
      </c>
      <c r="I48" s="22" t="s">
        <v>3095</v>
      </c>
      <c r="J48" s="22" t="s">
        <v>3095</v>
      </c>
      <c r="K48" s="63" t="s">
        <v>3110</v>
      </c>
      <c r="L48" s="23">
        <v>28.5</v>
      </c>
      <c r="M48" s="22" t="s">
        <v>3097</v>
      </c>
      <c r="N48" s="22" t="s">
        <v>3099</v>
      </c>
      <c r="O48" s="22" t="s">
        <v>45</v>
      </c>
      <c r="P48" s="22" t="s">
        <v>45</v>
      </c>
      <c r="Q48" s="22" t="s">
        <v>45</v>
      </c>
      <c r="R48" s="22" t="s">
        <v>49</v>
      </c>
      <c r="S48" s="22" t="s">
        <v>45</v>
      </c>
      <c r="T48" s="22" t="s">
        <v>2002</v>
      </c>
      <c r="U48" s="22" t="s">
        <v>45</v>
      </c>
      <c r="V48" s="22" t="s">
        <v>45</v>
      </c>
      <c r="W48" s="22" t="s">
        <v>5119</v>
      </c>
    </row>
    <row r="49" ht="45.0" customHeight="1">
      <c r="A49" s="55" t="s">
        <v>265</v>
      </c>
      <c r="B49" s="62" t="s">
        <v>5120</v>
      </c>
      <c r="C49" s="22" t="str">
        <f>IMAGE("https://raw.githubusercontent.com/ltdimages/images/refs/heads/main/ClothTopslongMuscleLongProWrestling_00.png")</f>
        <v/>
      </c>
      <c r="D49" s="22" t="str">
        <f>IMAGE("https://raw.githubusercontent.com/ltdimages/images/refs/heads/main/ClothTopslongMuscleLongProWrestling_01.png")</f>
        <v/>
      </c>
      <c r="E49" s="22" t="str">
        <f>IMAGE("https://raw.githubusercontent.com/ltdimages/images/refs/heads/main/ClothTopslongMuscleLongProWrestling_02.png")</f>
        <v/>
      </c>
      <c r="F49" s="22" t="str">
        <f>IMAGE("https://raw.githubusercontent.com/ltdimages/images/refs/heads/main/ClothTopslongMuscleLongProWrestling_03.png")</f>
        <v/>
      </c>
      <c r="G49" s="22" t="str">
        <f>IMAGE("https://raw.githubusercontent.com/ltdimages/images/refs/heads/main/ClothTopslongMuscleLongProWrestling_04.png")</f>
        <v/>
      </c>
      <c r="H49" s="22" t="str">
        <f>IMAGE("https://raw.githubusercontent.com/ltdimages/images/refs/heads/main/ClothTopslongMuscleLongProWrestling_05.png")</f>
        <v/>
      </c>
      <c r="I49" s="22" t="str">
        <f>IMAGE("https://raw.githubusercontent.com/ltdimages/images/refs/heads/main/ClothTopslongMuscleLongProWrestling_06.png")</f>
        <v/>
      </c>
      <c r="J49" s="22" t="str">
        <f>IMAGE("https://raw.githubusercontent.com/ltdimages/images/refs/heads/main/ClothTopslongMuscleLongProWrestling_07.png")</f>
        <v/>
      </c>
      <c r="K49" s="63" t="s">
        <v>3110</v>
      </c>
      <c r="L49" s="23">
        <v>26.0</v>
      </c>
      <c r="M49" s="22" t="s">
        <v>3097</v>
      </c>
      <c r="N49" s="22" t="s">
        <v>3099</v>
      </c>
      <c r="O49" s="22" t="s">
        <v>45</v>
      </c>
      <c r="P49" s="22" t="s">
        <v>45</v>
      </c>
      <c r="Q49" s="22" t="s">
        <v>45</v>
      </c>
      <c r="R49" s="22" t="s">
        <v>49</v>
      </c>
      <c r="S49" s="22" t="s">
        <v>45</v>
      </c>
      <c r="T49" s="22" t="s">
        <v>2002</v>
      </c>
      <c r="U49" s="22" t="s">
        <v>45</v>
      </c>
      <c r="V49" s="22" t="s">
        <v>45</v>
      </c>
      <c r="W49" s="22" t="s">
        <v>5121</v>
      </c>
    </row>
    <row r="50" ht="45.0" customHeight="1">
      <c r="A50" s="55" t="s">
        <v>269</v>
      </c>
      <c r="B50" s="62" t="s">
        <v>4238</v>
      </c>
      <c r="C50" s="22" t="str">
        <f>IMAGE("https://raw.githubusercontent.com/ltdimages/images/refs/heads/main/ClothTopslongBoxDressLongAodai_00.png")</f>
        <v/>
      </c>
      <c r="D50" s="22" t="str">
        <f>IMAGE("https://raw.githubusercontent.com/ltdimages/images/refs/heads/main/ClothTopslongBoxDressLongAodai_01.png")</f>
        <v/>
      </c>
      <c r="E50" s="22" t="str">
        <f>IMAGE("https://raw.githubusercontent.com/ltdimages/images/refs/heads/main/ClothTopslongBoxDressLongAodai_02.png")</f>
        <v/>
      </c>
      <c r="F50" s="22" t="str">
        <f>IMAGE("https://raw.githubusercontent.com/ltdimages/images/refs/heads/main/ClothTopslongBoxDressLongAodai_03.png")</f>
        <v/>
      </c>
      <c r="G50" s="22" t="str">
        <f>IMAGE("https://raw.githubusercontent.com/ltdimages/images/refs/heads/main/ClothTopslongBoxDressLongAodai_04.png")</f>
        <v/>
      </c>
      <c r="H50" s="22" t="str">
        <f>IMAGE("https://raw.githubusercontent.com/ltdimages/images/refs/heads/main/ClothTopslongBoxDressLongAodai_05.png")</f>
        <v/>
      </c>
      <c r="I50" s="22" t="str">
        <f>IMAGE("https://raw.githubusercontent.com/ltdimages/images/refs/heads/main/ClothTopslongBoxDressLongAodai_06.png")</f>
        <v/>
      </c>
      <c r="J50" s="22" t="str">
        <f>IMAGE("https://raw.githubusercontent.com/ltdimages/images/refs/heads/main/ClothTopslongBoxDressLongAodai_07.png")</f>
        <v/>
      </c>
      <c r="K50" s="63" t="s">
        <v>3110</v>
      </c>
      <c r="L50" s="23">
        <v>43.5</v>
      </c>
      <c r="M50" s="22" t="s">
        <v>4231</v>
      </c>
      <c r="N50" s="22" t="s">
        <v>3099</v>
      </c>
      <c r="O50" s="22" t="s">
        <v>45</v>
      </c>
      <c r="P50" s="22" t="s">
        <v>45</v>
      </c>
      <c r="Q50" s="22" t="s">
        <v>45</v>
      </c>
      <c r="R50" s="22" t="s">
        <v>45</v>
      </c>
      <c r="S50" s="22" t="s">
        <v>45</v>
      </c>
      <c r="T50" s="22" t="s">
        <v>2002</v>
      </c>
      <c r="U50" s="22" t="s">
        <v>45</v>
      </c>
      <c r="V50" s="22" t="s">
        <v>45</v>
      </c>
      <c r="W50" s="22" t="s">
        <v>5122</v>
      </c>
    </row>
    <row r="51" ht="45.0" customHeight="1">
      <c r="A51" s="55" t="s">
        <v>273</v>
      </c>
      <c r="B51" s="62" t="s">
        <v>4248</v>
      </c>
      <c r="C51" s="22" t="str">
        <f>IMAGE("https://raw.githubusercontent.com/ltdimages/images/refs/heads/main/ClothTopslongDressLongNoble_00.png")</f>
        <v/>
      </c>
      <c r="D51" s="22" t="str">
        <f>IMAGE("https://raw.githubusercontent.com/ltdimages/images/refs/heads/main/ClothTopslongDressLongNoble_01.png")</f>
        <v/>
      </c>
      <c r="E51" s="22" t="str">
        <f>IMAGE("https://raw.githubusercontent.com/ltdimages/images/refs/heads/main/ClothTopslongDressLongNoble_02.png")</f>
        <v/>
      </c>
      <c r="F51" s="22" t="str">
        <f>IMAGE("https://raw.githubusercontent.com/ltdimages/images/refs/heads/main/ClothTopslongDressLongNoble_03.png")</f>
        <v/>
      </c>
      <c r="G51" s="22" t="str">
        <f>IMAGE("https://raw.githubusercontent.com/ltdimages/images/refs/heads/main/ClothTopslongDressLongNoble_04.png")</f>
        <v/>
      </c>
      <c r="H51" s="22" t="str">
        <f>IMAGE("https://raw.githubusercontent.com/ltdimages/images/refs/heads/main/ClothTopslongDressLongNoble_05.png")</f>
        <v/>
      </c>
      <c r="I51" s="22" t="str">
        <f>IMAGE("https://raw.githubusercontent.com/ltdimages/images/refs/heads/main/ClothTopslongDressLongNoble_06.png")</f>
        <v/>
      </c>
      <c r="J51" s="22" t="str">
        <f>IMAGE("https://raw.githubusercontent.com/ltdimages/images/refs/heads/main/ClothTopslongDressLongNoble_07.png")</f>
        <v/>
      </c>
      <c r="K51" s="63" t="s">
        <v>3110</v>
      </c>
      <c r="L51" s="23">
        <v>2500.0</v>
      </c>
      <c r="M51" s="22" t="s">
        <v>4231</v>
      </c>
      <c r="N51" s="22" t="s">
        <v>3099</v>
      </c>
      <c r="O51" s="22" t="s">
        <v>45</v>
      </c>
      <c r="P51" s="22" t="s">
        <v>45</v>
      </c>
      <c r="Q51" s="22" t="s">
        <v>45</v>
      </c>
      <c r="R51" s="22" t="s">
        <v>49</v>
      </c>
      <c r="S51" s="22" t="s">
        <v>45</v>
      </c>
      <c r="T51" s="22" t="s">
        <v>2002</v>
      </c>
      <c r="U51" s="22" t="s">
        <v>45</v>
      </c>
      <c r="V51" s="22" t="s">
        <v>45</v>
      </c>
      <c r="W51" s="22" t="s">
        <v>5123</v>
      </c>
    </row>
    <row r="52" ht="45.0" customHeight="1">
      <c r="A52" s="55" t="s">
        <v>277</v>
      </c>
      <c r="B52" s="62" t="s">
        <v>4255</v>
      </c>
      <c r="C52" s="22" t="str">
        <f>IMAGE("https://raw.githubusercontent.com/ltdimages/images/refs/heads/main/ClothTopslongDressSleevelessBallet_00.png")</f>
        <v/>
      </c>
      <c r="D52" s="22" t="str">
        <f>IMAGE("https://raw.githubusercontent.com/ltdimages/images/refs/heads/main/ClothTopslongDressSleevelessBallet_01.png")</f>
        <v/>
      </c>
      <c r="E52" s="22" t="str">
        <f>IMAGE("https://raw.githubusercontent.com/ltdimages/images/refs/heads/main/ClothTopslongDressSleevelessBallet_02.png")</f>
        <v/>
      </c>
      <c r="F52" s="22" t="str">
        <f>IMAGE("https://raw.githubusercontent.com/ltdimages/images/refs/heads/main/ClothTopslongDressSleevelessBallet_03.png")</f>
        <v/>
      </c>
      <c r="G52" s="22" t="str">
        <f>IMAGE("https://raw.githubusercontent.com/ltdimages/images/refs/heads/main/ClothTopslongDressSleevelessBallet_04.png")</f>
        <v/>
      </c>
      <c r="H52" s="22" t="str">
        <f>IMAGE("https://raw.githubusercontent.com/ltdimages/images/refs/heads/main/ClothTopslongDressSleevelessBallet_05.png")</f>
        <v/>
      </c>
      <c r="I52" s="22" t="str">
        <f>IMAGE("https://raw.githubusercontent.com/ltdimages/images/refs/heads/main/ClothTopslongDressSleevelessBallet_06.png")</f>
        <v/>
      </c>
      <c r="J52" s="22" t="str">
        <f>IMAGE("https://raw.githubusercontent.com/ltdimages/images/refs/heads/main/ClothTopslongDressSleevelessBallet_07.png")</f>
        <v/>
      </c>
      <c r="K52" s="63" t="s">
        <v>3110</v>
      </c>
      <c r="L52" s="23">
        <v>100.0</v>
      </c>
      <c r="M52" s="22" t="s">
        <v>4231</v>
      </c>
      <c r="N52" s="22" t="s">
        <v>3099</v>
      </c>
      <c r="O52" s="22" t="s">
        <v>45</v>
      </c>
      <c r="P52" s="22" t="s">
        <v>45</v>
      </c>
      <c r="Q52" s="22" t="s">
        <v>45</v>
      </c>
      <c r="R52" s="22" t="s">
        <v>45</v>
      </c>
      <c r="S52" s="22" t="s">
        <v>45</v>
      </c>
      <c r="T52" s="22" t="s">
        <v>2002</v>
      </c>
      <c r="U52" s="22" t="s">
        <v>45</v>
      </c>
      <c r="V52" s="22" t="s">
        <v>45</v>
      </c>
      <c r="W52" s="22" t="s">
        <v>5124</v>
      </c>
    </row>
    <row r="53" ht="45.0" customHeight="1">
      <c r="A53" s="55" t="s">
        <v>281</v>
      </c>
      <c r="B53" s="62" t="s">
        <v>4265</v>
      </c>
      <c r="C53" s="22" t="str">
        <f>IMAGE("https://raw.githubusercontent.com/ltdimages/images/refs/heads/main/ClothTopslongAlineHalfLinen_00.png")</f>
        <v/>
      </c>
      <c r="D53" s="22" t="str">
        <f>IMAGE("https://raw.githubusercontent.com/ltdimages/images/refs/heads/main/ClothTopslongAlineHalfLinen_01.png")</f>
        <v/>
      </c>
      <c r="E53" s="22" t="str">
        <f>IMAGE("https://raw.githubusercontent.com/ltdimages/images/refs/heads/main/ClothTopslongAlineHalfLinen_02.png")</f>
        <v/>
      </c>
      <c r="F53" s="22" t="str">
        <f>IMAGE("https://raw.githubusercontent.com/ltdimages/images/refs/heads/main/ClothTopslongAlineHalfLinen_03.png")</f>
        <v/>
      </c>
      <c r="G53" s="22" t="str">
        <f>IMAGE("https://raw.githubusercontent.com/ltdimages/images/refs/heads/main/ClothTopslongAlineHalfLinen_04.png")</f>
        <v/>
      </c>
      <c r="H53" s="22" t="str">
        <f>IMAGE("https://raw.githubusercontent.com/ltdimages/images/refs/heads/main/ClothTopslongAlineHalfLinen_05.png")</f>
        <v/>
      </c>
      <c r="I53" s="22" t="str">
        <f>IMAGE("https://raw.githubusercontent.com/ltdimages/images/refs/heads/main/ClothTopslongAlineHalfLinen_06.png")</f>
        <v/>
      </c>
      <c r="J53" s="22" t="str">
        <f>IMAGE("https://raw.githubusercontent.com/ltdimages/images/refs/heads/main/ClothTopslongAlineHalfLinen_07.png")</f>
        <v/>
      </c>
      <c r="K53" s="63" t="s">
        <v>3110</v>
      </c>
      <c r="L53" s="23">
        <v>22.0</v>
      </c>
      <c r="M53" s="22" t="s">
        <v>4231</v>
      </c>
      <c r="N53" s="22" t="s">
        <v>3099</v>
      </c>
      <c r="O53" s="22" t="s">
        <v>45</v>
      </c>
      <c r="P53" s="22" t="s">
        <v>45</v>
      </c>
      <c r="Q53" s="22" t="s">
        <v>45</v>
      </c>
      <c r="R53" s="22" t="s">
        <v>45</v>
      </c>
      <c r="S53" s="22" t="s">
        <v>45</v>
      </c>
      <c r="T53" s="22" t="s">
        <v>2002</v>
      </c>
      <c r="U53" s="22" t="s">
        <v>45</v>
      </c>
      <c r="V53" s="22" t="s">
        <v>45</v>
      </c>
      <c r="W53" s="22" t="s">
        <v>5125</v>
      </c>
    </row>
    <row r="54" ht="45.0" customHeight="1">
      <c r="A54" s="55" t="s">
        <v>285</v>
      </c>
      <c r="B54" s="62" t="s">
        <v>4441</v>
      </c>
      <c r="C54" s="22" t="str">
        <f>IMAGE("https://raw.githubusercontent.com/ltdimages/images/refs/heads/main/ClothTopslongBoxDressLongBubbly_00.png")</f>
        <v/>
      </c>
      <c r="D54" s="22" t="str">
        <f>IMAGE("https://raw.githubusercontent.com/ltdimages/images/refs/heads/main/ClothTopslongBoxDressLongBubbly_01.png")</f>
        <v/>
      </c>
      <c r="E54" s="22" t="str">
        <f>IMAGE("https://raw.githubusercontent.com/ltdimages/images/refs/heads/main/ClothTopslongBoxDressLongBubbly_02.png")</f>
        <v/>
      </c>
      <c r="F54" s="22" t="str">
        <f>IMAGE("https://raw.githubusercontent.com/ltdimages/images/refs/heads/main/ClothTopslongBoxDressLongBubbly_03.png")</f>
        <v/>
      </c>
      <c r="G54" s="22" t="str">
        <f>IMAGE("https://raw.githubusercontent.com/ltdimages/images/refs/heads/main/ClothTopslongBoxDressLongBubbly_04.png")</f>
        <v/>
      </c>
      <c r="H54" s="22" t="str">
        <f>IMAGE("https://raw.githubusercontent.com/ltdimages/images/refs/heads/main/ClothTopslongBoxDressLongBubbly_05.png")</f>
        <v/>
      </c>
      <c r="I54" s="22" t="str">
        <f>IMAGE("https://raw.githubusercontent.com/ltdimages/images/refs/heads/main/ClothTopslongBoxDressLongBubbly_06.png")</f>
        <v/>
      </c>
      <c r="J54" s="22" t="str">
        <f>IMAGE("https://raw.githubusercontent.com/ltdimages/images/refs/heads/main/ClothTopslongBoxDressLongBubbly_07.png")</f>
        <v/>
      </c>
      <c r="K54" s="63" t="s">
        <v>3110</v>
      </c>
      <c r="L54" s="23">
        <v>50.0</v>
      </c>
      <c r="M54" s="22" t="s">
        <v>4231</v>
      </c>
      <c r="N54" s="22" t="s">
        <v>3099</v>
      </c>
      <c r="O54" s="22" t="s">
        <v>45</v>
      </c>
      <c r="P54" s="22" t="s">
        <v>45</v>
      </c>
      <c r="Q54" s="22" t="s">
        <v>45</v>
      </c>
      <c r="R54" s="22" t="s">
        <v>45</v>
      </c>
      <c r="S54" s="22" t="s">
        <v>45</v>
      </c>
      <c r="T54" s="22" t="s">
        <v>2002</v>
      </c>
      <c r="U54" s="22" t="s">
        <v>45</v>
      </c>
      <c r="V54" s="22" t="s">
        <v>45</v>
      </c>
      <c r="W54" s="22" t="s">
        <v>5126</v>
      </c>
    </row>
    <row r="55" ht="45.0" customHeight="1">
      <c r="A55" s="55" t="s">
        <v>289</v>
      </c>
      <c r="B55" s="62" t="s">
        <v>5127</v>
      </c>
      <c r="C55" s="22" t="str">
        <f>IMAGE("https://raw.githubusercontent.com/ltdimages/images/refs/heads/main/ClothTopslongAlongHalfCheck_00.png")</f>
        <v/>
      </c>
      <c r="D55" s="22" t="str">
        <f>IMAGE("https://raw.githubusercontent.com/ltdimages/images/refs/heads/main/ClothTopslongAlongHalfCheck_01.png")</f>
        <v/>
      </c>
      <c r="E55" s="22" t="str">
        <f>IMAGE("https://raw.githubusercontent.com/ltdimages/images/refs/heads/main/ClothTopslongAlongHalfCheck_02.png")</f>
        <v/>
      </c>
      <c r="F55" s="22" t="str">
        <f>IMAGE("https://raw.githubusercontent.com/ltdimages/images/refs/heads/main/ClothTopslongAlongHalfCheck_03.png")</f>
        <v/>
      </c>
      <c r="G55" s="22" t="str">
        <f>IMAGE("https://raw.githubusercontent.com/ltdimages/images/refs/heads/main/ClothTopslongAlongHalfCheck_04.png")</f>
        <v/>
      </c>
      <c r="H55" s="22" t="str">
        <f>IMAGE("https://raw.githubusercontent.com/ltdimages/images/refs/heads/main/ClothTopslongAlongHalfCheck_05.png")</f>
        <v/>
      </c>
      <c r="I55" s="22" t="str">
        <f>IMAGE("https://raw.githubusercontent.com/ltdimages/images/refs/heads/main/ClothTopslongAlongHalfCheck_06.png")</f>
        <v/>
      </c>
      <c r="J55" s="22" t="str">
        <f>IMAGE("https://raw.githubusercontent.com/ltdimages/images/refs/heads/main/ClothTopslongAlongHalfCheck_07.png")</f>
        <v/>
      </c>
      <c r="K55" s="63" t="s">
        <v>3110</v>
      </c>
      <c r="L55" s="23">
        <v>23.5</v>
      </c>
      <c r="M55" s="22" t="s">
        <v>4231</v>
      </c>
      <c r="N55" s="22" t="s">
        <v>3099</v>
      </c>
      <c r="O55" s="22" t="s">
        <v>45</v>
      </c>
      <c r="P55" s="22" t="s">
        <v>45</v>
      </c>
      <c r="Q55" s="22" t="s">
        <v>45</v>
      </c>
      <c r="R55" s="22" t="s">
        <v>45</v>
      </c>
      <c r="S55" s="22" t="s">
        <v>45</v>
      </c>
      <c r="T55" s="22" t="s">
        <v>2002</v>
      </c>
      <c r="U55" s="22" t="s">
        <v>45</v>
      </c>
      <c r="V55" s="22" t="s">
        <v>45</v>
      </c>
      <c r="W55" s="22" t="s">
        <v>5128</v>
      </c>
    </row>
    <row r="56" ht="45.0" customHeight="1">
      <c r="A56" s="55" t="s">
        <v>293</v>
      </c>
      <c r="B56" s="62" t="s">
        <v>5129</v>
      </c>
      <c r="C56" s="22" t="str">
        <f>IMAGE("https://raw.githubusercontent.com/ltdimages/images/refs/heads/main/ClothTopslongBoxDressHalfCamisole_00.png")</f>
        <v/>
      </c>
      <c r="D56" s="22" t="str">
        <f>IMAGE("https://raw.githubusercontent.com/ltdimages/images/refs/heads/main/ClothTopslongBoxDressHalfCamisole_01.png")</f>
        <v/>
      </c>
      <c r="E56" s="22" t="str">
        <f>IMAGE("https://raw.githubusercontent.com/ltdimages/images/refs/heads/main/ClothTopslongBoxDressHalfCamisole_02.png")</f>
        <v/>
      </c>
      <c r="F56" s="22" t="str">
        <f>IMAGE("https://raw.githubusercontent.com/ltdimages/images/refs/heads/main/ClothTopslongBoxDressHalfCamisole_03.png")</f>
        <v/>
      </c>
      <c r="G56" s="22" t="str">
        <f>IMAGE("https://raw.githubusercontent.com/ltdimages/images/refs/heads/main/ClothTopslongBoxDressHalfCamisole_04.png")</f>
        <v/>
      </c>
      <c r="H56" s="22" t="str">
        <f>IMAGE("https://raw.githubusercontent.com/ltdimages/images/refs/heads/main/ClothTopslongBoxDressHalfCamisole_05.png")</f>
        <v/>
      </c>
      <c r="I56" s="22" t="str">
        <f>IMAGE("https://raw.githubusercontent.com/ltdimages/images/refs/heads/main/ClothTopslongBoxDressHalfCamisole_06.png")</f>
        <v/>
      </c>
      <c r="J56" s="22" t="str">
        <f>IMAGE("https://raw.githubusercontent.com/ltdimages/images/refs/heads/main/ClothTopslongBoxDressHalfCamisole_07.png")</f>
        <v/>
      </c>
      <c r="K56" s="63" t="s">
        <v>3110</v>
      </c>
      <c r="L56" s="23">
        <v>22.0</v>
      </c>
      <c r="M56" s="22" t="s">
        <v>4231</v>
      </c>
      <c r="N56" s="22" t="s">
        <v>3123</v>
      </c>
      <c r="O56" s="22" t="s">
        <v>45</v>
      </c>
      <c r="P56" s="22" t="s">
        <v>45</v>
      </c>
      <c r="Q56" s="22" t="s">
        <v>45</v>
      </c>
      <c r="R56" s="22" t="s">
        <v>45</v>
      </c>
      <c r="S56" s="22" t="s">
        <v>45</v>
      </c>
      <c r="T56" s="22" t="s">
        <v>2002</v>
      </c>
      <c r="U56" s="22" t="s">
        <v>45</v>
      </c>
      <c r="V56" s="22" t="s">
        <v>45</v>
      </c>
      <c r="W56" s="22" t="s">
        <v>5130</v>
      </c>
    </row>
    <row r="57" ht="45.0" customHeight="1">
      <c r="A57" s="55" t="s">
        <v>297</v>
      </c>
      <c r="B57" s="62" t="s">
        <v>5131</v>
      </c>
      <c r="C57" s="22" t="str">
        <f>IMAGE("https://raw.githubusercontent.com/ltdimages/images/refs/heads/main/ClothTopslongDressHalfKatrina_00.png")</f>
        <v/>
      </c>
      <c r="D57" s="22" t="str">
        <f>IMAGE("https://raw.githubusercontent.com/ltdimages/images/refs/heads/main/ClothTopslongDressHalfKatrina_01.png")</f>
        <v/>
      </c>
      <c r="E57" s="22" t="str">
        <f>IMAGE("https://raw.githubusercontent.com/ltdimages/images/refs/heads/main/ClothTopslongDressHalfKatrina_02.png")</f>
        <v/>
      </c>
      <c r="F57" s="22" t="str">
        <f>IMAGE("https://raw.githubusercontent.com/ltdimages/images/refs/heads/main/ClothTopslongDressHalfKatrina_03.png")</f>
        <v/>
      </c>
      <c r="G57" s="22" t="str">
        <f>IMAGE("https://raw.githubusercontent.com/ltdimages/images/refs/heads/main/ClothTopslongDressHalfKatrina_04.png")</f>
        <v/>
      </c>
      <c r="H57" s="22" t="str">
        <f>IMAGE("https://raw.githubusercontent.com/ltdimages/images/refs/heads/main/ClothTopslongDressHalfKatrina_05.png")</f>
        <v/>
      </c>
      <c r="I57" s="22" t="s">
        <v>3095</v>
      </c>
      <c r="J57" s="22" t="s">
        <v>3095</v>
      </c>
      <c r="K57" s="63" t="s">
        <v>3110</v>
      </c>
      <c r="L57" s="23">
        <v>41.0</v>
      </c>
      <c r="M57" s="22" t="s">
        <v>4231</v>
      </c>
      <c r="N57" s="22" t="s">
        <v>3099</v>
      </c>
      <c r="O57" s="22" t="s">
        <v>45</v>
      </c>
      <c r="P57" s="22" t="s">
        <v>45</v>
      </c>
      <c r="Q57" s="22" t="s">
        <v>45</v>
      </c>
      <c r="R57" s="22" t="s">
        <v>49</v>
      </c>
      <c r="S57" s="22" t="s">
        <v>45</v>
      </c>
      <c r="T57" s="22" t="s">
        <v>2002</v>
      </c>
      <c r="U57" s="22" t="s">
        <v>45</v>
      </c>
      <c r="V57" s="22" t="s">
        <v>45</v>
      </c>
      <c r="W57" s="22" t="s">
        <v>5132</v>
      </c>
    </row>
    <row r="58" ht="45.0" customHeight="1">
      <c r="A58" s="55" t="s">
        <v>301</v>
      </c>
      <c r="B58" s="62" t="s">
        <v>4306</v>
      </c>
      <c r="C58" s="22" t="str">
        <f>IMAGE("https://raw.githubusercontent.com/ltdimages/images/refs/heads/main/ClothTopslongAlineSleevelessCheer_00.png")</f>
        <v/>
      </c>
      <c r="D58" s="22" t="str">
        <f>IMAGE("https://raw.githubusercontent.com/ltdimages/images/refs/heads/main/ClothTopslongAlineSleevelessCheer_01.png")</f>
        <v/>
      </c>
      <c r="E58" s="22" t="str">
        <f>IMAGE("https://raw.githubusercontent.com/ltdimages/images/refs/heads/main/ClothTopslongAlineSleevelessCheer_02.png")</f>
        <v/>
      </c>
      <c r="F58" s="22" t="str">
        <f>IMAGE("https://raw.githubusercontent.com/ltdimages/images/refs/heads/main/ClothTopslongAlineSleevelessCheer_03.png")</f>
        <v/>
      </c>
      <c r="G58" s="22" t="str">
        <f>IMAGE("https://raw.githubusercontent.com/ltdimages/images/refs/heads/main/ClothTopslongAlineSleevelessCheer_04.png")</f>
        <v/>
      </c>
      <c r="H58" s="22" t="str">
        <f>IMAGE("https://raw.githubusercontent.com/ltdimages/images/refs/heads/main/ClothTopslongAlineSleevelessCheer_05.png")</f>
        <v/>
      </c>
      <c r="I58" s="22" t="str">
        <f>IMAGE("https://raw.githubusercontent.com/ltdimages/images/refs/heads/main/ClothTopslongAlineSleevelessCheer_06.png")</f>
        <v/>
      </c>
      <c r="J58" s="22" t="str">
        <f>IMAGE("https://raw.githubusercontent.com/ltdimages/images/refs/heads/main/ClothTopslongAlineSleevelessCheer_07.png")</f>
        <v/>
      </c>
      <c r="K58" s="63" t="s">
        <v>3110</v>
      </c>
      <c r="L58" s="23">
        <v>29.0</v>
      </c>
      <c r="M58" s="22" t="s">
        <v>4231</v>
      </c>
      <c r="N58" s="22" t="s">
        <v>3099</v>
      </c>
      <c r="O58" s="22" t="s">
        <v>45</v>
      </c>
      <c r="P58" s="22" t="s">
        <v>45</v>
      </c>
      <c r="Q58" s="22" t="s">
        <v>45</v>
      </c>
      <c r="R58" s="22" t="s">
        <v>45</v>
      </c>
      <c r="S58" s="22" t="s">
        <v>45</v>
      </c>
      <c r="T58" s="22" t="s">
        <v>2002</v>
      </c>
      <c r="U58" s="22" t="s">
        <v>45</v>
      </c>
      <c r="V58" s="22" t="s">
        <v>45</v>
      </c>
      <c r="W58" s="22" t="s">
        <v>5133</v>
      </c>
    </row>
    <row r="59" ht="45.0" customHeight="1">
      <c r="A59" s="55" t="s">
        <v>305</v>
      </c>
      <c r="B59" s="62" t="s">
        <v>4309</v>
      </c>
      <c r="C59" s="22" t="str">
        <f>IMAGE("https://raw.githubusercontent.com/ltdimages/images/refs/heads/main/ClothTopslongAlongLongChimaJeogori_00.png")</f>
        <v/>
      </c>
      <c r="D59" s="22" t="str">
        <f>IMAGE("https://raw.githubusercontent.com/ltdimages/images/refs/heads/main/ClothTopslongAlongLongChimaJeogori_01.png")</f>
        <v/>
      </c>
      <c r="E59" s="22" t="str">
        <f>IMAGE("https://raw.githubusercontent.com/ltdimages/images/refs/heads/main/ClothTopslongAlongLongChimaJeogori_02.png")</f>
        <v/>
      </c>
      <c r="F59" s="22" t="str">
        <f>IMAGE("https://raw.githubusercontent.com/ltdimages/images/refs/heads/main/ClothTopslongAlongLongChimaJeogori_03.png")</f>
        <v/>
      </c>
      <c r="G59" s="22" t="str">
        <f>IMAGE("https://raw.githubusercontent.com/ltdimages/images/refs/heads/main/ClothTopslongAlongLongChimaJeogori_04.png")</f>
        <v/>
      </c>
      <c r="H59" s="22" t="str">
        <f>IMAGE("https://raw.githubusercontent.com/ltdimages/images/refs/heads/main/ClothTopslongAlongLongChimaJeogori_05.png")</f>
        <v/>
      </c>
      <c r="I59" s="22" t="str">
        <f>IMAGE("https://raw.githubusercontent.com/ltdimages/images/refs/heads/main/ClothTopslongAlongLongChimaJeogori_06.png")</f>
        <v/>
      </c>
      <c r="J59" s="22" t="str">
        <f>IMAGE("https://raw.githubusercontent.com/ltdimages/images/refs/heads/main/ClothTopslongAlongLongChimaJeogori_07.png")</f>
        <v/>
      </c>
      <c r="K59" s="63" t="s">
        <v>3110</v>
      </c>
      <c r="L59" s="23">
        <v>43.5</v>
      </c>
      <c r="M59" s="22" t="s">
        <v>4231</v>
      </c>
      <c r="N59" s="22" t="s">
        <v>3099</v>
      </c>
      <c r="O59" s="22" t="s">
        <v>45</v>
      </c>
      <c r="P59" s="22" t="s">
        <v>45</v>
      </c>
      <c r="Q59" s="22" t="s">
        <v>45</v>
      </c>
      <c r="R59" s="22" t="s">
        <v>45</v>
      </c>
      <c r="S59" s="22" t="s">
        <v>45</v>
      </c>
      <c r="T59" s="22" t="s">
        <v>2002</v>
      </c>
      <c r="U59" s="22" t="s">
        <v>45</v>
      </c>
      <c r="V59" s="22" t="s">
        <v>45</v>
      </c>
      <c r="W59" s="22" t="s">
        <v>5134</v>
      </c>
    </row>
    <row r="60" ht="45.0" customHeight="1">
      <c r="A60" s="55" t="s">
        <v>309</v>
      </c>
      <c r="B60" s="62" t="s">
        <v>5135</v>
      </c>
      <c r="C60" s="22" t="str">
        <f>IMAGE("https://raw.githubusercontent.com/ltdimages/images/refs/heads/main/ClothTopslongDressHalfChinaPoblana_00.png")</f>
        <v/>
      </c>
      <c r="D60" s="22" t="s">
        <v>3095</v>
      </c>
      <c r="E60" s="22" t="s">
        <v>3095</v>
      </c>
      <c r="F60" s="22" t="s">
        <v>3095</v>
      </c>
      <c r="G60" s="22" t="s">
        <v>3095</v>
      </c>
      <c r="H60" s="22" t="s">
        <v>3095</v>
      </c>
      <c r="I60" s="22" t="s">
        <v>3095</v>
      </c>
      <c r="J60" s="22" t="s">
        <v>3095</v>
      </c>
      <c r="K60" s="63" t="s">
        <v>3110</v>
      </c>
      <c r="L60" s="23">
        <v>45.5</v>
      </c>
      <c r="M60" s="22" t="s">
        <v>4231</v>
      </c>
      <c r="N60" s="22" t="s">
        <v>3099</v>
      </c>
      <c r="O60" s="22" t="s">
        <v>45</v>
      </c>
      <c r="P60" s="22" t="s">
        <v>45</v>
      </c>
      <c r="Q60" s="22" t="s">
        <v>45</v>
      </c>
      <c r="R60" s="22" t="s">
        <v>45</v>
      </c>
      <c r="S60" s="22" t="s">
        <v>45</v>
      </c>
      <c r="T60" s="22" t="s">
        <v>2002</v>
      </c>
      <c r="U60" s="22" t="s">
        <v>45</v>
      </c>
      <c r="V60" s="22" t="s">
        <v>45</v>
      </c>
      <c r="W60" s="22" t="s">
        <v>5136</v>
      </c>
    </row>
    <row r="61" ht="45.0" customHeight="1">
      <c r="A61" s="55" t="s">
        <v>313</v>
      </c>
      <c r="B61" s="62" t="s">
        <v>4313</v>
      </c>
      <c r="C61" s="22" t="str">
        <f>IMAGE("https://raw.githubusercontent.com/ltdimages/images/refs/heads/main/ClothTopslongAlongLongClassical_00.png")</f>
        <v/>
      </c>
      <c r="D61" s="22" t="str">
        <f>IMAGE("https://raw.githubusercontent.com/ltdimages/images/refs/heads/main/ClothTopslongAlongLongClassical_01.png")</f>
        <v/>
      </c>
      <c r="E61" s="22" t="str">
        <f>IMAGE("https://raw.githubusercontent.com/ltdimages/images/refs/heads/main/ClothTopslongAlongLongClassical_02.png")</f>
        <v/>
      </c>
      <c r="F61" s="22" t="str">
        <f>IMAGE("https://raw.githubusercontent.com/ltdimages/images/refs/heads/main/ClothTopslongAlongLongClassical_03.png")</f>
        <v/>
      </c>
      <c r="G61" s="22" t="str">
        <f>IMAGE("https://raw.githubusercontent.com/ltdimages/images/refs/heads/main/ClothTopslongAlongLongClassical_04.png")</f>
        <v/>
      </c>
      <c r="H61" s="22" t="str">
        <f>IMAGE("https://raw.githubusercontent.com/ltdimages/images/refs/heads/main/ClothTopslongAlongLongClassical_05.png")</f>
        <v/>
      </c>
      <c r="I61" s="22" t="str">
        <f>IMAGE("https://raw.githubusercontent.com/ltdimages/images/refs/heads/main/ClothTopslongAlongLongClassical_06.png")</f>
        <v/>
      </c>
      <c r="J61" s="22" t="str">
        <f>IMAGE("https://raw.githubusercontent.com/ltdimages/images/refs/heads/main/ClothTopslongAlongLongClassical_07.png")</f>
        <v/>
      </c>
      <c r="K61" s="63" t="s">
        <v>3110</v>
      </c>
      <c r="L61" s="23">
        <v>27.0</v>
      </c>
      <c r="M61" s="22" t="s">
        <v>4231</v>
      </c>
      <c r="N61" s="22" t="s">
        <v>3099</v>
      </c>
      <c r="O61" s="22" t="s">
        <v>45</v>
      </c>
      <c r="P61" s="22" t="s">
        <v>45</v>
      </c>
      <c r="Q61" s="22" t="s">
        <v>45</v>
      </c>
      <c r="R61" s="22" t="s">
        <v>45</v>
      </c>
      <c r="S61" s="22" t="s">
        <v>45</v>
      </c>
      <c r="T61" s="22" t="s">
        <v>2002</v>
      </c>
      <c r="U61" s="22" t="s">
        <v>45</v>
      </c>
      <c r="V61" s="22" t="s">
        <v>45</v>
      </c>
      <c r="W61" s="22" t="s">
        <v>5137</v>
      </c>
    </row>
    <row r="62" ht="45.0" customHeight="1">
      <c r="A62" s="55" t="s">
        <v>317</v>
      </c>
      <c r="B62" s="62" t="s">
        <v>4319</v>
      </c>
      <c r="C62" s="22" t="str">
        <f>IMAGE("https://raw.githubusercontent.com/ltdimages/images/refs/heads/main/ClothTopslongDressLongMaid_00.png")</f>
        <v/>
      </c>
      <c r="D62" s="22" t="str">
        <f>IMAGE("https://raw.githubusercontent.com/ltdimages/images/refs/heads/main/ClothTopslongDressLongMaid_01.png")</f>
        <v/>
      </c>
      <c r="E62" s="22" t="str">
        <f>IMAGE("https://raw.githubusercontent.com/ltdimages/images/refs/heads/main/ClothTopslongDressLongMaid_02.png")</f>
        <v/>
      </c>
      <c r="F62" s="22" t="str">
        <f>IMAGE("https://raw.githubusercontent.com/ltdimages/images/refs/heads/main/ClothTopslongDressLongMaid_03.png")</f>
        <v/>
      </c>
      <c r="G62" s="22" t="str">
        <f>IMAGE("https://raw.githubusercontent.com/ltdimages/images/refs/heads/main/ClothTopslongDressLongMaid_04.png")</f>
        <v/>
      </c>
      <c r="H62" s="22" t="str">
        <f>IMAGE("https://raw.githubusercontent.com/ltdimages/images/refs/heads/main/ClothTopslongDressLongMaid_05.png")</f>
        <v/>
      </c>
      <c r="I62" s="22" t="s">
        <v>3095</v>
      </c>
      <c r="J62" s="22" t="s">
        <v>3095</v>
      </c>
      <c r="K62" s="63" t="s">
        <v>3110</v>
      </c>
      <c r="L62" s="23">
        <v>54.0</v>
      </c>
      <c r="M62" s="22" t="s">
        <v>4231</v>
      </c>
      <c r="N62" s="22" t="s">
        <v>3099</v>
      </c>
      <c r="O62" s="22" t="s">
        <v>45</v>
      </c>
      <c r="P62" s="22" t="s">
        <v>45</v>
      </c>
      <c r="Q62" s="22" t="s">
        <v>45</v>
      </c>
      <c r="R62" s="22" t="s">
        <v>49</v>
      </c>
      <c r="S62" s="22" t="s">
        <v>45</v>
      </c>
      <c r="T62" s="22" t="s">
        <v>2002</v>
      </c>
      <c r="U62" s="22" t="s">
        <v>45</v>
      </c>
      <c r="V62" s="22" t="s">
        <v>45</v>
      </c>
      <c r="W62" s="22" t="s">
        <v>5138</v>
      </c>
    </row>
    <row r="63" ht="45.0" customHeight="1">
      <c r="A63" s="55" t="s">
        <v>321</v>
      </c>
      <c r="B63" s="62" t="s">
        <v>4324</v>
      </c>
      <c r="C63" s="22" t="str">
        <f>IMAGE("https://raw.githubusercontent.com/ltdimages/images/refs/heads/main/ClothTopslongAlineLongCoatDress_00.png")</f>
        <v/>
      </c>
      <c r="D63" s="22" t="str">
        <f>IMAGE("https://raw.githubusercontent.com/ltdimages/images/refs/heads/main/ClothTopslongAlineLongCoatDress_01.png")</f>
        <v/>
      </c>
      <c r="E63" s="22" t="str">
        <f>IMAGE("https://raw.githubusercontent.com/ltdimages/images/refs/heads/main/ClothTopslongAlineLongCoatDress_02.png")</f>
        <v/>
      </c>
      <c r="F63" s="22" t="str">
        <f>IMAGE("https://raw.githubusercontent.com/ltdimages/images/refs/heads/main/ClothTopslongAlineLongCoatDress_03.png")</f>
        <v/>
      </c>
      <c r="G63" s="22" t="str">
        <f>IMAGE("https://raw.githubusercontent.com/ltdimages/images/refs/heads/main/ClothTopslongAlineLongCoatDress_04.png")</f>
        <v/>
      </c>
      <c r="H63" s="22" t="str">
        <f>IMAGE("https://raw.githubusercontent.com/ltdimages/images/refs/heads/main/ClothTopslongAlineLongCoatDress_05.png")</f>
        <v/>
      </c>
      <c r="I63" s="22" t="s">
        <v>3095</v>
      </c>
      <c r="J63" s="22" t="s">
        <v>3095</v>
      </c>
      <c r="K63" s="63" t="s">
        <v>3110</v>
      </c>
      <c r="L63" s="23">
        <v>28.7</v>
      </c>
      <c r="M63" s="22" t="s">
        <v>4231</v>
      </c>
      <c r="N63" s="22" t="s">
        <v>3114</v>
      </c>
      <c r="O63" s="22" t="s">
        <v>45</v>
      </c>
      <c r="P63" s="22" t="s">
        <v>45</v>
      </c>
      <c r="Q63" s="22" t="s">
        <v>45</v>
      </c>
      <c r="R63" s="22" t="s">
        <v>45</v>
      </c>
      <c r="S63" s="22" t="s">
        <v>45</v>
      </c>
      <c r="T63" s="22" t="s">
        <v>2002</v>
      </c>
      <c r="U63" s="22" t="s">
        <v>45</v>
      </c>
      <c r="V63" s="22" t="s">
        <v>45</v>
      </c>
      <c r="W63" s="22" t="s">
        <v>5139</v>
      </c>
    </row>
    <row r="64" ht="45.0" customHeight="1">
      <c r="A64" s="55" t="s">
        <v>325</v>
      </c>
      <c r="B64" s="62" t="s">
        <v>5140</v>
      </c>
      <c r="C64" s="22" t="str">
        <f>IMAGE("https://raw.githubusercontent.com/ltdimages/images/refs/heads/main/ClothTopslongDressSleevelessColor_00.png")</f>
        <v/>
      </c>
      <c r="D64" s="22" t="str">
        <f>IMAGE("https://raw.githubusercontent.com/ltdimages/images/refs/heads/main/ClothTopslongDressSleevelessColor_01.png")</f>
        <v/>
      </c>
      <c r="E64" s="22" t="str">
        <f>IMAGE("https://raw.githubusercontent.com/ltdimages/images/refs/heads/main/ClothTopslongDressSleevelessColor_02.png")</f>
        <v/>
      </c>
      <c r="F64" s="22" t="str">
        <f>IMAGE("https://raw.githubusercontent.com/ltdimages/images/refs/heads/main/ClothTopslongDressSleevelessColor_03.png")</f>
        <v/>
      </c>
      <c r="G64" s="22" t="str">
        <f>IMAGE("https://raw.githubusercontent.com/ltdimages/images/refs/heads/main/ClothTopslongDressSleevelessColor_04.png")</f>
        <v/>
      </c>
      <c r="H64" s="22" t="str">
        <f>IMAGE("https://raw.githubusercontent.com/ltdimages/images/refs/heads/main/ClothTopslongDressSleevelessColor_05.png")</f>
        <v/>
      </c>
      <c r="I64" s="22" t="str">
        <f>IMAGE("https://raw.githubusercontent.com/ltdimages/images/refs/heads/main/ClothTopslongDressSleevelessColor_06.png")</f>
        <v/>
      </c>
      <c r="J64" s="22" t="str">
        <f>IMAGE("https://raw.githubusercontent.com/ltdimages/images/refs/heads/main/ClothTopslongDressSleevelessColor_07.png")</f>
        <v/>
      </c>
      <c r="K64" s="63" t="s">
        <v>3110</v>
      </c>
      <c r="L64" s="23">
        <v>40.0</v>
      </c>
      <c r="M64" s="22" t="s">
        <v>4231</v>
      </c>
      <c r="N64" s="22" t="s">
        <v>3099</v>
      </c>
      <c r="O64" s="22" t="s">
        <v>45</v>
      </c>
      <c r="P64" s="22" t="s">
        <v>45</v>
      </c>
      <c r="Q64" s="22" t="s">
        <v>45</v>
      </c>
      <c r="R64" s="22" t="s">
        <v>45</v>
      </c>
      <c r="S64" s="22" t="s">
        <v>45</v>
      </c>
      <c r="T64" s="22" t="s">
        <v>2002</v>
      </c>
      <c r="U64" s="22" t="s">
        <v>45</v>
      </c>
      <c r="V64" s="22" t="s">
        <v>45</v>
      </c>
      <c r="W64" s="22" t="s">
        <v>5141</v>
      </c>
    </row>
    <row r="65" ht="45.0" customHeight="1">
      <c r="A65" s="55" t="s">
        <v>329</v>
      </c>
      <c r="B65" s="62" t="s">
        <v>5142</v>
      </c>
      <c r="C65" s="22" t="str">
        <f>IMAGE("https://raw.githubusercontent.com/ltdimages/images/refs/heads/main/ClothTopslongAlineHalfJumperSkirt_00.png")</f>
        <v/>
      </c>
      <c r="D65" s="22" t="str">
        <f>IMAGE("https://raw.githubusercontent.com/ltdimages/images/refs/heads/main/ClothTopslongAlineHalfJumperSkirt_01.png")</f>
        <v/>
      </c>
      <c r="E65" s="22" t="str">
        <f>IMAGE("https://raw.githubusercontent.com/ltdimages/images/refs/heads/main/ClothTopslongAlineHalfJumperSkirt_02.png")</f>
        <v/>
      </c>
      <c r="F65" s="22" t="str">
        <f>IMAGE("https://raw.githubusercontent.com/ltdimages/images/refs/heads/main/ClothTopslongAlineHalfJumperSkirt_03.png")</f>
        <v/>
      </c>
      <c r="G65" s="22" t="str">
        <f>IMAGE("https://raw.githubusercontent.com/ltdimages/images/refs/heads/main/ClothTopslongAlineHalfJumperSkirt_04.png")</f>
        <v/>
      </c>
      <c r="H65" s="22" t="str">
        <f>IMAGE("https://raw.githubusercontent.com/ltdimages/images/refs/heads/main/ClothTopslongAlineHalfJumperSkirt_05.png")</f>
        <v/>
      </c>
      <c r="I65" s="22" t="str">
        <f>IMAGE("https://raw.githubusercontent.com/ltdimages/images/refs/heads/main/ClothTopslongAlineHalfJumperSkirt_06.png")</f>
        <v/>
      </c>
      <c r="J65" s="22" t="str">
        <f>IMAGE("https://raw.githubusercontent.com/ltdimages/images/refs/heads/main/ClothTopslongAlineHalfJumperSkirt_07.png")</f>
        <v/>
      </c>
      <c r="K65" s="63" t="s">
        <v>3110</v>
      </c>
      <c r="L65" s="23">
        <v>25.0</v>
      </c>
      <c r="M65" s="22" t="s">
        <v>4231</v>
      </c>
      <c r="N65" s="22" t="s">
        <v>3099</v>
      </c>
      <c r="O65" s="22" t="s">
        <v>49</v>
      </c>
      <c r="P65" s="22" t="s">
        <v>45</v>
      </c>
      <c r="Q65" s="22" t="s">
        <v>45</v>
      </c>
      <c r="R65" s="22" t="s">
        <v>45</v>
      </c>
      <c r="S65" s="22" t="s">
        <v>45</v>
      </c>
      <c r="T65" s="22" t="s">
        <v>2002</v>
      </c>
      <c r="U65" s="22" t="s">
        <v>45</v>
      </c>
      <c r="V65" s="22" t="s">
        <v>45</v>
      </c>
      <c r="W65" s="22" t="s">
        <v>5143</v>
      </c>
    </row>
    <row r="66" ht="45.0" customHeight="1">
      <c r="A66" s="55" t="s">
        <v>333</v>
      </c>
      <c r="B66" s="62" t="s">
        <v>4348</v>
      </c>
      <c r="C66" s="22" t="str">
        <f>IMAGE("https://raw.githubusercontent.com/ltdimages/images/refs/heads/main/ClothTopslongDressHalfDolly_00.png")</f>
        <v/>
      </c>
      <c r="D66" s="22" t="str">
        <f>IMAGE("https://raw.githubusercontent.com/ltdimages/images/refs/heads/main/ClothTopslongDressHalfDolly_01.png")</f>
        <v/>
      </c>
      <c r="E66" s="22" t="str">
        <f>IMAGE("https://raw.githubusercontent.com/ltdimages/images/refs/heads/main/ClothTopslongDressHalfDolly_02.png")</f>
        <v/>
      </c>
      <c r="F66" s="22" t="str">
        <f>IMAGE("https://raw.githubusercontent.com/ltdimages/images/refs/heads/main/ClothTopslongDressHalfDolly_03.png")</f>
        <v/>
      </c>
      <c r="G66" s="22" t="str">
        <f>IMAGE("https://raw.githubusercontent.com/ltdimages/images/refs/heads/main/ClothTopslongDressHalfDolly_04.png")</f>
        <v/>
      </c>
      <c r="H66" s="22" t="str">
        <f>IMAGE("https://raw.githubusercontent.com/ltdimages/images/refs/heads/main/ClothTopslongDressHalfDolly_05.png")</f>
        <v/>
      </c>
      <c r="I66" s="22" t="str">
        <f>IMAGE("https://raw.githubusercontent.com/ltdimages/images/refs/heads/main/ClothTopslongDressHalfDolly_06.png")</f>
        <v/>
      </c>
      <c r="J66" s="22" t="str">
        <f>IMAGE("https://raw.githubusercontent.com/ltdimages/images/refs/heads/main/ClothTopslongDressHalfDolly_07.png")</f>
        <v/>
      </c>
      <c r="K66" s="63" t="s">
        <v>3110</v>
      </c>
      <c r="L66" s="23">
        <v>26.0</v>
      </c>
      <c r="M66" s="22" t="s">
        <v>4231</v>
      </c>
      <c r="N66" s="22" t="s">
        <v>3099</v>
      </c>
      <c r="O66" s="22" t="s">
        <v>45</v>
      </c>
      <c r="P66" s="22" t="s">
        <v>45</v>
      </c>
      <c r="Q66" s="22" t="s">
        <v>45</v>
      </c>
      <c r="R66" s="22" t="s">
        <v>45</v>
      </c>
      <c r="S66" s="22" t="s">
        <v>45</v>
      </c>
      <c r="T66" s="22" t="s">
        <v>2002</v>
      </c>
      <c r="U66" s="22" t="s">
        <v>45</v>
      </c>
      <c r="V66" s="22" t="s">
        <v>45</v>
      </c>
      <c r="W66" s="22" t="s">
        <v>5144</v>
      </c>
    </row>
    <row r="67" ht="45.0" customHeight="1">
      <c r="A67" s="55" t="s">
        <v>337</v>
      </c>
      <c r="B67" s="62" t="s">
        <v>4359</v>
      </c>
      <c r="C67" s="22" t="str">
        <f>IMAGE("https://raw.githubusercontent.com/ltdimages/images/refs/heads/main/ClothTopslongDressHalfDreamy_00.png")</f>
        <v/>
      </c>
      <c r="D67" s="22" t="str">
        <f>IMAGE("https://raw.githubusercontent.com/ltdimages/images/refs/heads/main/ClothTopslongDressHalfDreamy_01.png")</f>
        <v/>
      </c>
      <c r="E67" s="22" t="str">
        <f>IMAGE("https://raw.githubusercontent.com/ltdimages/images/refs/heads/main/ClothTopslongDressHalfDreamy_02.png")</f>
        <v/>
      </c>
      <c r="F67" s="22" t="str">
        <f>IMAGE("https://raw.githubusercontent.com/ltdimages/images/refs/heads/main/ClothTopslongDressHalfDreamy_03.png")</f>
        <v/>
      </c>
      <c r="G67" s="22" t="str">
        <f>IMAGE("https://raw.githubusercontent.com/ltdimages/images/refs/heads/main/ClothTopslongDressHalfDreamy_04.png")</f>
        <v/>
      </c>
      <c r="H67" s="22" t="str">
        <f>IMAGE("https://raw.githubusercontent.com/ltdimages/images/refs/heads/main/ClothTopslongDressHalfDreamy_05.png")</f>
        <v/>
      </c>
      <c r="I67" s="22" t="s">
        <v>3095</v>
      </c>
      <c r="J67" s="22" t="s">
        <v>3095</v>
      </c>
      <c r="K67" s="63" t="s">
        <v>3110</v>
      </c>
      <c r="L67" s="23">
        <v>32.5</v>
      </c>
      <c r="M67" s="22" t="s">
        <v>4231</v>
      </c>
      <c r="N67" s="22" t="s">
        <v>3099</v>
      </c>
      <c r="O67" s="22" t="s">
        <v>45</v>
      </c>
      <c r="P67" s="22" t="s">
        <v>45</v>
      </c>
      <c r="Q67" s="22" t="s">
        <v>45</v>
      </c>
      <c r="R67" s="22" t="s">
        <v>45</v>
      </c>
      <c r="S67" s="22" t="s">
        <v>45</v>
      </c>
      <c r="T67" s="22" t="s">
        <v>2002</v>
      </c>
      <c r="U67" s="22" t="s">
        <v>45</v>
      </c>
      <c r="V67" s="22" t="s">
        <v>45</v>
      </c>
      <c r="W67" s="22" t="s">
        <v>5145</v>
      </c>
    </row>
    <row r="68" ht="45.0" customHeight="1">
      <c r="A68" s="55" t="s">
        <v>341</v>
      </c>
      <c r="B68" s="62" t="s">
        <v>4390</v>
      </c>
      <c r="C68" s="22" t="str">
        <f>IMAGE("https://raw.githubusercontent.com/ltdimages/images/refs/heads/main/ClothTopslongDressHalfSimple_00.png")</f>
        <v/>
      </c>
      <c r="D68" s="22" t="str">
        <f>IMAGE("https://raw.githubusercontent.com/ltdimages/images/refs/heads/main/ClothTopslongDressHalfSimple_01.png")</f>
        <v/>
      </c>
      <c r="E68" s="22" t="str">
        <f>IMAGE("https://raw.githubusercontent.com/ltdimages/images/refs/heads/main/ClothTopslongDressHalfSimple_02.png")</f>
        <v/>
      </c>
      <c r="F68" s="22" t="str">
        <f>IMAGE("https://raw.githubusercontent.com/ltdimages/images/refs/heads/main/ClothTopslongDressHalfSimple_03.png")</f>
        <v/>
      </c>
      <c r="G68" s="22" t="str">
        <f>IMAGE("https://raw.githubusercontent.com/ltdimages/images/refs/heads/main/ClothTopslongDressHalfSimple_04.png")</f>
        <v/>
      </c>
      <c r="H68" s="22" t="str">
        <f>IMAGE("https://raw.githubusercontent.com/ltdimages/images/refs/heads/main/ClothTopslongDressHalfSimple_05.png")</f>
        <v/>
      </c>
      <c r="I68" s="22" t="str">
        <f>IMAGE("https://raw.githubusercontent.com/ltdimages/images/refs/heads/main/ClothTopslongDressHalfSimple_06.png")</f>
        <v/>
      </c>
      <c r="J68" s="22" t="str">
        <f>IMAGE("https://raw.githubusercontent.com/ltdimages/images/refs/heads/main/ClothTopslongDressHalfSimple_07.png")</f>
        <v/>
      </c>
      <c r="K68" s="63" t="s">
        <v>3110</v>
      </c>
      <c r="L68" s="23">
        <v>40.0</v>
      </c>
      <c r="M68" s="22" t="s">
        <v>4231</v>
      </c>
      <c r="N68" s="22" t="s">
        <v>3099</v>
      </c>
      <c r="O68" s="22" t="s">
        <v>45</v>
      </c>
      <c r="P68" s="22" t="s">
        <v>45</v>
      </c>
      <c r="Q68" s="22" t="s">
        <v>45</v>
      </c>
      <c r="R68" s="22" t="s">
        <v>45</v>
      </c>
      <c r="S68" s="22" t="s">
        <v>45</v>
      </c>
      <c r="T68" s="22" t="s">
        <v>2002</v>
      </c>
      <c r="U68" s="22" t="s">
        <v>45</v>
      </c>
      <c r="V68" s="22" t="s">
        <v>45</v>
      </c>
      <c r="W68" s="22" t="s">
        <v>5146</v>
      </c>
    </row>
    <row r="69" ht="45.0" customHeight="1">
      <c r="A69" s="55" t="s">
        <v>345</v>
      </c>
      <c r="B69" s="62" t="s">
        <v>4424</v>
      </c>
      <c r="C69" s="22" t="str">
        <f>IMAGE("https://raw.githubusercontent.com/ltdimages/images/refs/heads/main/ClothTopslongAlongHalfEmbroidery_00.png")</f>
        <v/>
      </c>
      <c r="D69" s="22" t="str">
        <f>IMAGE("https://raw.githubusercontent.com/ltdimages/images/refs/heads/main/ClothTopslongAlongHalfEmbroidery_01.png")</f>
        <v/>
      </c>
      <c r="E69" s="22" t="str">
        <f>IMAGE("https://raw.githubusercontent.com/ltdimages/images/refs/heads/main/ClothTopslongAlongHalfEmbroidery_02.png")</f>
        <v/>
      </c>
      <c r="F69" s="22" t="str">
        <f>IMAGE("https://raw.githubusercontent.com/ltdimages/images/refs/heads/main/ClothTopslongAlongHalfEmbroidery_03.png")</f>
        <v/>
      </c>
      <c r="G69" s="22" t="str">
        <f>IMAGE("https://raw.githubusercontent.com/ltdimages/images/refs/heads/main/ClothTopslongAlongHalfEmbroidery_04.png")</f>
        <v/>
      </c>
      <c r="H69" s="22" t="str">
        <f>IMAGE("https://raw.githubusercontent.com/ltdimages/images/refs/heads/main/ClothTopslongAlongHalfEmbroidery_05.png")</f>
        <v/>
      </c>
      <c r="I69" s="22" t="s">
        <v>3095</v>
      </c>
      <c r="J69" s="22" t="s">
        <v>3095</v>
      </c>
      <c r="K69" s="63" t="s">
        <v>3110</v>
      </c>
      <c r="L69" s="23">
        <v>24.0</v>
      </c>
      <c r="M69" s="22" t="s">
        <v>4231</v>
      </c>
      <c r="N69" s="22" t="s">
        <v>3123</v>
      </c>
      <c r="O69" s="22" t="s">
        <v>45</v>
      </c>
      <c r="P69" s="22" t="s">
        <v>45</v>
      </c>
      <c r="Q69" s="22" t="s">
        <v>45</v>
      </c>
      <c r="R69" s="22" t="s">
        <v>45</v>
      </c>
      <c r="S69" s="22" t="s">
        <v>45</v>
      </c>
      <c r="T69" s="22" t="s">
        <v>2002</v>
      </c>
      <c r="U69" s="22" t="s">
        <v>45</v>
      </c>
      <c r="V69" s="22" t="s">
        <v>45</v>
      </c>
      <c r="W69" s="22" t="s">
        <v>5147</v>
      </c>
    </row>
    <row r="70" ht="45.0" customHeight="1">
      <c r="A70" s="55" t="s">
        <v>349</v>
      </c>
      <c r="B70" s="62" t="s">
        <v>4399</v>
      </c>
      <c r="C70" s="22" t="str">
        <f>IMAGE("https://raw.githubusercontent.com/ltdimages/images/refs/heads/main/ClothTopslongDressSleevelessFairy_00.png")</f>
        <v/>
      </c>
      <c r="D70" s="22" t="str">
        <f>IMAGE("https://raw.githubusercontent.com/ltdimages/images/refs/heads/main/ClothTopslongDressSleevelessFairy_01.png")</f>
        <v/>
      </c>
      <c r="E70" s="22" t="str">
        <f>IMAGE("https://raw.githubusercontent.com/ltdimages/images/refs/heads/main/ClothTopslongDressSleevelessFairy_02.png")</f>
        <v/>
      </c>
      <c r="F70" s="22" t="str">
        <f>IMAGE("https://raw.githubusercontent.com/ltdimages/images/refs/heads/main/ClothTopslongDressSleevelessFairy_03.png")</f>
        <v/>
      </c>
      <c r="G70" s="22" t="str">
        <f>IMAGE("https://raw.githubusercontent.com/ltdimages/images/refs/heads/main/ClothTopslongDressSleevelessFairy_04.png")</f>
        <v/>
      </c>
      <c r="H70" s="22" t="str">
        <f>IMAGE("https://raw.githubusercontent.com/ltdimages/images/refs/heads/main/ClothTopslongDressSleevelessFairy_05.png")</f>
        <v/>
      </c>
      <c r="I70" s="22" t="str">
        <f>IMAGE("https://raw.githubusercontent.com/ltdimages/images/refs/heads/main/ClothTopslongDressSleevelessFairy_06.png")</f>
        <v/>
      </c>
      <c r="J70" s="22" t="str">
        <f>IMAGE("https://raw.githubusercontent.com/ltdimages/images/refs/heads/main/ClothTopslongDressSleevelessFairy_07.png")</f>
        <v/>
      </c>
      <c r="K70" s="63" t="s">
        <v>3110</v>
      </c>
      <c r="L70" s="23">
        <v>55.0</v>
      </c>
      <c r="M70" s="22" t="s">
        <v>4231</v>
      </c>
      <c r="N70" s="22" t="s">
        <v>3099</v>
      </c>
      <c r="O70" s="22" t="s">
        <v>45</v>
      </c>
      <c r="P70" s="22" t="s">
        <v>45</v>
      </c>
      <c r="Q70" s="22" t="s">
        <v>45</v>
      </c>
      <c r="R70" s="22" t="s">
        <v>49</v>
      </c>
      <c r="S70" s="22" t="s">
        <v>45</v>
      </c>
      <c r="T70" s="22" t="s">
        <v>2002</v>
      </c>
      <c r="U70" s="22" t="s">
        <v>45</v>
      </c>
      <c r="V70" s="22" t="s">
        <v>45</v>
      </c>
      <c r="W70" s="22" t="s">
        <v>5148</v>
      </c>
    </row>
    <row r="71" ht="45.0" customHeight="1">
      <c r="A71" s="55" t="s">
        <v>354</v>
      </c>
      <c r="B71" s="62" t="s">
        <v>4403</v>
      </c>
      <c r="C71" s="22" t="str">
        <f>IMAGE("https://raw.githubusercontent.com/ltdimages/images/refs/heads/main/ClothTopslongAlongLongFurCoat_00.png")</f>
        <v/>
      </c>
      <c r="D71" s="22" t="str">
        <f>IMAGE("https://raw.githubusercontent.com/ltdimages/images/refs/heads/main/ClothTopslongAlongLongFurCoat_01.png")</f>
        <v/>
      </c>
      <c r="E71" s="22" t="str">
        <f>IMAGE("https://raw.githubusercontent.com/ltdimages/images/refs/heads/main/ClothTopslongAlongLongFurCoat_02.png")</f>
        <v/>
      </c>
      <c r="F71" s="22" t="str">
        <f>IMAGE("https://raw.githubusercontent.com/ltdimages/images/refs/heads/main/ClothTopslongAlongLongFurCoat_03.png")</f>
        <v/>
      </c>
      <c r="G71" s="22" t="str">
        <f>IMAGE("https://raw.githubusercontent.com/ltdimages/images/refs/heads/main/ClothTopslongAlongLongFurCoat_04.png")</f>
        <v/>
      </c>
      <c r="H71" s="22" t="str">
        <f>IMAGE("https://raw.githubusercontent.com/ltdimages/images/refs/heads/main/ClothTopslongAlongLongFurCoat_05.png")</f>
        <v/>
      </c>
      <c r="I71" s="22" t="str">
        <f>IMAGE("https://raw.githubusercontent.com/ltdimages/images/refs/heads/main/ClothTopslongAlongLongFurCoat_06.png")</f>
        <v/>
      </c>
      <c r="J71" s="22" t="str">
        <f>IMAGE("https://raw.githubusercontent.com/ltdimages/images/refs/heads/main/ClothTopslongAlongLongFurCoat_07.png")</f>
        <v/>
      </c>
      <c r="K71" s="63" t="s">
        <v>3110</v>
      </c>
      <c r="L71" s="23">
        <v>31.0</v>
      </c>
      <c r="M71" s="22" t="s">
        <v>4231</v>
      </c>
      <c r="N71" s="22" t="s">
        <v>3114</v>
      </c>
      <c r="O71" s="22" t="s">
        <v>45</v>
      </c>
      <c r="P71" s="22" t="s">
        <v>45</v>
      </c>
      <c r="Q71" s="22" t="s">
        <v>45</v>
      </c>
      <c r="R71" s="22" t="s">
        <v>45</v>
      </c>
      <c r="S71" s="22" t="s">
        <v>45</v>
      </c>
      <c r="T71" s="22" t="s">
        <v>2002</v>
      </c>
      <c r="U71" s="22" t="s">
        <v>45</v>
      </c>
      <c r="V71" s="22" t="s">
        <v>45</v>
      </c>
      <c r="W71" s="22" t="s">
        <v>5149</v>
      </c>
    </row>
    <row r="72" ht="45.0" customHeight="1">
      <c r="A72" s="55" t="s">
        <v>358</v>
      </c>
      <c r="B72" s="62" t="s">
        <v>4409</v>
      </c>
      <c r="C72" s="22" t="str">
        <f>IMAGE("https://raw.githubusercontent.com/ltdimages/images/refs/heads/main/ClothTopslongDressSleevelessFigure_00.png")</f>
        <v/>
      </c>
      <c r="D72" s="22" t="str">
        <f>IMAGE("https://raw.githubusercontent.com/ltdimages/images/refs/heads/main/ClothTopslongDressSleevelessFigure_01.png")</f>
        <v/>
      </c>
      <c r="E72" s="22" t="str">
        <f>IMAGE("https://raw.githubusercontent.com/ltdimages/images/refs/heads/main/ClothTopslongDressSleevelessFigure_02.png")</f>
        <v/>
      </c>
      <c r="F72" s="22" t="str">
        <f>IMAGE("https://raw.githubusercontent.com/ltdimages/images/refs/heads/main/ClothTopslongDressSleevelessFigure_03.png")</f>
        <v/>
      </c>
      <c r="G72" s="22" t="str">
        <f>IMAGE("https://raw.githubusercontent.com/ltdimages/images/refs/heads/main/ClothTopslongDressSleevelessFigure_04.png")</f>
        <v/>
      </c>
      <c r="H72" s="22" t="str">
        <f>IMAGE("https://raw.githubusercontent.com/ltdimages/images/refs/heads/main/ClothTopslongDressSleevelessFigure_05.png")</f>
        <v/>
      </c>
      <c r="I72" s="22" t="str">
        <f>IMAGE("https://raw.githubusercontent.com/ltdimages/images/refs/heads/main/ClothTopslongDressSleevelessFigure_06.png")</f>
        <v/>
      </c>
      <c r="J72" s="22" t="str">
        <f>IMAGE("https://raw.githubusercontent.com/ltdimages/images/refs/heads/main/ClothTopslongDressSleevelessFigure_07.png")</f>
        <v/>
      </c>
      <c r="K72" s="63" t="s">
        <v>3110</v>
      </c>
      <c r="L72" s="23">
        <v>55.0</v>
      </c>
      <c r="M72" s="22" t="s">
        <v>4231</v>
      </c>
      <c r="N72" s="22" t="s">
        <v>3114</v>
      </c>
      <c r="O72" s="22" t="s">
        <v>45</v>
      </c>
      <c r="P72" s="22" t="s">
        <v>45</v>
      </c>
      <c r="Q72" s="22" t="s">
        <v>45</v>
      </c>
      <c r="R72" s="22" t="s">
        <v>45</v>
      </c>
      <c r="S72" s="22" t="s">
        <v>45</v>
      </c>
      <c r="T72" s="22" t="s">
        <v>2002</v>
      </c>
      <c r="U72" s="22" t="s">
        <v>45</v>
      </c>
      <c r="V72" s="22" t="s">
        <v>45</v>
      </c>
      <c r="W72" s="22" t="s">
        <v>5150</v>
      </c>
    </row>
    <row r="73" ht="45.0" customHeight="1">
      <c r="A73" s="55" t="s">
        <v>362</v>
      </c>
      <c r="B73" s="62" t="s">
        <v>4412</v>
      </c>
      <c r="C73" s="22" t="str">
        <f>IMAGE("https://raw.githubusercontent.com/ltdimages/images/refs/heads/main/ClothTopslongBoxDressSleevelessFlapper_00.png")</f>
        <v/>
      </c>
      <c r="D73" s="22" t="str">
        <f>IMAGE("https://raw.githubusercontent.com/ltdimages/images/refs/heads/main/ClothTopslongBoxDressSleevelessFlapper_01.png")</f>
        <v/>
      </c>
      <c r="E73" s="22" t="str">
        <f>IMAGE("https://raw.githubusercontent.com/ltdimages/images/refs/heads/main/ClothTopslongBoxDressSleevelessFlapper_02.png")</f>
        <v/>
      </c>
      <c r="F73" s="22" t="str">
        <f>IMAGE("https://raw.githubusercontent.com/ltdimages/images/refs/heads/main/ClothTopslongBoxDressSleevelessFlapper_03.png")</f>
        <v/>
      </c>
      <c r="G73" s="22" t="str">
        <f>IMAGE("https://raw.githubusercontent.com/ltdimages/images/refs/heads/main/ClothTopslongBoxDressSleevelessFlapper_04.png")</f>
        <v/>
      </c>
      <c r="H73" s="22" t="str">
        <f>IMAGE("https://raw.githubusercontent.com/ltdimages/images/refs/heads/main/ClothTopslongBoxDressSleevelessFlapper_05.png")</f>
        <v/>
      </c>
      <c r="I73" s="22" t="str">
        <f>IMAGE("https://raw.githubusercontent.com/ltdimages/images/refs/heads/main/ClothTopslongBoxDressSleevelessFlapper_06.png")</f>
        <v/>
      </c>
      <c r="J73" s="22" t="str">
        <f>IMAGE("https://raw.githubusercontent.com/ltdimages/images/refs/heads/main/ClothTopslongBoxDressSleevelessFlapper_07.png")</f>
        <v/>
      </c>
      <c r="K73" s="63" t="s">
        <v>3110</v>
      </c>
      <c r="L73" s="23">
        <v>50.0</v>
      </c>
      <c r="M73" s="22" t="s">
        <v>4231</v>
      </c>
      <c r="N73" s="22" t="s">
        <v>3099</v>
      </c>
      <c r="O73" s="22" t="s">
        <v>45</v>
      </c>
      <c r="P73" s="22" t="s">
        <v>45</v>
      </c>
      <c r="Q73" s="22" t="s">
        <v>45</v>
      </c>
      <c r="R73" s="22" t="s">
        <v>49</v>
      </c>
      <c r="S73" s="22" t="s">
        <v>45</v>
      </c>
      <c r="T73" s="22" t="s">
        <v>2002</v>
      </c>
      <c r="U73" s="22" t="s">
        <v>45</v>
      </c>
      <c r="V73" s="22" t="s">
        <v>45</v>
      </c>
      <c r="W73" s="22" t="s">
        <v>5151</v>
      </c>
    </row>
    <row r="74" ht="45.0" customHeight="1">
      <c r="A74" s="55" t="s">
        <v>367</v>
      </c>
      <c r="B74" s="62" t="s">
        <v>5152</v>
      </c>
      <c r="C74" s="22" t="str">
        <f>IMAGE("https://raw.githubusercontent.com/ltdimages/images/refs/heads/main/ClothTopslongAlongLongFlower_00.png")</f>
        <v/>
      </c>
      <c r="D74" s="22" t="str">
        <f>IMAGE("https://raw.githubusercontent.com/ltdimages/images/refs/heads/main/ClothTopslongAlongLongFlower_01.png")</f>
        <v/>
      </c>
      <c r="E74" s="22" t="str">
        <f>IMAGE("https://raw.githubusercontent.com/ltdimages/images/refs/heads/main/ClothTopslongAlongLongFlower_02.png")</f>
        <v/>
      </c>
      <c r="F74" s="22" t="str">
        <f>IMAGE("https://raw.githubusercontent.com/ltdimages/images/refs/heads/main/ClothTopslongAlongLongFlower_03.png")</f>
        <v/>
      </c>
      <c r="G74" s="22" t="str">
        <f>IMAGE("https://raw.githubusercontent.com/ltdimages/images/refs/heads/main/ClothTopslongAlongLongFlower_04.png")</f>
        <v/>
      </c>
      <c r="H74" s="22" t="str">
        <f>IMAGE("https://raw.githubusercontent.com/ltdimages/images/refs/heads/main/ClothTopslongAlongLongFlower_05.png")</f>
        <v/>
      </c>
      <c r="I74" s="22" t="str">
        <f>IMAGE("https://raw.githubusercontent.com/ltdimages/images/refs/heads/main/ClothTopslongAlongLongFlower_06.png")</f>
        <v/>
      </c>
      <c r="J74" s="22" t="str">
        <f>IMAGE("https://raw.githubusercontent.com/ltdimages/images/refs/heads/main/ClothTopslongAlongLongFlower_07.png")</f>
        <v/>
      </c>
      <c r="K74" s="63" t="s">
        <v>3110</v>
      </c>
      <c r="L74" s="23">
        <v>25.0</v>
      </c>
      <c r="M74" s="22" t="s">
        <v>4231</v>
      </c>
      <c r="N74" s="22" t="s">
        <v>3099</v>
      </c>
      <c r="O74" s="22" t="s">
        <v>45</v>
      </c>
      <c r="P74" s="22" t="s">
        <v>45</v>
      </c>
      <c r="Q74" s="22" t="s">
        <v>45</v>
      </c>
      <c r="R74" s="22" t="s">
        <v>45</v>
      </c>
      <c r="S74" s="22" t="s">
        <v>45</v>
      </c>
      <c r="T74" s="22" t="s">
        <v>2002</v>
      </c>
      <c r="U74" s="22" t="s">
        <v>45</v>
      </c>
      <c r="V74" s="22" t="s">
        <v>45</v>
      </c>
      <c r="W74" s="22" t="s">
        <v>5153</v>
      </c>
    </row>
    <row r="75" ht="45.0" customHeight="1">
      <c r="A75" s="55" t="s">
        <v>371</v>
      </c>
      <c r="B75" s="62" t="s">
        <v>5154</v>
      </c>
      <c r="C75" s="22" t="str">
        <f>IMAGE("https://raw.githubusercontent.com/ltdimages/images/refs/heads/main/ClothTopslongSalopetteHalfJumpSuit_00.png")</f>
        <v/>
      </c>
      <c r="D75" s="22" t="str">
        <f>IMAGE("https://raw.githubusercontent.com/ltdimages/images/refs/heads/main/ClothTopslongSalopetteHalfJumpSuit_01.png")</f>
        <v/>
      </c>
      <c r="E75" s="22" t="str">
        <f>IMAGE("https://raw.githubusercontent.com/ltdimages/images/refs/heads/main/ClothTopslongSalopetteHalfJumpSuit_02.png")</f>
        <v/>
      </c>
      <c r="F75" s="22" t="str">
        <f>IMAGE("https://raw.githubusercontent.com/ltdimages/images/refs/heads/main/ClothTopslongSalopetteHalfJumpSuit_03.png")</f>
        <v/>
      </c>
      <c r="G75" s="22" t="str">
        <f>IMAGE("https://raw.githubusercontent.com/ltdimages/images/refs/heads/main/ClothTopslongSalopetteHalfJumpSuit_04.png")</f>
        <v/>
      </c>
      <c r="H75" s="22" t="str">
        <f>IMAGE("https://raw.githubusercontent.com/ltdimages/images/refs/heads/main/ClothTopslongSalopetteHalfJumpSuit_05.png")</f>
        <v/>
      </c>
      <c r="I75" s="22" t="str">
        <f>IMAGE("https://raw.githubusercontent.com/ltdimages/images/refs/heads/main/ClothTopslongSalopetteHalfJumpSuit_06.png")</f>
        <v/>
      </c>
      <c r="J75" s="22" t="str">
        <f>IMAGE("https://raw.githubusercontent.com/ltdimages/images/refs/heads/main/ClothTopslongSalopetteHalfJumpSuit_07.png")</f>
        <v/>
      </c>
      <c r="K75" s="63" t="s">
        <v>3110</v>
      </c>
      <c r="L75" s="23">
        <v>26.5</v>
      </c>
      <c r="M75" s="22" t="s">
        <v>4231</v>
      </c>
      <c r="N75" s="22" t="s">
        <v>3099</v>
      </c>
      <c r="O75" s="22" t="s">
        <v>45</v>
      </c>
      <c r="P75" s="22" t="s">
        <v>45</v>
      </c>
      <c r="Q75" s="22" t="s">
        <v>45</v>
      </c>
      <c r="R75" s="22" t="s">
        <v>45</v>
      </c>
      <c r="S75" s="22" t="s">
        <v>45</v>
      </c>
      <c r="T75" s="22" t="s">
        <v>2002</v>
      </c>
      <c r="U75" s="22" t="s">
        <v>45</v>
      </c>
      <c r="V75" s="22" t="s">
        <v>45</v>
      </c>
      <c r="W75" s="22" t="s">
        <v>5155</v>
      </c>
    </row>
    <row r="76" ht="45.0" customHeight="1">
      <c r="A76" s="55" t="s">
        <v>375</v>
      </c>
      <c r="B76" s="62" t="s">
        <v>4435</v>
      </c>
      <c r="C76" s="22" t="str">
        <f>IMAGE("https://raw.githubusercontent.com/ltdimages/images/refs/heads/main/ClothTopslongAlineLongFormal_00.png")</f>
        <v/>
      </c>
      <c r="D76" s="22" t="str">
        <f>IMAGE("https://raw.githubusercontent.com/ltdimages/images/refs/heads/main/ClothTopslongAlineLongFormal_01.png")</f>
        <v/>
      </c>
      <c r="E76" s="22" t="str">
        <f>IMAGE("https://raw.githubusercontent.com/ltdimages/images/refs/heads/main/ClothTopslongAlineLongFormal_02.png")</f>
        <v/>
      </c>
      <c r="F76" s="22" t="str">
        <f>IMAGE("https://raw.githubusercontent.com/ltdimages/images/refs/heads/main/ClothTopslongAlineLongFormal_03.png")</f>
        <v/>
      </c>
      <c r="G76" s="22" t="str">
        <f>IMAGE("https://raw.githubusercontent.com/ltdimages/images/refs/heads/main/ClothTopslongAlineLongFormal_04.png")</f>
        <v/>
      </c>
      <c r="H76" s="22" t="str">
        <f>IMAGE("https://raw.githubusercontent.com/ltdimages/images/refs/heads/main/ClothTopslongAlineLongFormal_05.png")</f>
        <v/>
      </c>
      <c r="I76" s="22" t="s">
        <v>3095</v>
      </c>
      <c r="J76" s="22" t="s">
        <v>3095</v>
      </c>
      <c r="K76" s="63" t="s">
        <v>3110</v>
      </c>
      <c r="L76" s="23">
        <v>30.0</v>
      </c>
      <c r="M76" s="22" t="s">
        <v>4231</v>
      </c>
      <c r="N76" s="22" t="s">
        <v>3099</v>
      </c>
      <c r="O76" s="22" t="s">
        <v>45</v>
      </c>
      <c r="P76" s="22" t="s">
        <v>45</v>
      </c>
      <c r="Q76" s="22" t="s">
        <v>45</v>
      </c>
      <c r="R76" s="22" t="s">
        <v>45</v>
      </c>
      <c r="S76" s="22" t="s">
        <v>45</v>
      </c>
      <c r="T76" s="22" t="s">
        <v>2002</v>
      </c>
      <c r="U76" s="22" t="s">
        <v>45</v>
      </c>
      <c r="V76" s="22" t="s">
        <v>45</v>
      </c>
      <c r="W76" s="22" t="s">
        <v>5156</v>
      </c>
    </row>
    <row r="77" ht="45.0" customHeight="1">
      <c r="A77" s="55" t="s">
        <v>380</v>
      </c>
      <c r="B77" s="62" t="s">
        <v>5157</v>
      </c>
      <c r="C77" s="22" t="str">
        <f>IMAGE("https://raw.githubusercontent.com/ltdimages/images/refs/heads/main/ClothTopslongAlongLongFrilled_00.png")</f>
        <v/>
      </c>
      <c r="D77" s="22" t="str">
        <f>IMAGE("https://raw.githubusercontent.com/ltdimages/images/refs/heads/main/ClothTopslongAlongLongFrilled_01.png")</f>
        <v/>
      </c>
      <c r="E77" s="22" t="str">
        <f>IMAGE("https://raw.githubusercontent.com/ltdimages/images/refs/heads/main/ClothTopslongAlongLongFrilled_02.png")</f>
        <v/>
      </c>
      <c r="F77" s="22" t="str">
        <f>IMAGE("https://raw.githubusercontent.com/ltdimages/images/refs/heads/main/ClothTopslongAlongLongFrilled_03.png")</f>
        <v/>
      </c>
      <c r="G77" s="22" t="str">
        <f>IMAGE("https://raw.githubusercontent.com/ltdimages/images/refs/heads/main/ClothTopslongAlongLongFrilled_04.png")</f>
        <v/>
      </c>
      <c r="H77" s="22" t="str">
        <f>IMAGE("https://raw.githubusercontent.com/ltdimages/images/refs/heads/main/ClothTopslongAlongLongFrilled_05.png")</f>
        <v/>
      </c>
      <c r="I77" s="22" t="str">
        <f>IMAGE("https://raw.githubusercontent.com/ltdimages/images/refs/heads/main/ClothTopslongAlongLongFrilled_06.png")</f>
        <v/>
      </c>
      <c r="J77" s="22" t="str">
        <f>IMAGE("https://raw.githubusercontent.com/ltdimages/images/refs/heads/main/ClothTopslongAlongLongFrilled_07.png")</f>
        <v/>
      </c>
      <c r="K77" s="63" t="s">
        <v>3110</v>
      </c>
      <c r="L77" s="23">
        <v>25.9</v>
      </c>
      <c r="M77" s="22" t="s">
        <v>4231</v>
      </c>
      <c r="N77" s="22" t="s">
        <v>3099</v>
      </c>
      <c r="O77" s="22" t="s">
        <v>45</v>
      </c>
      <c r="P77" s="22" t="s">
        <v>45</v>
      </c>
      <c r="Q77" s="22" t="s">
        <v>45</v>
      </c>
      <c r="R77" s="22" t="s">
        <v>45</v>
      </c>
      <c r="S77" s="22" t="s">
        <v>45</v>
      </c>
      <c r="T77" s="22" t="s">
        <v>2002</v>
      </c>
      <c r="U77" s="22" t="s">
        <v>45</v>
      </c>
      <c r="V77" s="22" t="s">
        <v>45</v>
      </c>
      <c r="W77" s="22" t="s">
        <v>5158</v>
      </c>
    </row>
    <row r="78" ht="45.0" customHeight="1">
      <c r="A78" s="55" t="s">
        <v>384</v>
      </c>
      <c r="B78" s="62" t="s">
        <v>5159</v>
      </c>
      <c r="C78" s="22" t="str">
        <f>IMAGE("https://raw.githubusercontent.com/ltdimages/images/refs/heads/main/ClothTopslongDressHalfGingham_00.png")</f>
        <v/>
      </c>
      <c r="D78" s="22" t="str">
        <f>IMAGE("https://raw.githubusercontent.com/ltdimages/images/refs/heads/main/ClothTopslongDressHalfGingham_01.png")</f>
        <v/>
      </c>
      <c r="E78" s="22" t="str">
        <f>IMAGE("https://raw.githubusercontent.com/ltdimages/images/refs/heads/main/ClothTopslongDressHalfGingham_02.png")</f>
        <v/>
      </c>
      <c r="F78" s="22" t="str">
        <f>IMAGE("https://raw.githubusercontent.com/ltdimages/images/refs/heads/main/ClothTopslongDressHalfGingham_03.png")</f>
        <v/>
      </c>
      <c r="G78" s="22" t="str">
        <f>IMAGE("https://raw.githubusercontent.com/ltdimages/images/refs/heads/main/ClothTopslongDressHalfGingham_04.png")</f>
        <v/>
      </c>
      <c r="H78" s="22" t="str">
        <f>IMAGE("https://raw.githubusercontent.com/ltdimages/images/refs/heads/main/ClothTopslongDressHalfGingham_05.png")</f>
        <v/>
      </c>
      <c r="I78" s="22" t="str">
        <f>IMAGE("https://raw.githubusercontent.com/ltdimages/images/refs/heads/main/ClothTopslongDressHalfGingham_06.png")</f>
        <v/>
      </c>
      <c r="J78" s="22" t="str">
        <f>IMAGE("https://raw.githubusercontent.com/ltdimages/images/refs/heads/main/ClothTopslongDressHalfGingham_07.png")</f>
        <v/>
      </c>
      <c r="K78" s="63" t="s">
        <v>3110</v>
      </c>
      <c r="L78" s="23">
        <v>25.0</v>
      </c>
      <c r="M78" s="22" t="s">
        <v>4231</v>
      </c>
      <c r="N78" s="22" t="s">
        <v>3099</v>
      </c>
      <c r="O78" s="22" t="s">
        <v>45</v>
      </c>
      <c r="P78" s="22" t="s">
        <v>45</v>
      </c>
      <c r="Q78" s="22" t="s">
        <v>45</v>
      </c>
      <c r="R78" s="22" t="s">
        <v>45</v>
      </c>
      <c r="S78" s="22" t="s">
        <v>45</v>
      </c>
      <c r="T78" s="22" t="s">
        <v>2002</v>
      </c>
      <c r="U78" s="22" t="s">
        <v>45</v>
      </c>
      <c r="V78" s="22" t="s">
        <v>45</v>
      </c>
      <c r="W78" s="22" t="s">
        <v>5160</v>
      </c>
    </row>
    <row r="79" ht="45.0" customHeight="1">
      <c r="A79" s="55" t="s">
        <v>388</v>
      </c>
      <c r="B79" s="62" t="s">
        <v>5161</v>
      </c>
      <c r="C79" s="22" t="str">
        <f>IMAGE("https://raw.githubusercontent.com/ltdimages/images/refs/heads/main/ClothTopslongBoxDressLongGothic_00.png")</f>
        <v/>
      </c>
      <c r="D79" s="22" t="str">
        <f>IMAGE("https://raw.githubusercontent.com/ltdimages/images/refs/heads/main/ClothTopslongBoxDressLongGothic_01.png")</f>
        <v/>
      </c>
      <c r="E79" s="22" t="str">
        <f>IMAGE("https://raw.githubusercontent.com/ltdimages/images/refs/heads/main/ClothTopslongBoxDressLongGothic_02.png")</f>
        <v/>
      </c>
      <c r="F79" s="22" t="str">
        <f>IMAGE("https://raw.githubusercontent.com/ltdimages/images/refs/heads/main/ClothTopslongBoxDressLongGothic_03.png")</f>
        <v/>
      </c>
      <c r="G79" s="22" t="s">
        <v>3095</v>
      </c>
      <c r="H79" s="22" t="s">
        <v>3095</v>
      </c>
      <c r="I79" s="22" t="s">
        <v>3095</v>
      </c>
      <c r="J79" s="22" t="s">
        <v>3095</v>
      </c>
      <c r="K79" s="63" t="s">
        <v>3110</v>
      </c>
      <c r="L79" s="23">
        <v>45.5</v>
      </c>
      <c r="M79" s="22" t="s">
        <v>4231</v>
      </c>
      <c r="N79" s="22" t="s">
        <v>3099</v>
      </c>
      <c r="O79" s="22" t="s">
        <v>45</v>
      </c>
      <c r="P79" s="22" t="s">
        <v>45</v>
      </c>
      <c r="Q79" s="22" t="s">
        <v>45</v>
      </c>
      <c r="R79" s="22" t="s">
        <v>45</v>
      </c>
      <c r="S79" s="22" t="s">
        <v>45</v>
      </c>
      <c r="T79" s="22" t="s">
        <v>2002</v>
      </c>
      <c r="U79" s="22" t="s">
        <v>45</v>
      </c>
      <c r="V79" s="22" t="s">
        <v>45</v>
      </c>
      <c r="W79" s="22" t="s">
        <v>5162</v>
      </c>
    </row>
    <row r="80" ht="45.0" customHeight="1">
      <c r="A80" s="55" t="s">
        <v>392</v>
      </c>
      <c r="B80" s="62" t="s">
        <v>4453</v>
      </c>
      <c r="C80" s="22" t="str">
        <f>IMAGE("https://raw.githubusercontent.com/ltdimages/images/refs/heads/main/ClothTopslongDressLongStrap_00.png")</f>
        <v/>
      </c>
      <c r="D80" s="22" t="str">
        <f>IMAGE("https://raw.githubusercontent.com/ltdimages/images/refs/heads/main/ClothTopslongDressLongStrap_01.png")</f>
        <v/>
      </c>
      <c r="E80" s="22" t="str">
        <f>IMAGE("https://raw.githubusercontent.com/ltdimages/images/refs/heads/main/ClothTopslongDressLongStrap_02.png")</f>
        <v/>
      </c>
      <c r="F80" s="22" t="str">
        <f>IMAGE("https://raw.githubusercontent.com/ltdimages/images/refs/heads/main/ClothTopslongDressLongStrap_03.png")</f>
        <v/>
      </c>
      <c r="G80" s="22" t="str">
        <f>IMAGE("https://raw.githubusercontent.com/ltdimages/images/refs/heads/main/ClothTopslongDressLongStrap_04.png")</f>
        <v/>
      </c>
      <c r="H80" s="22" t="str">
        <f>IMAGE("https://raw.githubusercontent.com/ltdimages/images/refs/heads/main/ClothTopslongDressLongStrap_05.png")</f>
        <v/>
      </c>
      <c r="I80" s="22" t="str">
        <f>IMAGE("https://raw.githubusercontent.com/ltdimages/images/refs/heads/main/ClothTopslongDressLongStrap_06.png")</f>
        <v/>
      </c>
      <c r="J80" s="22" t="str">
        <f>IMAGE("https://raw.githubusercontent.com/ltdimages/images/refs/heads/main/ClothTopslongDressLongStrap_07.png")</f>
        <v/>
      </c>
      <c r="K80" s="63" t="s">
        <v>3110</v>
      </c>
      <c r="L80" s="23">
        <v>32.0</v>
      </c>
      <c r="M80" s="22" t="s">
        <v>4231</v>
      </c>
      <c r="N80" s="22" t="s">
        <v>3099</v>
      </c>
      <c r="O80" s="22" t="s">
        <v>45</v>
      </c>
      <c r="P80" s="22" t="s">
        <v>45</v>
      </c>
      <c r="Q80" s="22" t="s">
        <v>45</v>
      </c>
      <c r="R80" s="22" t="s">
        <v>45</v>
      </c>
      <c r="S80" s="22" t="s">
        <v>45</v>
      </c>
      <c r="T80" s="22" t="s">
        <v>2002</v>
      </c>
      <c r="U80" s="22" t="s">
        <v>45</v>
      </c>
      <c r="V80" s="22" t="s">
        <v>45</v>
      </c>
      <c r="W80" s="22" t="s">
        <v>5163</v>
      </c>
    </row>
    <row r="81" ht="45.0" customHeight="1">
      <c r="A81" s="55" t="s">
        <v>396</v>
      </c>
      <c r="B81" s="62" t="s">
        <v>3633</v>
      </c>
      <c r="C81" s="22" t="str">
        <f>IMAGE("https://raw.githubusercontent.com/ltdimages/images/refs/heads/main/ClothTopslongAlineSleevelessChristmas_00.png")</f>
        <v/>
      </c>
      <c r="D81" s="22" t="s">
        <v>3095</v>
      </c>
      <c r="E81" s="22" t="s">
        <v>3095</v>
      </c>
      <c r="F81" s="22" t="s">
        <v>3095</v>
      </c>
      <c r="G81" s="22" t="s">
        <v>3095</v>
      </c>
      <c r="H81" s="22" t="s">
        <v>3095</v>
      </c>
      <c r="I81" s="22" t="s">
        <v>3095</v>
      </c>
      <c r="J81" s="22" t="s">
        <v>3095</v>
      </c>
      <c r="K81" s="63" t="s">
        <v>3110</v>
      </c>
      <c r="L81" s="23">
        <v>35.0</v>
      </c>
      <c r="M81" s="22" t="s">
        <v>4231</v>
      </c>
      <c r="N81" s="22" t="s">
        <v>3114</v>
      </c>
      <c r="O81" s="22" t="s">
        <v>45</v>
      </c>
      <c r="P81" s="22" t="s">
        <v>45</v>
      </c>
      <c r="Q81" s="22" t="s">
        <v>45</v>
      </c>
      <c r="R81" s="22" t="s">
        <v>49</v>
      </c>
      <c r="S81" s="22" t="s">
        <v>45</v>
      </c>
      <c r="T81" s="22" t="s">
        <v>2002</v>
      </c>
      <c r="U81" s="22" t="s">
        <v>45</v>
      </c>
      <c r="V81" s="22" t="s">
        <v>45</v>
      </c>
      <c r="W81" s="22" t="s">
        <v>5164</v>
      </c>
    </row>
    <row r="82" ht="45.0" customHeight="1">
      <c r="A82" s="55" t="s">
        <v>400</v>
      </c>
      <c r="B82" s="62" t="s">
        <v>5165</v>
      </c>
      <c r="C82" s="22" t="str">
        <f>IMAGE("https://raw.githubusercontent.com/ltdimages/images/refs/heads/main/ClothTopslongBoxDressLongParka_00.png")</f>
        <v/>
      </c>
      <c r="D82" s="22" t="str">
        <f>IMAGE("https://raw.githubusercontent.com/ltdimages/images/refs/heads/main/ClothTopslongBoxDressLongParka_01.png")</f>
        <v/>
      </c>
      <c r="E82" s="22" t="str">
        <f>IMAGE("https://raw.githubusercontent.com/ltdimages/images/refs/heads/main/ClothTopslongBoxDressLongParka_02.png")</f>
        <v/>
      </c>
      <c r="F82" s="22" t="str">
        <f>IMAGE("https://raw.githubusercontent.com/ltdimages/images/refs/heads/main/ClothTopslongBoxDressLongParka_03.png")</f>
        <v/>
      </c>
      <c r="G82" s="22" t="str">
        <f>IMAGE("https://raw.githubusercontent.com/ltdimages/images/refs/heads/main/ClothTopslongBoxDressLongParka_04.png")</f>
        <v/>
      </c>
      <c r="H82" s="22" t="str">
        <f>IMAGE("https://raw.githubusercontent.com/ltdimages/images/refs/heads/main/ClothTopslongBoxDressLongParka_05.png")</f>
        <v/>
      </c>
      <c r="I82" s="22" t="str">
        <f>IMAGE("https://raw.githubusercontent.com/ltdimages/images/refs/heads/main/ClothTopslongBoxDressLongParka_06.png")</f>
        <v/>
      </c>
      <c r="J82" s="22" t="str">
        <f>IMAGE("https://raw.githubusercontent.com/ltdimages/images/refs/heads/main/ClothTopslongBoxDressLongParka_07.png")</f>
        <v/>
      </c>
      <c r="K82" s="63" t="s">
        <v>3110</v>
      </c>
      <c r="L82" s="23">
        <v>22.0</v>
      </c>
      <c r="M82" s="22" t="s">
        <v>4231</v>
      </c>
      <c r="N82" s="22" t="s">
        <v>3099</v>
      </c>
      <c r="O82" s="22" t="s">
        <v>45</v>
      </c>
      <c r="P82" s="22" t="s">
        <v>45</v>
      </c>
      <c r="Q82" s="22" t="s">
        <v>45</v>
      </c>
      <c r="R82" s="22" t="s">
        <v>45</v>
      </c>
      <c r="S82" s="22" t="s">
        <v>45</v>
      </c>
      <c r="T82" s="22" t="s">
        <v>2002</v>
      </c>
      <c r="U82" s="22" t="s">
        <v>45</v>
      </c>
      <c r="V82" s="22" t="s">
        <v>45</v>
      </c>
      <c r="W82" s="22" t="s">
        <v>5166</v>
      </c>
    </row>
    <row r="83" ht="45.0" customHeight="1">
      <c r="A83" s="55" t="s">
        <v>404</v>
      </c>
      <c r="B83" s="62" t="s">
        <v>4458</v>
      </c>
      <c r="C83" s="22" t="str">
        <f>IMAGE("https://raw.githubusercontent.com/ltdimages/images/refs/heads/main/ClothTopslongBoxDressLongChidori_00.png")</f>
        <v/>
      </c>
      <c r="D83" s="22" t="str">
        <f>IMAGE("https://raw.githubusercontent.com/ltdimages/images/refs/heads/main/ClothTopslongBoxDressLongChidori_01.png")</f>
        <v/>
      </c>
      <c r="E83" s="22" t="str">
        <f>IMAGE("https://raw.githubusercontent.com/ltdimages/images/refs/heads/main/ClothTopslongBoxDressLongChidori_02.png")</f>
        <v/>
      </c>
      <c r="F83" s="22" t="str">
        <f>IMAGE("https://raw.githubusercontent.com/ltdimages/images/refs/heads/main/ClothTopslongBoxDressLongChidori_03.png")</f>
        <v/>
      </c>
      <c r="G83" s="22" t="str">
        <f>IMAGE("https://raw.githubusercontent.com/ltdimages/images/refs/heads/main/ClothTopslongBoxDressLongChidori_04.png")</f>
        <v/>
      </c>
      <c r="H83" s="22" t="str">
        <f>IMAGE("https://raw.githubusercontent.com/ltdimages/images/refs/heads/main/ClothTopslongBoxDressLongChidori_05.png")</f>
        <v/>
      </c>
      <c r="I83" s="22" t="s">
        <v>3095</v>
      </c>
      <c r="J83" s="22" t="s">
        <v>3095</v>
      </c>
      <c r="K83" s="63" t="s">
        <v>3110</v>
      </c>
      <c r="L83" s="23">
        <v>31.0</v>
      </c>
      <c r="M83" s="22" t="s">
        <v>4231</v>
      </c>
      <c r="N83" s="22" t="s">
        <v>3099</v>
      </c>
      <c r="O83" s="22" t="s">
        <v>45</v>
      </c>
      <c r="P83" s="22" t="s">
        <v>45</v>
      </c>
      <c r="Q83" s="22" t="s">
        <v>45</v>
      </c>
      <c r="R83" s="22" t="s">
        <v>45</v>
      </c>
      <c r="S83" s="22" t="s">
        <v>45</v>
      </c>
      <c r="T83" s="22" t="s">
        <v>2002</v>
      </c>
      <c r="U83" s="22" t="s">
        <v>45</v>
      </c>
      <c r="V83" s="22" t="s">
        <v>45</v>
      </c>
      <c r="W83" s="22" t="s">
        <v>5167</v>
      </c>
    </row>
    <row r="84" ht="45.0" customHeight="1">
      <c r="A84" s="55" t="s">
        <v>410</v>
      </c>
      <c r="B84" s="62" t="s">
        <v>4467</v>
      </c>
      <c r="C84" s="22" t="str">
        <f>IMAGE("https://raw.githubusercontent.com/ltdimages/images/refs/heads/main/ClothTopslongBoxDressLongKnit_00.png")</f>
        <v/>
      </c>
      <c r="D84" s="22" t="str">
        <f>IMAGE("https://raw.githubusercontent.com/ltdimages/images/refs/heads/main/ClothTopslongBoxDressLongKnit_01.png")</f>
        <v/>
      </c>
      <c r="E84" s="22" t="str">
        <f>IMAGE("https://raw.githubusercontent.com/ltdimages/images/refs/heads/main/ClothTopslongBoxDressLongKnit_02.png")</f>
        <v/>
      </c>
      <c r="F84" s="22" t="str">
        <f>IMAGE("https://raw.githubusercontent.com/ltdimages/images/refs/heads/main/ClothTopslongBoxDressLongKnit_03.png")</f>
        <v/>
      </c>
      <c r="G84" s="22" t="str">
        <f>IMAGE("https://raw.githubusercontent.com/ltdimages/images/refs/heads/main/ClothTopslongBoxDressLongKnit_04.png")</f>
        <v/>
      </c>
      <c r="H84" s="22" t="str">
        <f>IMAGE("https://raw.githubusercontent.com/ltdimages/images/refs/heads/main/ClothTopslongBoxDressLongKnit_05.png")</f>
        <v/>
      </c>
      <c r="I84" s="22" t="str">
        <f>IMAGE("https://raw.githubusercontent.com/ltdimages/images/refs/heads/main/ClothTopslongBoxDressLongKnit_06.png")</f>
        <v/>
      </c>
      <c r="J84" s="22" t="str">
        <f>IMAGE("https://raw.githubusercontent.com/ltdimages/images/refs/heads/main/ClothTopslongBoxDressLongKnit_07.png")</f>
        <v/>
      </c>
      <c r="K84" s="63" t="s">
        <v>3110</v>
      </c>
      <c r="L84" s="23">
        <v>28.0</v>
      </c>
      <c r="M84" s="22" t="s">
        <v>4231</v>
      </c>
      <c r="N84" s="22" t="s">
        <v>3114</v>
      </c>
      <c r="O84" s="22" t="s">
        <v>45</v>
      </c>
      <c r="P84" s="22" t="s">
        <v>45</v>
      </c>
      <c r="Q84" s="22" t="s">
        <v>45</v>
      </c>
      <c r="R84" s="22" t="s">
        <v>45</v>
      </c>
      <c r="S84" s="22" t="s">
        <v>45</v>
      </c>
      <c r="T84" s="22" t="s">
        <v>2002</v>
      </c>
      <c r="U84" s="22" t="s">
        <v>45</v>
      </c>
      <c r="V84" s="22" t="s">
        <v>45</v>
      </c>
      <c r="W84" s="22" t="s">
        <v>5168</v>
      </c>
    </row>
    <row r="85" ht="45.0" customHeight="1">
      <c r="A85" s="55" t="s">
        <v>414</v>
      </c>
      <c r="B85" s="62" t="s">
        <v>4471</v>
      </c>
      <c r="C85" s="22" t="str">
        <f>IMAGE("https://raw.githubusercontent.com/ltdimages/images/refs/heads/main/ClothTopslongAlongHalfLace_00.png")</f>
        <v/>
      </c>
      <c r="D85" s="22" t="str">
        <f>IMAGE("https://raw.githubusercontent.com/ltdimages/images/refs/heads/main/ClothTopslongAlongHalfLace_01.png")</f>
        <v/>
      </c>
      <c r="E85" s="22" t="str">
        <f>IMAGE("https://raw.githubusercontent.com/ltdimages/images/refs/heads/main/ClothTopslongAlongHalfLace_02.png")</f>
        <v/>
      </c>
      <c r="F85" s="22" t="str">
        <f>IMAGE("https://raw.githubusercontent.com/ltdimages/images/refs/heads/main/ClothTopslongAlongHalfLace_03.png")</f>
        <v/>
      </c>
      <c r="G85" s="22" t="str">
        <f>IMAGE("https://raw.githubusercontent.com/ltdimages/images/refs/heads/main/ClothTopslongAlongHalfLace_04.png")</f>
        <v/>
      </c>
      <c r="H85" s="22" t="str">
        <f>IMAGE("https://raw.githubusercontent.com/ltdimages/images/refs/heads/main/ClothTopslongAlongHalfLace_05.png")</f>
        <v/>
      </c>
      <c r="I85" s="22" t="str">
        <f>IMAGE("https://raw.githubusercontent.com/ltdimages/images/refs/heads/main/ClothTopslongAlongHalfLace_06.png")</f>
        <v/>
      </c>
      <c r="J85" s="22" t="str">
        <f>IMAGE("https://raw.githubusercontent.com/ltdimages/images/refs/heads/main/ClothTopslongAlongHalfLace_07.png")</f>
        <v/>
      </c>
      <c r="K85" s="63" t="s">
        <v>3110</v>
      </c>
      <c r="L85" s="23">
        <v>25.0</v>
      </c>
      <c r="M85" s="22" t="s">
        <v>4231</v>
      </c>
      <c r="N85" s="22" t="s">
        <v>3099</v>
      </c>
      <c r="O85" s="22" t="s">
        <v>45</v>
      </c>
      <c r="P85" s="22" t="s">
        <v>45</v>
      </c>
      <c r="Q85" s="22" t="s">
        <v>45</v>
      </c>
      <c r="R85" s="22" t="s">
        <v>45</v>
      </c>
      <c r="S85" s="22" t="s">
        <v>45</v>
      </c>
      <c r="T85" s="22" t="s">
        <v>2002</v>
      </c>
      <c r="U85" s="22" t="s">
        <v>45</v>
      </c>
      <c r="V85" s="22" t="s">
        <v>45</v>
      </c>
      <c r="W85" s="22" t="s">
        <v>5169</v>
      </c>
    </row>
    <row r="86" ht="45.0" customHeight="1">
      <c r="A86" s="55" t="s">
        <v>418</v>
      </c>
      <c r="B86" s="62" t="s">
        <v>4479</v>
      </c>
      <c r="C86" s="22" t="str">
        <f>IMAGE("https://raw.githubusercontent.com/ltdimages/images/refs/heads/main/ClothTopslongBoxDressLongDenim_00.png")</f>
        <v/>
      </c>
      <c r="D86" s="22" t="str">
        <f>IMAGE("https://raw.githubusercontent.com/ltdimages/images/refs/heads/main/ClothTopslongBoxDressLongDenim_01.png")</f>
        <v/>
      </c>
      <c r="E86" s="22" t="str">
        <f>IMAGE("https://raw.githubusercontent.com/ltdimages/images/refs/heads/main/ClothTopslongBoxDressLongDenim_02.png")</f>
        <v/>
      </c>
      <c r="F86" s="22" t="str">
        <f>IMAGE("https://raw.githubusercontent.com/ltdimages/images/refs/heads/main/ClothTopslongBoxDressLongDenim_03.png")</f>
        <v/>
      </c>
      <c r="G86" s="22" t="s">
        <v>3095</v>
      </c>
      <c r="H86" s="22" t="s">
        <v>3095</v>
      </c>
      <c r="I86" s="22" t="s">
        <v>3095</v>
      </c>
      <c r="J86" s="22" t="s">
        <v>3095</v>
      </c>
      <c r="K86" s="63" t="s">
        <v>3110</v>
      </c>
      <c r="L86" s="23">
        <v>29.0</v>
      </c>
      <c r="M86" s="22" t="s">
        <v>4231</v>
      </c>
      <c r="N86" s="22" t="s">
        <v>3099</v>
      </c>
      <c r="O86" s="22" t="s">
        <v>45</v>
      </c>
      <c r="P86" s="22" t="s">
        <v>45</v>
      </c>
      <c r="Q86" s="22" t="s">
        <v>45</v>
      </c>
      <c r="R86" s="22" t="s">
        <v>45</v>
      </c>
      <c r="S86" s="22" t="s">
        <v>45</v>
      </c>
      <c r="T86" s="22" t="s">
        <v>2002</v>
      </c>
      <c r="U86" s="22" t="s">
        <v>45</v>
      </c>
      <c r="V86" s="22" t="s">
        <v>45</v>
      </c>
      <c r="W86" s="22" t="s">
        <v>5170</v>
      </c>
    </row>
    <row r="87" ht="45.0" customHeight="1">
      <c r="A87" s="55" t="s">
        <v>422</v>
      </c>
      <c r="B87" s="62" t="s">
        <v>5171</v>
      </c>
      <c r="C87" s="22" t="str">
        <f>IMAGE("https://raw.githubusercontent.com/ltdimages/images/refs/heads/main/ClothTopslongAlongLongJumperSkirt_00.png")</f>
        <v/>
      </c>
      <c r="D87" s="22" t="str">
        <f>IMAGE("https://raw.githubusercontent.com/ltdimages/images/refs/heads/main/ClothTopslongAlongLongJumperSkirt_01.png")</f>
        <v/>
      </c>
      <c r="E87" s="22" t="str">
        <f>IMAGE("https://raw.githubusercontent.com/ltdimages/images/refs/heads/main/ClothTopslongAlongLongJumperSkirt_02.png")</f>
        <v/>
      </c>
      <c r="F87" s="22" t="str">
        <f>IMAGE("https://raw.githubusercontent.com/ltdimages/images/refs/heads/main/ClothTopslongAlongLongJumperSkirt_03.png")</f>
        <v/>
      </c>
      <c r="G87" s="22" t="str">
        <f>IMAGE("https://raw.githubusercontent.com/ltdimages/images/refs/heads/main/ClothTopslongAlongLongJumperSkirt_04.png")</f>
        <v/>
      </c>
      <c r="H87" s="22" t="str">
        <f>IMAGE("https://raw.githubusercontent.com/ltdimages/images/refs/heads/main/ClothTopslongAlongLongJumperSkirt_05.png")</f>
        <v/>
      </c>
      <c r="I87" s="22" t="s">
        <v>3095</v>
      </c>
      <c r="J87" s="22" t="s">
        <v>3095</v>
      </c>
      <c r="K87" s="63" t="s">
        <v>3110</v>
      </c>
      <c r="L87" s="23">
        <v>25.0</v>
      </c>
      <c r="M87" s="22" t="s">
        <v>4231</v>
      </c>
      <c r="N87" s="22" t="s">
        <v>3099</v>
      </c>
      <c r="O87" s="22" t="s">
        <v>45</v>
      </c>
      <c r="P87" s="22" t="s">
        <v>45</v>
      </c>
      <c r="Q87" s="22" t="s">
        <v>45</v>
      </c>
      <c r="R87" s="22" t="s">
        <v>45</v>
      </c>
      <c r="S87" s="22" t="s">
        <v>45</v>
      </c>
      <c r="T87" s="22" t="s">
        <v>2002</v>
      </c>
      <c r="U87" s="22" t="s">
        <v>45</v>
      </c>
      <c r="V87" s="22" t="s">
        <v>45</v>
      </c>
      <c r="W87" s="22" t="s">
        <v>5172</v>
      </c>
    </row>
    <row r="88" ht="45.0" customHeight="1">
      <c r="A88" s="55" t="s">
        <v>426</v>
      </c>
      <c r="B88" s="62" t="s">
        <v>5173</v>
      </c>
      <c r="C88" s="22" t="str">
        <f>IMAGE("https://raw.githubusercontent.com/ltdimages/images/refs/heads/main/ClothTopslongBoxDressLongGown_00.png")</f>
        <v/>
      </c>
      <c r="D88" s="22" t="str">
        <f>IMAGE("https://raw.githubusercontent.com/ltdimages/images/refs/heads/main/ClothTopslongBoxDressLongGown_01.png")</f>
        <v/>
      </c>
      <c r="E88" s="22" t="str">
        <f>IMAGE("https://raw.githubusercontent.com/ltdimages/images/refs/heads/main/ClothTopslongBoxDressLongGown_02.png")</f>
        <v/>
      </c>
      <c r="F88" s="22" t="str">
        <f>IMAGE("https://raw.githubusercontent.com/ltdimages/images/refs/heads/main/ClothTopslongBoxDressLongGown_03.png")</f>
        <v/>
      </c>
      <c r="G88" s="22" t="str">
        <f>IMAGE("https://raw.githubusercontent.com/ltdimages/images/refs/heads/main/ClothTopslongBoxDressLongGown_04.png")</f>
        <v/>
      </c>
      <c r="H88" s="22" t="str">
        <f>IMAGE("https://raw.githubusercontent.com/ltdimages/images/refs/heads/main/ClothTopslongBoxDressLongGown_05.png")</f>
        <v/>
      </c>
      <c r="I88" s="22" t="s">
        <v>3095</v>
      </c>
      <c r="J88" s="22" t="s">
        <v>3095</v>
      </c>
      <c r="K88" s="63" t="s">
        <v>3110</v>
      </c>
      <c r="L88" s="23">
        <v>27.7</v>
      </c>
      <c r="M88" s="22" t="s">
        <v>4231</v>
      </c>
      <c r="N88" s="22" t="s">
        <v>3114</v>
      </c>
      <c r="O88" s="22" t="s">
        <v>45</v>
      </c>
      <c r="P88" s="22" t="s">
        <v>45</v>
      </c>
      <c r="Q88" s="22" t="s">
        <v>45</v>
      </c>
      <c r="R88" s="22" t="s">
        <v>45</v>
      </c>
      <c r="S88" s="22" t="s">
        <v>45</v>
      </c>
      <c r="T88" s="22" t="s">
        <v>2002</v>
      </c>
      <c r="U88" s="22" t="s">
        <v>45</v>
      </c>
      <c r="V88" s="22" t="s">
        <v>45</v>
      </c>
      <c r="W88" s="22" t="s">
        <v>5174</v>
      </c>
    </row>
    <row r="89" ht="45.0" customHeight="1">
      <c r="A89" s="55" t="s">
        <v>430</v>
      </c>
      <c r="B89" s="62" t="s">
        <v>4496</v>
      </c>
      <c r="C89" s="22" t="str">
        <f>IMAGE("https://raw.githubusercontent.com/ltdimages/images/refs/heads/main/ClothTopslongDressHalfMagical_00.png")</f>
        <v/>
      </c>
      <c r="D89" s="22" t="str">
        <f>IMAGE("https://raw.githubusercontent.com/ltdimages/images/refs/heads/main/ClothTopslongDressHalfMagical_01.png")</f>
        <v/>
      </c>
      <c r="E89" s="22" t="str">
        <f>IMAGE("https://raw.githubusercontent.com/ltdimages/images/refs/heads/main/ClothTopslongDressHalfMagical_02.png")</f>
        <v/>
      </c>
      <c r="F89" s="22" t="str">
        <f>IMAGE("https://raw.githubusercontent.com/ltdimages/images/refs/heads/main/ClothTopslongDressHalfMagical_03.png")</f>
        <v/>
      </c>
      <c r="G89" s="22" t="str">
        <f>IMAGE("https://raw.githubusercontent.com/ltdimages/images/refs/heads/main/ClothTopslongDressHalfMagical_04.png")</f>
        <v/>
      </c>
      <c r="H89" s="22" t="str">
        <f>IMAGE("https://raw.githubusercontent.com/ltdimages/images/refs/heads/main/ClothTopslongDressHalfMagical_05.png")</f>
        <v/>
      </c>
      <c r="I89" s="22" t="str">
        <f>IMAGE("https://raw.githubusercontent.com/ltdimages/images/refs/heads/main/ClothTopslongDressHalfMagical_06.png")</f>
        <v/>
      </c>
      <c r="J89" s="22" t="str">
        <f>IMAGE("https://raw.githubusercontent.com/ltdimages/images/refs/heads/main/ClothTopslongDressHalfMagical_07.png")</f>
        <v/>
      </c>
      <c r="K89" s="63" t="s">
        <v>3110</v>
      </c>
      <c r="L89" s="23">
        <v>50.0</v>
      </c>
      <c r="M89" s="22" t="s">
        <v>4231</v>
      </c>
      <c r="N89" s="22" t="s">
        <v>3099</v>
      </c>
      <c r="O89" s="22" t="s">
        <v>45</v>
      </c>
      <c r="P89" s="22" t="s">
        <v>45</v>
      </c>
      <c r="Q89" s="22" t="s">
        <v>45</v>
      </c>
      <c r="R89" s="22" t="s">
        <v>49</v>
      </c>
      <c r="S89" s="22" t="s">
        <v>45</v>
      </c>
      <c r="T89" s="22" t="s">
        <v>2002</v>
      </c>
      <c r="U89" s="22" t="s">
        <v>45</v>
      </c>
      <c r="V89" s="22" t="s">
        <v>45</v>
      </c>
      <c r="W89" s="22" t="s">
        <v>5175</v>
      </c>
    </row>
    <row r="90" ht="45.0" customHeight="1">
      <c r="A90" s="55" t="s">
        <v>434</v>
      </c>
      <c r="B90" s="62" t="s">
        <v>4502</v>
      </c>
      <c r="C90" s="22" t="str">
        <f>IMAGE("https://raw.githubusercontent.com/ltdimages/images/refs/heads/main/ClothTopslongDressHalfMaid_00.png")</f>
        <v/>
      </c>
      <c r="D90" s="22" t="str">
        <f>IMAGE("https://raw.githubusercontent.com/ltdimages/images/refs/heads/main/ClothTopslongDressHalfMaid_01.png")</f>
        <v/>
      </c>
      <c r="E90" s="22" t="str">
        <f>IMAGE("https://raw.githubusercontent.com/ltdimages/images/refs/heads/main/ClothTopslongDressHalfMaid_02.png")</f>
        <v/>
      </c>
      <c r="F90" s="22" t="str">
        <f>IMAGE("https://raw.githubusercontent.com/ltdimages/images/refs/heads/main/ClothTopslongDressHalfMaid_03.png")</f>
        <v/>
      </c>
      <c r="G90" s="22" t="str">
        <f>IMAGE("https://raw.githubusercontent.com/ltdimages/images/refs/heads/main/ClothTopslongDressHalfMaid_04.png")</f>
        <v/>
      </c>
      <c r="H90" s="22" t="str">
        <f>IMAGE("https://raw.githubusercontent.com/ltdimages/images/refs/heads/main/ClothTopslongDressHalfMaid_05.png")</f>
        <v/>
      </c>
      <c r="I90" s="22" t="s">
        <v>3095</v>
      </c>
      <c r="J90" s="22" t="s">
        <v>3095</v>
      </c>
      <c r="K90" s="63" t="s">
        <v>3110</v>
      </c>
      <c r="L90" s="23">
        <v>45.0</v>
      </c>
      <c r="M90" s="22" t="s">
        <v>4231</v>
      </c>
      <c r="N90" s="22" t="s">
        <v>3099</v>
      </c>
      <c r="O90" s="22" t="s">
        <v>45</v>
      </c>
      <c r="P90" s="22" t="s">
        <v>45</v>
      </c>
      <c r="Q90" s="22" t="s">
        <v>45</v>
      </c>
      <c r="R90" s="22" t="s">
        <v>49</v>
      </c>
      <c r="S90" s="22" t="s">
        <v>45</v>
      </c>
      <c r="T90" s="22" t="s">
        <v>2002</v>
      </c>
      <c r="U90" s="22" t="s">
        <v>45</v>
      </c>
      <c r="V90" s="22" t="s">
        <v>45</v>
      </c>
      <c r="W90" s="22" t="s">
        <v>5176</v>
      </c>
    </row>
    <row r="91" ht="45.0" customHeight="1">
      <c r="A91" s="55" t="s">
        <v>438</v>
      </c>
      <c r="B91" s="62" t="s">
        <v>5177</v>
      </c>
      <c r="C91" s="22" t="str">
        <f>IMAGE("https://raw.githubusercontent.com/ltdimages/images/refs/heads/main/ClothTopslongAlongSleevelessMermaid_00.png")</f>
        <v/>
      </c>
      <c r="D91" s="22" t="str">
        <f>IMAGE("https://raw.githubusercontent.com/ltdimages/images/refs/heads/main/ClothTopslongAlongSleevelessMermaid_01.png")</f>
        <v/>
      </c>
      <c r="E91" s="22" t="str">
        <f>IMAGE("https://raw.githubusercontent.com/ltdimages/images/refs/heads/main/ClothTopslongAlongSleevelessMermaid_02.png")</f>
        <v/>
      </c>
      <c r="F91" s="22" t="str">
        <f>IMAGE("https://raw.githubusercontent.com/ltdimages/images/refs/heads/main/ClothTopslongAlongSleevelessMermaid_03.png")</f>
        <v/>
      </c>
      <c r="G91" s="22" t="str">
        <f>IMAGE("https://raw.githubusercontent.com/ltdimages/images/refs/heads/main/ClothTopslongAlongSleevelessMermaid_04.png")</f>
        <v/>
      </c>
      <c r="H91" s="22" t="str">
        <f>IMAGE("https://raw.githubusercontent.com/ltdimages/images/refs/heads/main/ClothTopslongAlongSleevelessMermaid_05.png")</f>
        <v/>
      </c>
      <c r="I91" s="22" t="str">
        <f>IMAGE("https://raw.githubusercontent.com/ltdimages/images/refs/heads/main/ClothTopslongAlongSleevelessMermaid_06.png")</f>
        <v/>
      </c>
      <c r="J91" s="22" t="str">
        <f>IMAGE("https://raw.githubusercontent.com/ltdimages/images/refs/heads/main/ClothTopslongAlongSleevelessMermaid_07.png")</f>
        <v/>
      </c>
      <c r="K91" s="63" t="s">
        <v>3110</v>
      </c>
      <c r="L91" s="23">
        <v>43.0</v>
      </c>
      <c r="M91" s="22" t="s">
        <v>4231</v>
      </c>
      <c r="N91" s="22" t="s">
        <v>3123</v>
      </c>
      <c r="O91" s="22" t="s">
        <v>45</v>
      </c>
      <c r="P91" s="22" t="s">
        <v>45</v>
      </c>
      <c r="Q91" s="22" t="s">
        <v>45</v>
      </c>
      <c r="R91" s="22" t="s">
        <v>49</v>
      </c>
      <c r="S91" s="22" t="s">
        <v>45</v>
      </c>
      <c r="T91" s="22" t="s">
        <v>2002</v>
      </c>
      <c r="U91" s="22" t="s">
        <v>45</v>
      </c>
      <c r="V91" s="22" t="s">
        <v>45</v>
      </c>
      <c r="W91" s="22" t="s">
        <v>5178</v>
      </c>
    </row>
    <row r="92" ht="45.0" customHeight="1">
      <c r="A92" s="55" t="s">
        <v>442</v>
      </c>
      <c r="B92" s="62" t="s">
        <v>4301</v>
      </c>
      <c r="C92" s="22" t="str">
        <f>IMAGE("https://raw.githubusercontent.com/ltdimages/images/refs/heads/main/ClothTopslongAlineSleevelessMonogram_00.png")</f>
        <v/>
      </c>
      <c r="D92" s="22" t="str">
        <f>IMAGE("https://raw.githubusercontent.com/ltdimages/images/refs/heads/main/ClothTopslongAlineSleevelessMonogram_01.png")</f>
        <v/>
      </c>
      <c r="E92" s="22" t="str">
        <f>IMAGE("https://raw.githubusercontent.com/ltdimages/images/refs/heads/main/ClothTopslongAlineSleevelessMonogram_02.png")</f>
        <v/>
      </c>
      <c r="F92" s="22" t="str">
        <f>IMAGE("https://raw.githubusercontent.com/ltdimages/images/refs/heads/main/ClothTopslongAlineSleevelessMonogram_03.png")</f>
        <v/>
      </c>
      <c r="G92" s="22" t="str">
        <f>IMAGE("https://raw.githubusercontent.com/ltdimages/images/refs/heads/main/ClothTopslongAlineSleevelessMonogram_04.png")</f>
        <v/>
      </c>
      <c r="H92" s="22" t="str">
        <f>IMAGE("https://raw.githubusercontent.com/ltdimages/images/refs/heads/main/ClothTopslongAlineSleevelessMonogram_05.png")</f>
        <v/>
      </c>
      <c r="I92" s="22" t="s">
        <v>3095</v>
      </c>
      <c r="J92" s="22" t="s">
        <v>3095</v>
      </c>
      <c r="K92" s="63" t="s">
        <v>3110</v>
      </c>
      <c r="L92" s="23">
        <v>37.0</v>
      </c>
      <c r="M92" s="22" t="s">
        <v>4231</v>
      </c>
      <c r="N92" s="22" t="s">
        <v>3123</v>
      </c>
      <c r="O92" s="22" t="s">
        <v>45</v>
      </c>
      <c r="P92" s="22" t="s">
        <v>45</v>
      </c>
      <c r="Q92" s="22" t="s">
        <v>45</v>
      </c>
      <c r="R92" s="22" t="s">
        <v>45</v>
      </c>
      <c r="S92" s="22" t="s">
        <v>45</v>
      </c>
      <c r="T92" s="22" t="s">
        <v>2002</v>
      </c>
      <c r="U92" s="22" t="s">
        <v>45</v>
      </c>
      <c r="V92" s="22" t="s">
        <v>45</v>
      </c>
      <c r="W92" s="22" t="s">
        <v>5179</v>
      </c>
    </row>
    <row r="93" ht="45.0" customHeight="1">
      <c r="A93" s="55" t="s">
        <v>446</v>
      </c>
      <c r="B93" s="62" t="s">
        <v>4505</v>
      </c>
      <c r="C93" s="22" t="str">
        <f>IMAGE("https://raw.githubusercontent.com/ltdimages/images/refs/heads/main/ClothTopslongKimonoLongYukataMorningGlory_00.png")</f>
        <v/>
      </c>
      <c r="D93" s="22" t="str">
        <f>IMAGE("https://raw.githubusercontent.com/ltdimages/images/refs/heads/main/ClothTopslongKimonoLongYukataMorningGlory_01.png")</f>
        <v/>
      </c>
      <c r="E93" s="22" t="str">
        <f>IMAGE("https://raw.githubusercontent.com/ltdimages/images/refs/heads/main/ClothTopslongKimonoLongYukataMorningGlory_02.png")</f>
        <v/>
      </c>
      <c r="F93" s="22" t="str">
        <f>IMAGE("https://raw.githubusercontent.com/ltdimages/images/refs/heads/main/ClothTopslongKimonoLongYukataMorningGlory_03.png")</f>
        <v/>
      </c>
      <c r="G93" s="22" t="s">
        <v>3095</v>
      </c>
      <c r="H93" s="22" t="s">
        <v>3095</v>
      </c>
      <c r="I93" s="22" t="s">
        <v>3095</v>
      </c>
      <c r="J93" s="22" t="s">
        <v>3095</v>
      </c>
      <c r="K93" s="63" t="s">
        <v>3110</v>
      </c>
      <c r="L93" s="23">
        <v>45.0</v>
      </c>
      <c r="M93" s="22" t="s">
        <v>4231</v>
      </c>
      <c r="N93" s="22" t="s">
        <v>3123</v>
      </c>
      <c r="O93" s="22" t="s">
        <v>45</v>
      </c>
      <c r="P93" s="22" t="s">
        <v>45</v>
      </c>
      <c r="Q93" s="22" t="s">
        <v>45</v>
      </c>
      <c r="R93" s="22" t="s">
        <v>45</v>
      </c>
      <c r="S93" s="22" t="s">
        <v>45</v>
      </c>
      <c r="T93" s="22" t="s">
        <v>2002</v>
      </c>
      <c r="U93" s="22" t="s">
        <v>45</v>
      </c>
      <c r="V93" s="22" t="s">
        <v>45</v>
      </c>
      <c r="W93" s="22" t="s">
        <v>5180</v>
      </c>
    </row>
    <row r="94" ht="45.0" customHeight="1">
      <c r="A94" s="55" t="s">
        <v>450</v>
      </c>
      <c r="B94" s="62" t="s">
        <v>5181</v>
      </c>
      <c r="C94" s="22" t="str">
        <f>IMAGE("https://raw.githubusercontent.com/ltdimages/images/refs/heads/main/ClothTopslongAlongSleevelessMultiStripe_00.png")</f>
        <v/>
      </c>
      <c r="D94" s="22" t="str">
        <f>IMAGE("https://raw.githubusercontent.com/ltdimages/images/refs/heads/main/ClothTopslongAlongSleevelessMultiStripe_01.png")</f>
        <v/>
      </c>
      <c r="E94" s="22" t="str">
        <f>IMAGE("https://raw.githubusercontent.com/ltdimages/images/refs/heads/main/ClothTopslongAlongSleevelessMultiStripe_02.png")</f>
        <v/>
      </c>
      <c r="F94" s="22" t="str">
        <f>IMAGE("https://raw.githubusercontent.com/ltdimages/images/refs/heads/main/ClothTopslongAlongSleevelessMultiStripe_03.png")</f>
        <v/>
      </c>
      <c r="G94" s="22" t="str">
        <f>IMAGE("https://raw.githubusercontent.com/ltdimages/images/refs/heads/main/ClothTopslongAlongSleevelessMultiStripe_04.png")</f>
        <v/>
      </c>
      <c r="H94" s="22" t="str">
        <f>IMAGE("https://raw.githubusercontent.com/ltdimages/images/refs/heads/main/ClothTopslongAlongSleevelessMultiStripe_05.png")</f>
        <v/>
      </c>
      <c r="I94" s="22" t="str">
        <f>IMAGE("https://raw.githubusercontent.com/ltdimages/images/refs/heads/main/ClothTopslongAlongSleevelessMultiStripe_06.png")</f>
        <v/>
      </c>
      <c r="J94" s="22" t="str">
        <f>IMAGE("https://raw.githubusercontent.com/ltdimages/images/refs/heads/main/ClothTopslongAlongSleevelessMultiStripe_07.png")</f>
        <v/>
      </c>
      <c r="K94" s="63" t="s">
        <v>3110</v>
      </c>
      <c r="L94" s="23">
        <v>37.0</v>
      </c>
      <c r="M94" s="22" t="s">
        <v>4231</v>
      </c>
      <c r="N94" s="22" t="s">
        <v>3123</v>
      </c>
      <c r="O94" s="22" t="s">
        <v>45</v>
      </c>
      <c r="P94" s="22" t="s">
        <v>45</v>
      </c>
      <c r="Q94" s="22" t="s">
        <v>45</v>
      </c>
      <c r="R94" s="22" t="s">
        <v>45</v>
      </c>
      <c r="S94" s="22" t="s">
        <v>45</v>
      </c>
      <c r="T94" s="22" t="s">
        <v>2002</v>
      </c>
      <c r="U94" s="22" t="s">
        <v>45</v>
      </c>
      <c r="V94" s="22" t="s">
        <v>45</v>
      </c>
      <c r="W94" s="22" t="s">
        <v>5182</v>
      </c>
    </row>
    <row r="95" ht="45.0" customHeight="1">
      <c r="A95" s="55" t="s">
        <v>454</v>
      </c>
      <c r="B95" s="62" t="s">
        <v>4514</v>
      </c>
      <c r="C95" s="22" t="str">
        <f>IMAGE("https://raw.githubusercontent.com/ltdimages/images/refs/heads/main/ClothTopslongAlongLongNatural_00.png")</f>
        <v/>
      </c>
      <c r="D95" s="22" t="str">
        <f>IMAGE("https://raw.githubusercontent.com/ltdimages/images/refs/heads/main/ClothTopslongAlongLongNatural_01.png")</f>
        <v/>
      </c>
      <c r="E95" s="22" t="str">
        <f>IMAGE("https://raw.githubusercontent.com/ltdimages/images/refs/heads/main/ClothTopslongAlongLongNatural_02.png")</f>
        <v/>
      </c>
      <c r="F95" s="22" t="str">
        <f>IMAGE("https://raw.githubusercontent.com/ltdimages/images/refs/heads/main/ClothTopslongAlongLongNatural_03.png")</f>
        <v/>
      </c>
      <c r="G95" s="22" t="str">
        <f>IMAGE("https://raw.githubusercontent.com/ltdimages/images/refs/heads/main/ClothTopslongAlongLongNatural_04.png")</f>
        <v/>
      </c>
      <c r="H95" s="22" t="str">
        <f>IMAGE("https://raw.githubusercontent.com/ltdimages/images/refs/heads/main/ClothTopslongAlongLongNatural_05.png")</f>
        <v/>
      </c>
      <c r="I95" s="22" t="str">
        <f>IMAGE("https://raw.githubusercontent.com/ltdimages/images/refs/heads/main/ClothTopslongAlongLongNatural_06.png")</f>
        <v/>
      </c>
      <c r="J95" s="22" t="str">
        <f>IMAGE("https://raw.githubusercontent.com/ltdimages/images/refs/heads/main/ClothTopslongAlongLongNatural_07.png")</f>
        <v/>
      </c>
      <c r="K95" s="63" t="s">
        <v>3110</v>
      </c>
      <c r="L95" s="23">
        <v>30.0</v>
      </c>
      <c r="M95" s="22" t="s">
        <v>4231</v>
      </c>
      <c r="N95" s="22" t="s">
        <v>3099</v>
      </c>
      <c r="O95" s="22" t="s">
        <v>45</v>
      </c>
      <c r="P95" s="22" t="s">
        <v>45</v>
      </c>
      <c r="Q95" s="22" t="s">
        <v>45</v>
      </c>
      <c r="R95" s="22" t="s">
        <v>45</v>
      </c>
      <c r="S95" s="22" t="s">
        <v>45</v>
      </c>
      <c r="T95" s="22" t="s">
        <v>2002</v>
      </c>
      <c r="U95" s="22" t="s">
        <v>45</v>
      </c>
      <c r="V95" s="22" t="s">
        <v>45</v>
      </c>
      <c r="W95" s="22" t="s">
        <v>5183</v>
      </c>
    </row>
    <row r="96" ht="45.0" customHeight="1">
      <c r="A96" s="55" t="s">
        <v>459</v>
      </c>
      <c r="B96" s="62" t="s">
        <v>5184</v>
      </c>
      <c r="C96" s="22" t="str">
        <f>IMAGE("https://raw.githubusercontent.com/ltdimages/images/refs/heads/main/ClothTopslongAlongHalfNegligee_00.png")</f>
        <v/>
      </c>
      <c r="D96" s="22" t="str">
        <f>IMAGE("https://raw.githubusercontent.com/ltdimages/images/refs/heads/main/ClothTopslongAlongHalfNegligee_01.png")</f>
        <v/>
      </c>
      <c r="E96" s="22" t="str">
        <f>IMAGE("https://raw.githubusercontent.com/ltdimages/images/refs/heads/main/ClothTopslongAlongHalfNegligee_02.png")</f>
        <v/>
      </c>
      <c r="F96" s="22" t="str">
        <f>IMAGE("https://raw.githubusercontent.com/ltdimages/images/refs/heads/main/ClothTopslongAlongHalfNegligee_03.png")</f>
        <v/>
      </c>
      <c r="G96" s="22" t="str">
        <f>IMAGE("https://raw.githubusercontent.com/ltdimages/images/refs/heads/main/ClothTopslongAlongHalfNegligee_04.png")</f>
        <v/>
      </c>
      <c r="H96" s="22" t="str">
        <f>IMAGE("https://raw.githubusercontent.com/ltdimages/images/refs/heads/main/ClothTopslongAlongHalfNegligee_05.png")</f>
        <v/>
      </c>
      <c r="I96" s="22" t="s">
        <v>3095</v>
      </c>
      <c r="J96" s="22" t="s">
        <v>3095</v>
      </c>
      <c r="K96" s="63" t="s">
        <v>3110</v>
      </c>
      <c r="L96" s="23">
        <v>27.0</v>
      </c>
      <c r="M96" s="22" t="s">
        <v>4231</v>
      </c>
      <c r="N96" s="22" t="s">
        <v>3099</v>
      </c>
      <c r="O96" s="22" t="s">
        <v>45</v>
      </c>
      <c r="P96" s="22" t="s">
        <v>45</v>
      </c>
      <c r="Q96" s="22" t="s">
        <v>45</v>
      </c>
      <c r="R96" s="22" t="s">
        <v>45</v>
      </c>
      <c r="S96" s="22" t="s">
        <v>45</v>
      </c>
      <c r="T96" s="22" t="s">
        <v>2002</v>
      </c>
      <c r="U96" s="22" t="s">
        <v>45</v>
      </c>
      <c r="V96" s="22" t="s">
        <v>45</v>
      </c>
      <c r="W96" s="22" t="s">
        <v>5185</v>
      </c>
    </row>
    <row r="97" ht="45.0" customHeight="1">
      <c r="A97" s="55" t="s">
        <v>463</v>
      </c>
      <c r="B97" s="62" t="s">
        <v>4523</v>
      </c>
      <c r="C97" s="22" t="str">
        <f>IMAGE("https://raw.githubusercontent.com/ltdimages/images/refs/heads/main/ClothTopslongBoxDressHalfNurse_00.png")</f>
        <v/>
      </c>
      <c r="D97" s="22" t="str">
        <f>IMAGE("https://raw.githubusercontent.com/ltdimages/images/refs/heads/main/ClothTopslongBoxDressHalfNurse_01.png")</f>
        <v/>
      </c>
      <c r="E97" s="22" t="str">
        <f>IMAGE("https://raw.githubusercontent.com/ltdimages/images/refs/heads/main/ClothTopslongBoxDressHalfNurse_02.png")</f>
        <v/>
      </c>
      <c r="F97" s="22" t="s">
        <v>3095</v>
      </c>
      <c r="G97" s="22" t="s">
        <v>3095</v>
      </c>
      <c r="H97" s="22" t="s">
        <v>3095</v>
      </c>
      <c r="I97" s="22" t="s">
        <v>3095</v>
      </c>
      <c r="J97" s="22" t="s">
        <v>3095</v>
      </c>
      <c r="K97" s="63" t="s">
        <v>3110</v>
      </c>
      <c r="L97" s="23">
        <v>34.0</v>
      </c>
      <c r="M97" s="22" t="s">
        <v>4231</v>
      </c>
      <c r="N97" s="22" t="s">
        <v>3099</v>
      </c>
      <c r="O97" s="22" t="s">
        <v>45</v>
      </c>
      <c r="P97" s="22" t="s">
        <v>45</v>
      </c>
      <c r="Q97" s="22" t="s">
        <v>45</v>
      </c>
      <c r="R97" s="22" t="s">
        <v>49</v>
      </c>
      <c r="S97" s="22" t="s">
        <v>45</v>
      </c>
      <c r="T97" s="22" t="s">
        <v>2002</v>
      </c>
      <c r="U97" s="22" t="s">
        <v>45</v>
      </c>
      <c r="V97" s="22" t="s">
        <v>45</v>
      </c>
      <c r="W97" s="22" t="s">
        <v>5186</v>
      </c>
    </row>
    <row r="98" ht="45.0" customHeight="1">
      <c r="A98" s="55" t="s">
        <v>467</v>
      </c>
      <c r="B98" s="62" t="s">
        <v>4625</v>
      </c>
      <c r="C98" s="22" t="str">
        <f>IMAGE("https://raw.githubusercontent.com/ltdimages/images/refs/heads/main/ClothTopslongAlineSleevelessMarine_00.png")</f>
        <v/>
      </c>
      <c r="D98" s="22" t="str">
        <f>IMAGE("https://raw.githubusercontent.com/ltdimages/images/refs/heads/main/ClothTopslongAlineSleevelessMarine_01.png")</f>
        <v/>
      </c>
      <c r="E98" s="22" t="str">
        <f>IMAGE("https://raw.githubusercontent.com/ltdimages/images/refs/heads/main/ClothTopslongAlineSleevelessMarine_02.png")</f>
        <v/>
      </c>
      <c r="F98" s="22" t="str">
        <f>IMAGE("https://raw.githubusercontent.com/ltdimages/images/refs/heads/main/ClothTopslongAlineSleevelessMarine_03.png")</f>
        <v/>
      </c>
      <c r="G98" s="22" t="str">
        <f>IMAGE("https://raw.githubusercontent.com/ltdimages/images/refs/heads/main/ClothTopslongAlineSleevelessMarine_04.png")</f>
        <v/>
      </c>
      <c r="H98" s="22" t="str">
        <f>IMAGE("https://raw.githubusercontent.com/ltdimages/images/refs/heads/main/ClothTopslongAlineSleevelessMarine_05.png")</f>
        <v/>
      </c>
      <c r="I98" s="22" t="s">
        <v>3095</v>
      </c>
      <c r="J98" s="22" t="s">
        <v>3095</v>
      </c>
      <c r="K98" s="63" t="s">
        <v>3110</v>
      </c>
      <c r="L98" s="23">
        <v>27.0</v>
      </c>
      <c r="M98" s="22" t="s">
        <v>4231</v>
      </c>
      <c r="N98" s="22" t="s">
        <v>3123</v>
      </c>
      <c r="O98" s="22" t="s">
        <v>45</v>
      </c>
      <c r="P98" s="22" t="s">
        <v>45</v>
      </c>
      <c r="Q98" s="22" t="s">
        <v>45</v>
      </c>
      <c r="R98" s="22" t="s">
        <v>45</v>
      </c>
      <c r="S98" s="22" t="s">
        <v>45</v>
      </c>
      <c r="T98" s="22" t="s">
        <v>2002</v>
      </c>
      <c r="U98" s="22" t="s">
        <v>45</v>
      </c>
      <c r="V98" s="22" t="s">
        <v>45</v>
      </c>
      <c r="W98" s="22" t="s">
        <v>5187</v>
      </c>
    </row>
    <row r="99" ht="45.0" customHeight="1">
      <c r="A99" s="55" t="s">
        <v>471</v>
      </c>
      <c r="B99" s="62" t="s">
        <v>5188</v>
      </c>
      <c r="C99" s="22" t="str">
        <f>IMAGE("https://raw.githubusercontent.com/ltdimages/images/refs/heads/main/ClothTopslongDressLongClassic_00.png")</f>
        <v/>
      </c>
      <c r="D99" s="22" t="str">
        <f>IMAGE("https://raw.githubusercontent.com/ltdimages/images/refs/heads/main/ClothTopslongDressLongClassic_01.png")</f>
        <v/>
      </c>
      <c r="E99" s="22" t="str">
        <f>IMAGE("https://raw.githubusercontent.com/ltdimages/images/refs/heads/main/ClothTopslongDressLongClassic_02.png")</f>
        <v/>
      </c>
      <c r="F99" s="22" t="str">
        <f>IMAGE("https://raw.githubusercontent.com/ltdimages/images/refs/heads/main/ClothTopslongDressLongClassic_03.png")</f>
        <v/>
      </c>
      <c r="G99" s="22" t="str">
        <f>IMAGE("https://raw.githubusercontent.com/ltdimages/images/refs/heads/main/ClothTopslongDressLongClassic_04.png")</f>
        <v/>
      </c>
      <c r="H99" s="22" t="str">
        <f>IMAGE("https://raw.githubusercontent.com/ltdimages/images/refs/heads/main/ClothTopslongDressLongClassic_05.png")</f>
        <v/>
      </c>
      <c r="I99" s="22" t="str">
        <f>IMAGE("https://raw.githubusercontent.com/ltdimages/images/refs/heads/main/ClothTopslongDressLongClassic_06.png")</f>
        <v/>
      </c>
      <c r="J99" s="22" t="str">
        <f>IMAGE("https://raw.githubusercontent.com/ltdimages/images/refs/heads/main/ClothTopslongDressLongClassic_07.png")</f>
        <v/>
      </c>
      <c r="K99" s="63" t="s">
        <v>3110</v>
      </c>
      <c r="L99" s="23">
        <v>47.0</v>
      </c>
      <c r="M99" s="22" t="s">
        <v>4231</v>
      </c>
      <c r="N99" s="22" t="s">
        <v>3099</v>
      </c>
      <c r="O99" s="22" t="s">
        <v>45</v>
      </c>
      <c r="P99" s="22" t="s">
        <v>45</v>
      </c>
      <c r="Q99" s="22" t="s">
        <v>45</v>
      </c>
      <c r="R99" s="22" t="s">
        <v>45</v>
      </c>
      <c r="S99" s="22" t="s">
        <v>45</v>
      </c>
      <c r="T99" s="22" t="s">
        <v>2002</v>
      </c>
      <c r="U99" s="22" t="s">
        <v>45</v>
      </c>
      <c r="V99" s="22" t="s">
        <v>45</v>
      </c>
      <c r="W99" s="22" t="s">
        <v>5189</v>
      </c>
    </row>
    <row r="100" ht="45.0" customHeight="1">
      <c r="A100" s="55" t="s">
        <v>475</v>
      </c>
      <c r="B100" s="62" t="s">
        <v>4528</v>
      </c>
      <c r="C100" s="22" t="str">
        <f>IMAGE("https://raw.githubusercontent.com/ltdimages/images/refs/heads/main/ClothTopslongDressLongLolita_00.png")</f>
        <v/>
      </c>
      <c r="D100" s="22" t="str">
        <f>IMAGE("https://raw.githubusercontent.com/ltdimages/images/refs/heads/main/ClothTopslongDressLongLolita_01.png")</f>
        <v/>
      </c>
      <c r="E100" s="22" t="str">
        <f>IMAGE("https://raw.githubusercontent.com/ltdimages/images/refs/heads/main/ClothTopslongDressLongLolita_02.png")</f>
        <v/>
      </c>
      <c r="F100" s="22" t="str">
        <f>IMAGE("https://raw.githubusercontent.com/ltdimages/images/refs/heads/main/ClothTopslongDressLongLolita_03.png")</f>
        <v/>
      </c>
      <c r="G100" s="22" t="str">
        <f>IMAGE("https://raw.githubusercontent.com/ltdimages/images/refs/heads/main/ClothTopslongDressLongLolita_04.png")</f>
        <v/>
      </c>
      <c r="H100" s="22" t="str">
        <f>IMAGE("https://raw.githubusercontent.com/ltdimages/images/refs/heads/main/ClothTopslongDressLongLolita_05.png")</f>
        <v/>
      </c>
      <c r="I100" s="22" t="s">
        <v>3095</v>
      </c>
      <c r="J100" s="22" t="s">
        <v>3095</v>
      </c>
      <c r="K100" s="63" t="s">
        <v>3110</v>
      </c>
      <c r="L100" s="23">
        <v>36.0</v>
      </c>
      <c r="M100" s="22" t="s">
        <v>4231</v>
      </c>
      <c r="N100" s="22" t="s">
        <v>3099</v>
      </c>
      <c r="O100" s="22" t="s">
        <v>45</v>
      </c>
      <c r="P100" s="22" t="s">
        <v>45</v>
      </c>
      <c r="Q100" s="22" t="s">
        <v>45</v>
      </c>
      <c r="R100" s="22" t="s">
        <v>45</v>
      </c>
      <c r="S100" s="22" t="s">
        <v>45</v>
      </c>
      <c r="T100" s="22" t="s">
        <v>2002</v>
      </c>
      <c r="U100" s="22" t="s">
        <v>45</v>
      </c>
      <c r="V100" s="22" t="s">
        <v>45</v>
      </c>
      <c r="W100" s="22" t="s">
        <v>5190</v>
      </c>
    </row>
    <row r="101" ht="45.0" customHeight="1">
      <c r="A101" s="55" t="s">
        <v>479</v>
      </c>
      <c r="B101" s="62" t="s">
        <v>4534</v>
      </c>
      <c r="C101" s="22" t="str">
        <f>IMAGE("https://raw.githubusercontent.com/ltdimages/images/refs/heads/main/ClothTopslongAlineSleevelessParty_00.png")</f>
        <v/>
      </c>
      <c r="D101" s="22" t="str">
        <f>IMAGE("https://raw.githubusercontent.com/ltdimages/images/refs/heads/main/ClothTopslongAlineSleevelessParty_01.png")</f>
        <v/>
      </c>
      <c r="E101" s="22" t="str">
        <f>IMAGE("https://raw.githubusercontent.com/ltdimages/images/refs/heads/main/ClothTopslongAlineSleevelessParty_02.png")</f>
        <v/>
      </c>
      <c r="F101" s="22" t="str">
        <f>IMAGE("https://raw.githubusercontent.com/ltdimages/images/refs/heads/main/ClothTopslongAlineSleevelessParty_03.png")</f>
        <v/>
      </c>
      <c r="G101" s="22" t="str">
        <f>IMAGE("https://raw.githubusercontent.com/ltdimages/images/refs/heads/main/ClothTopslongAlineSleevelessParty_04.png")</f>
        <v/>
      </c>
      <c r="H101" s="22" t="str">
        <f>IMAGE("https://raw.githubusercontent.com/ltdimages/images/refs/heads/main/ClothTopslongAlineSleevelessParty_05.png")</f>
        <v/>
      </c>
      <c r="I101" s="22" t="str">
        <f>IMAGE("https://raw.githubusercontent.com/ltdimages/images/refs/heads/main/ClothTopslongAlineSleevelessParty_06.png")</f>
        <v/>
      </c>
      <c r="J101" s="22" t="s">
        <v>3095</v>
      </c>
      <c r="K101" s="63" t="s">
        <v>3110</v>
      </c>
      <c r="L101" s="23">
        <v>45.6</v>
      </c>
      <c r="M101" s="22" t="s">
        <v>4231</v>
      </c>
      <c r="N101" s="22" t="s">
        <v>3099</v>
      </c>
      <c r="O101" s="22" t="s">
        <v>45</v>
      </c>
      <c r="P101" s="22" t="s">
        <v>45</v>
      </c>
      <c r="Q101" s="22" t="s">
        <v>45</v>
      </c>
      <c r="R101" s="22" t="s">
        <v>45</v>
      </c>
      <c r="S101" s="22" t="s">
        <v>45</v>
      </c>
      <c r="T101" s="22" t="s">
        <v>2002</v>
      </c>
      <c r="U101" s="22" t="s">
        <v>45</v>
      </c>
      <c r="V101" s="22" t="s">
        <v>45</v>
      </c>
      <c r="W101" s="22" t="s">
        <v>5191</v>
      </c>
    </row>
    <row r="102" ht="45.0" customHeight="1">
      <c r="A102" s="55" t="s">
        <v>483</v>
      </c>
      <c r="B102" s="62" t="s">
        <v>4541</v>
      </c>
      <c r="C102" s="22" t="str">
        <f>IMAGE("https://raw.githubusercontent.com/ltdimages/images/refs/heads/main/ClothTopslongAlongLongPinafore_00.png")</f>
        <v/>
      </c>
      <c r="D102" s="22" t="str">
        <f>IMAGE("https://raw.githubusercontent.com/ltdimages/images/refs/heads/main/ClothTopslongAlongLongPinafore_01.png")</f>
        <v/>
      </c>
      <c r="E102" s="22" t="str">
        <f>IMAGE("https://raw.githubusercontent.com/ltdimages/images/refs/heads/main/ClothTopslongAlongLongPinafore_02.png")</f>
        <v/>
      </c>
      <c r="F102" s="22" t="str">
        <f>IMAGE("https://raw.githubusercontent.com/ltdimages/images/refs/heads/main/ClothTopslongAlongLongPinafore_03.png")</f>
        <v/>
      </c>
      <c r="G102" s="22" t="str">
        <f>IMAGE("https://raw.githubusercontent.com/ltdimages/images/refs/heads/main/ClothTopslongAlongLongPinafore_04.png")</f>
        <v/>
      </c>
      <c r="H102" s="22" t="str">
        <f>IMAGE("https://raw.githubusercontent.com/ltdimages/images/refs/heads/main/ClothTopslongAlongLongPinafore_05.png")</f>
        <v/>
      </c>
      <c r="I102" s="22" t="s">
        <v>3095</v>
      </c>
      <c r="J102" s="22" t="s">
        <v>3095</v>
      </c>
      <c r="K102" s="63" t="s">
        <v>3110</v>
      </c>
      <c r="L102" s="23">
        <v>31.0</v>
      </c>
      <c r="M102" s="22" t="s">
        <v>4231</v>
      </c>
      <c r="N102" s="22" t="s">
        <v>3099</v>
      </c>
      <c r="O102" s="22" t="s">
        <v>45</v>
      </c>
      <c r="P102" s="22" t="s">
        <v>45</v>
      </c>
      <c r="Q102" s="22" t="s">
        <v>45</v>
      </c>
      <c r="R102" s="22" t="s">
        <v>45</v>
      </c>
      <c r="S102" s="22" t="s">
        <v>45</v>
      </c>
      <c r="T102" s="22" t="s">
        <v>2002</v>
      </c>
      <c r="U102" s="22" t="s">
        <v>45</v>
      </c>
      <c r="V102" s="22" t="s">
        <v>45</v>
      </c>
      <c r="W102" s="22" t="s">
        <v>5192</v>
      </c>
    </row>
    <row r="103" ht="45.0" customHeight="1">
      <c r="A103" s="55" t="s">
        <v>488</v>
      </c>
      <c r="B103" s="62" t="s">
        <v>5193</v>
      </c>
      <c r="C103" s="22" t="str">
        <f>IMAGE("https://raw.githubusercontent.com/ltdimages/images/refs/heads/main/ClothTopslongBoxDressLongJumper_00.png")</f>
        <v/>
      </c>
      <c r="D103" s="22" t="str">
        <f>IMAGE("https://raw.githubusercontent.com/ltdimages/images/refs/heads/main/ClothTopslongBoxDressLongJumper_01.png")</f>
        <v/>
      </c>
      <c r="E103" s="22" t="str">
        <f>IMAGE("https://raw.githubusercontent.com/ltdimages/images/refs/heads/main/ClothTopslongBoxDressLongJumper_02.png")</f>
        <v/>
      </c>
      <c r="F103" s="22" t="str">
        <f>IMAGE("https://raw.githubusercontent.com/ltdimages/images/refs/heads/main/ClothTopslongBoxDressLongJumper_03.png")</f>
        <v/>
      </c>
      <c r="G103" s="22" t="str">
        <f>IMAGE("https://raw.githubusercontent.com/ltdimages/images/refs/heads/main/ClothTopslongBoxDressLongJumper_04.png")</f>
        <v/>
      </c>
      <c r="H103" s="22" t="str">
        <f>IMAGE("https://raw.githubusercontent.com/ltdimages/images/refs/heads/main/ClothTopslongBoxDressLongJumper_05.png")</f>
        <v/>
      </c>
      <c r="I103" s="22" t="str">
        <f>IMAGE("https://raw.githubusercontent.com/ltdimages/images/refs/heads/main/ClothTopslongBoxDressLongJumper_06.png")</f>
        <v/>
      </c>
      <c r="J103" s="22" t="str">
        <f>IMAGE("https://raw.githubusercontent.com/ltdimages/images/refs/heads/main/ClothTopslongBoxDressLongJumper_07.png")</f>
        <v/>
      </c>
      <c r="K103" s="63" t="s">
        <v>3110</v>
      </c>
      <c r="L103" s="23">
        <v>28.9</v>
      </c>
      <c r="M103" s="22" t="s">
        <v>4231</v>
      </c>
      <c r="N103" s="22" t="s">
        <v>3099</v>
      </c>
      <c r="O103" s="22" t="s">
        <v>45</v>
      </c>
      <c r="P103" s="22" t="s">
        <v>45</v>
      </c>
      <c r="Q103" s="22" t="s">
        <v>45</v>
      </c>
      <c r="R103" s="22" t="s">
        <v>45</v>
      </c>
      <c r="S103" s="22" t="s">
        <v>45</v>
      </c>
      <c r="T103" s="22" t="s">
        <v>2002</v>
      </c>
      <c r="U103" s="22" t="s">
        <v>45</v>
      </c>
      <c r="V103" s="22" t="s">
        <v>45</v>
      </c>
      <c r="W103" s="22" t="s">
        <v>5194</v>
      </c>
    </row>
    <row r="104" ht="45.0" customHeight="1">
      <c r="A104" s="55" t="s">
        <v>492</v>
      </c>
      <c r="B104" s="62" t="s">
        <v>4545</v>
      </c>
      <c r="C104" s="22" t="str">
        <f>IMAGE("https://raw.githubusercontent.com/ltdimages/images/refs/heads/main/ClothTopslongAlongLongCheck_00.png")</f>
        <v/>
      </c>
      <c r="D104" s="22" t="str">
        <f>IMAGE("https://raw.githubusercontent.com/ltdimages/images/refs/heads/main/ClothTopslongAlongLongCheck_01.png")</f>
        <v/>
      </c>
      <c r="E104" s="22" t="str">
        <f>IMAGE("https://raw.githubusercontent.com/ltdimages/images/refs/heads/main/ClothTopslongAlongLongCheck_02.png")</f>
        <v/>
      </c>
      <c r="F104" s="22" t="str">
        <f>IMAGE("https://raw.githubusercontent.com/ltdimages/images/refs/heads/main/ClothTopslongAlongLongCheck_03.png")</f>
        <v/>
      </c>
      <c r="G104" s="22" t="str">
        <f>IMAGE("https://raw.githubusercontent.com/ltdimages/images/refs/heads/main/ClothTopslongAlongLongCheck_04.png")</f>
        <v/>
      </c>
      <c r="H104" s="22" t="str">
        <f>IMAGE("https://raw.githubusercontent.com/ltdimages/images/refs/heads/main/ClothTopslongAlongLongCheck_05.png")</f>
        <v/>
      </c>
      <c r="I104" s="22" t="s">
        <v>3095</v>
      </c>
      <c r="J104" s="22" t="s">
        <v>3095</v>
      </c>
      <c r="K104" s="63" t="s">
        <v>3110</v>
      </c>
      <c r="L104" s="23">
        <v>26.0</v>
      </c>
      <c r="M104" s="22" t="s">
        <v>4231</v>
      </c>
      <c r="N104" s="22" t="s">
        <v>3099</v>
      </c>
      <c r="O104" s="22" t="s">
        <v>45</v>
      </c>
      <c r="P104" s="22" t="s">
        <v>45</v>
      </c>
      <c r="Q104" s="22" t="s">
        <v>45</v>
      </c>
      <c r="R104" s="22" t="s">
        <v>45</v>
      </c>
      <c r="S104" s="22" t="s">
        <v>45</v>
      </c>
      <c r="T104" s="22" t="s">
        <v>2002</v>
      </c>
      <c r="U104" s="22" t="s">
        <v>45</v>
      </c>
      <c r="V104" s="22" t="s">
        <v>45</v>
      </c>
      <c r="W104" s="22" t="s">
        <v>5195</v>
      </c>
    </row>
    <row r="105" ht="45.0" customHeight="1">
      <c r="A105" s="55" t="s">
        <v>496</v>
      </c>
      <c r="B105" s="62" t="s">
        <v>4549</v>
      </c>
      <c r="C105" s="22" t="str">
        <f>IMAGE("https://raw.githubusercontent.com/ltdimages/images/refs/heads/main/ClothTopslongDressHalfPolkaDot_00.png")</f>
        <v/>
      </c>
      <c r="D105" s="22" t="str">
        <f>IMAGE("https://raw.githubusercontent.com/ltdimages/images/refs/heads/main/ClothTopslongDressHalfPolkaDot_01.png")</f>
        <v/>
      </c>
      <c r="E105" s="22" t="str">
        <f>IMAGE("https://raw.githubusercontent.com/ltdimages/images/refs/heads/main/ClothTopslongDressHalfPolkaDot_02.png")</f>
        <v/>
      </c>
      <c r="F105" s="22" t="str">
        <f>IMAGE("https://raw.githubusercontent.com/ltdimages/images/refs/heads/main/ClothTopslongDressHalfPolkaDot_03.png")</f>
        <v/>
      </c>
      <c r="G105" s="22" t="str">
        <f>IMAGE("https://raw.githubusercontent.com/ltdimages/images/refs/heads/main/ClothTopslongDressHalfPolkaDot_04.png")</f>
        <v/>
      </c>
      <c r="H105" s="22" t="str">
        <f>IMAGE("https://raw.githubusercontent.com/ltdimages/images/refs/heads/main/ClothTopslongDressHalfPolkaDot_05.png")</f>
        <v/>
      </c>
      <c r="I105" s="22" t="str">
        <f>IMAGE("https://raw.githubusercontent.com/ltdimages/images/refs/heads/main/ClothTopslongDressHalfPolkaDot_06.png")</f>
        <v/>
      </c>
      <c r="J105" s="22" t="str">
        <f>IMAGE("https://raw.githubusercontent.com/ltdimages/images/refs/heads/main/ClothTopslongDressHalfPolkaDot_07.png")</f>
        <v/>
      </c>
      <c r="K105" s="63" t="s">
        <v>3110</v>
      </c>
      <c r="L105" s="23">
        <v>31.0</v>
      </c>
      <c r="M105" s="22" t="s">
        <v>4231</v>
      </c>
      <c r="N105" s="22" t="s">
        <v>3099</v>
      </c>
      <c r="O105" s="22" t="s">
        <v>45</v>
      </c>
      <c r="P105" s="22" t="s">
        <v>45</v>
      </c>
      <c r="Q105" s="22" t="s">
        <v>45</v>
      </c>
      <c r="R105" s="22" t="s">
        <v>45</v>
      </c>
      <c r="S105" s="22" t="s">
        <v>45</v>
      </c>
      <c r="T105" s="22" t="s">
        <v>2002</v>
      </c>
      <c r="U105" s="22" t="s">
        <v>45</v>
      </c>
      <c r="V105" s="22" t="s">
        <v>45</v>
      </c>
      <c r="W105" s="22" t="s">
        <v>5196</v>
      </c>
    </row>
    <row r="106" ht="45.0" customHeight="1">
      <c r="A106" s="55" t="s">
        <v>500</v>
      </c>
      <c r="B106" s="62" t="s">
        <v>4553</v>
      </c>
      <c r="C106" s="22" t="str">
        <f>IMAGE("https://raw.githubusercontent.com/ltdimages/images/refs/heads/main/ClothTopslongBoxDressLongPolo_00.png")</f>
        <v/>
      </c>
      <c r="D106" s="22" t="str">
        <f>IMAGE("https://raw.githubusercontent.com/ltdimages/images/refs/heads/main/ClothTopslongBoxDressLongPolo_01.png")</f>
        <v/>
      </c>
      <c r="E106" s="22" t="str">
        <f>IMAGE("https://raw.githubusercontent.com/ltdimages/images/refs/heads/main/ClothTopslongBoxDressLongPolo_02.png")</f>
        <v/>
      </c>
      <c r="F106" s="22" t="str">
        <f>IMAGE("https://raw.githubusercontent.com/ltdimages/images/refs/heads/main/ClothTopslongBoxDressLongPolo_03.png")</f>
        <v/>
      </c>
      <c r="G106" s="22" t="str">
        <f>IMAGE("https://raw.githubusercontent.com/ltdimages/images/refs/heads/main/ClothTopslongBoxDressLongPolo_04.png")</f>
        <v/>
      </c>
      <c r="H106" s="22" t="str">
        <f>IMAGE("https://raw.githubusercontent.com/ltdimages/images/refs/heads/main/ClothTopslongBoxDressLongPolo_05.png")</f>
        <v/>
      </c>
      <c r="I106" s="22" t="s">
        <v>3095</v>
      </c>
      <c r="J106" s="22" t="s">
        <v>3095</v>
      </c>
      <c r="K106" s="63" t="s">
        <v>3110</v>
      </c>
      <c r="L106" s="23">
        <v>22.0</v>
      </c>
      <c r="M106" s="22" t="s">
        <v>4231</v>
      </c>
      <c r="N106" s="22" t="s">
        <v>3099</v>
      </c>
      <c r="O106" s="22" t="s">
        <v>45</v>
      </c>
      <c r="P106" s="22" t="s">
        <v>45</v>
      </c>
      <c r="Q106" s="22" t="s">
        <v>45</v>
      </c>
      <c r="R106" s="22" t="s">
        <v>45</v>
      </c>
      <c r="S106" s="22" t="s">
        <v>45</v>
      </c>
      <c r="T106" s="22" t="s">
        <v>2002</v>
      </c>
      <c r="U106" s="22" t="s">
        <v>45</v>
      </c>
      <c r="V106" s="22" t="s">
        <v>45</v>
      </c>
      <c r="W106" s="22" t="s">
        <v>5197</v>
      </c>
    </row>
    <row r="107" ht="45.0" customHeight="1">
      <c r="A107" s="55" t="s">
        <v>504</v>
      </c>
      <c r="B107" s="62" t="s">
        <v>4556</v>
      </c>
      <c r="C107" s="22" t="str">
        <f>IMAGE("https://raw.githubusercontent.com/ltdimages/images/refs/heads/main/ClothTopslongAlineLongPompon_00.png")</f>
        <v/>
      </c>
      <c r="D107" s="22" t="str">
        <f>IMAGE("https://raw.githubusercontent.com/ltdimages/images/refs/heads/main/ClothTopslongAlineLongPompon_01.png")</f>
        <v/>
      </c>
      <c r="E107" s="22" t="str">
        <f>IMAGE("https://raw.githubusercontent.com/ltdimages/images/refs/heads/main/ClothTopslongAlineLongPompon_02.png")</f>
        <v/>
      </c>
      <c r="F107" s="22" t="str">
        <f>IMAGE("https://raw.githubusercontent.com/ltdimages/images/refs/heads/main/ClothTopslongAlineLongPompon_03.png")</f>
        <v/>
      </c>
      <c r="G107" s="22" t="str">
        <f>IMAGE("https://raw.githubusercontent.com/ltdimages/images/refs/heads/main/ClothTopslongAlineLongPompon_04.png")</f>
        <v/>
      </c>
      <c r="H107" s="22" t="str">
        <f>IMAGE("https://raw.githubusercontent.com/ltdimages/images/refs/heads/main/ClothTopslongAlineLongPompon_05.png")</f>
        <v/>
      </c>
      <c r="I107" s="22" t="s">
        <v>3095</v>
      </c>
      <c r="J107" s="22" t="s">
        <v>3095</v>
      </c>
      <c r="K107" s="63" t="s">
        <v>3110</v>
      </c>
      <c r="L107" s="23">
        <v>25.0</v>
      </c>
      <c r="M107" s="22" t="s">
        <v>4231</v>
      </c>
      <c r="N107" s="22" t="s">
        <v>3114</v>
      </c>
      <c r="O107" s="22" t="s">
        <v>45</v>
      </c>
      <c r="P107" s="22" t="s">
        <v>45</v>
      </c>
      <c r="Q107" s="22" t="s">
        <v>45</v>
      </c>
      <c r="R107" s="22" t="s">
        <v>45</v>
      </c>
      <c r="S107" s="22" t="s">
        <v>45</v>
      </c>
      <c r="T107" s="22" t="s">
        <v>2002</v>
      </c>
      <c r="U107" s="22" t="s">
        <v>45</v>
      </c>
      <c r="V107" s="22" t="s">
        <v>45</v>
      </c>
      <c r="W107" s="22" t="s">
        <v>5198</v>
      </c>
    </row>
    <row r="108" ht="45.0" customHeight="1">
      <c r="A108" s="55" t="s">
        <v>508</v>
      </c>
      <c r="B108" s="62" t="s">
        <v>4561</v>
      </c>
      <c r="C108" s="22" t="str">
        <f>IMAGE("https://raw.githubusercontent.com/ltdimages/images/refs/heads/main/ClothTopslongDressHalfIdol_00.png")</f>
        <v/>
      </c>
      <c r="D108" s="22" t="str">
        <f>IMAGE("https://raw.githubusercontent.com/ltdimages/images/refs/heads/main/ClothTopslongDressHalfIdol_01.png")</f>
        <v/>
      </c>
      <c r="E108" s="22" t="str">
        <f>IMAGE("https://raw.githubusercontent.com/ltdimages/images/refs/heads/main/ClothTopslongDressHalfIdol_02.png")</f>
        <v/>
      </c>
      <c r="F108" s="22" t="str">
        <f>IMAGE("https://raw.githubusercontent.com/ltdimages/images/refs/heads/main/ClothTopslongDressHalfIdol_03.png")</f>
        <v/>
      </c>
      <c r="G108" s="22" t="str">
        <f>IMAGE("https://raw.githubusercontent.com/ltdimages/images/refs/heads/main/ClothTopslongDressHalfIdol_04.png")</f>
        <v/>
      </c>
      <c r="H108" s="22" t="str">
        <f>IMAGE("https://raw.githubusercontent.com/ltdimages/images/refs/heads/main/ClothTopslongDressHalfIdol_05.png")</f>
        <v/>
      </c>
      <c r="I108" s="22" t="str">
        <f>IMAGE("https://raw.githubusercontent.com/ltdimages/images/refs/heads/main/ClothTopslongDressHalfIdol_06.png")</f>
        <v/>
      </c>
      <c r="J108" s="22" t="str">
        <f>IMAGE("https://raw.githubusercontent.com/ltdimages/images/refs/heads/main/ClothTopslongDressHalfIdol_07.png")</f>
        <v/>
      </c>
      <c r="K108" s="63" t="s">
        <v>3110</v>
      </c>
      <c r="L108" s="23">
        <v>60.0</v>
      </c>
      <c r="M108" s="22" t="s">
        <v>4231</v>
      </c>
      <c r="N108" s="22" t="s">
        <v>3099</v>
      </c>
      <c r="O108" s="22" t="s">
        <v>45</v>
      </c>
      <c r="P108" s="22" t="s">
        <v>45</v>
      </c>
      <c r="Q108" s="22" t="s">
        <v>45</v>
      </c>
      <c r="R108" s="22" t="s">
        <v>49</v>
      </c>
      <c r="S108" s="22" t="s">
        <v>45</v>
      </c>
      <c r="T108" s="22" t="s">
        <v>2002</v>
      </c>
      <c r="U108" s="22" t="s">
        <v>45</v>
      </c>
      <c r="V108" s="22" t="s">
        <v>45</v>
      </c>
      <c r="W108" s="22" t="s">
        <v>5199</v>
      </c>
    </row>
    <row r="109" ht="45.0" customHeight="1">
      <c r="A109" s="55" t="s">
        <v>512</v>
      </c>
      <c r="B109" s="62" t="s">
        <v>5200</v>
      </c>
      <c r="C109" s="22" t="str">
        <f>IMAGE("https://raw.githubusercontent.com/ltdimages/images/refs/heads/main/ClothTopslongDressHalfPrincess_00.png")</f>
        <v/>
      </c>
      <c r="D109" s="22" t="str">
        <f>IMAGE("https://raw.githubusercontent.com/ltdimages/images/refs/heads/main/ClothTopslongDressHalfPrincess_01.png")</f>
        <v/>
      </c>
      <c r="E109" s="22" t="str">
        <f>IMAGE("https://raw.githubusercontent.com/ltdimages/images/refs/heads/main/ClothTopslongDressHalfPrincess_02.png")</f>
        <v/>
      </c>
      <c r="F109" s="22" t="str">
        <f>IMAGE("https://raw.githubusercontent.com/ltdimages/images/refs/heads/main/ClothTopslongDressHalfPrincess_03.png")</f>
        <v/>
      </c>
      <c r="G109" s="22" t="str">
        <f>IMAGE("https://raw.githubusercontent.com/ltdimages/images/refs/heads/main/ClothTopslongDressHalfPrincess_04.png")</f>
        <v/>
      </c>
      <c r="H109" s="22" t="str">
        <f>IMAGE("https://raw.githubusercontent.com/ltdimages/images/refs/heads/main/ClothTopslongDressHalfPrincess_05.png")</f>
        <v/>
      </c>
      <c r="I109" s="22" t="str">
        <f>IMAGE("https://raw.githubusercontent.com/ltdimages/images/refs/heads/main/ClothTopslongDressHalfPrincess_06.png")</f>
        <v/>
      </c>
      <c r="J109" s="22" t="str">
        <f>IMAGE("https://raw.githubusercontent.com/ltdimages/images/refs/heads/main/ClothTopslongDressHalfPrincess_07.png")</f>
        <v/>
      </c>
      <c r="K109" s="63" t="s">
        <v>3110</v>
      </c>
      <c r="L109" s="23">
        <v>500.0</v>
      </c>
      <c r="M109" s="22" t="s">
        <v>4231</v>
      </c>
      <c r="N109" s="22" t="s">
        <v>3099</v>
      </c>
      <c r="O109" s="22" t="s">
        <v>45</v>
      </c>
      <c r="P109" s="22" t="s">
        <v>45</v>
      </c>
      <c r="Q109" s="22" t="s">
        <v>45</v>
      </c>
      <c r="R109" s="22" t="s">
        <v>49</v>
      </c>
      <c r="S109" s="22" t="s">
        <v>45</v>
      </c>
      <c r="T109" s="22" t="s">
        <v>2002</v>
      </c>
      <c r="U109" s="22" t="s">
        <v>45</v>
      </c>
      <c r="V109" s="22" t="s">
        <v>45</v>
      </c>
      <c r="W109" s="22" t="s">
        <v>5201</v>
      </c>
    </row>
    <row r="110" ht="45.0" customHeight="1">
      <c r="A110" s="55" t="s">
        <v>516</v>
      </c>
      <c r="B110" s="62" t="s">
        <v>4576</v>
      </c>
      <c r="C110" s="22" t="str">
        <f>IMAGE("https://raw.githubusercontent.com/ltdimages/images/refs/heads/main/ClothTopslongBoxDressHalfQipao_00.png")</f>
        <v/>
      </c>
      <c r="D110" s="22" t="str">
        <f>IMAGE("https://raw.githubusercontent.com/ltdimages/images/refs/heads/main/ClothTopslongBoxDressHalfQipao_01.png")</f>
        <v/>
      </c>
      <c r="E110" s="22" t="str">
        <f>IMAGE("https://raw.githubusercontent.com/ltdimages/images/refs/heads/main/ClothTopslongBoxDressHalfQipao_02.png")</f>
        <v/>
      </c>
      <c r="F110" s="22" t="str">
        <f>IMAGE("https://raw.githubusercontent.com/ltdimages/images/refs/heads/main/ClothTopslongBoxDressHalfQipao_03.png")</f>
        <v/>
      </c>
      <c r="G110" s="22" t="str">
        <f>IMAGE("https://raw.githubusercontent.com/ltdimages/images/refs/heads/main/ClothTopslongBoxDressHalfQipao_04.png")</f>
        <v/>
      </c>
      <c r="H110" s="22" t="str">
        <f>IMAGE("https://raw.githubusercontent.com/ltdimages/images/refs/heads/main/ClothTopslongBoxDressHalfQipao_05.png")</f>
        <v/>
      </c>
      <c r="I110" s="22" t="str">
        <f>IMAGE("https://raw.githubusercontent.com/ltdimages/images/refs/heads/main/ClothTopslongBoxDressHalfQipao_06.png")</f>
        <v/>
      </c>
      <c r="J110" s="22" t="str">
        <f>IMAGE("https://raw.githubusercontent.com/ltdimages/images/refs/heads/main/ClothTopslongBoxDressHalfQipao_07.png")</f>
        <v/>
      </c>
      <c r="K110" s="63" t="s">
        <v>3110</v>
      </c>
      <c r="L110" s="23">
        <v>43.5</v>
      </c>
      <c r="M110" s="22" t="s">
        <v>4231</v>
      </c>
      <c r="N110" s="22" t="s">
        <v>3099</v>
      </c>
      <c r="O110" s="22" t="s">
        <v>45</v>
      </c>
      <c r="P110" s="22" t="s">
        <v>45</v>
      </c>
      <c r="Q110" s="22" t="s">
        <v>45</v>
      </c>
      <c r="R110" s="22" t="s">
        <v>45</v>
      </c>
      <c r="S110" s="22" t="s">
        <v>45</v>
      </c>
      <c r="T110" s="22" t="s">
        <v>2002</v>
      </c>
      <c r="U110" s="22" t="s">
        <v>45</v>
      </c>
      <c r="V110" s="22" t="s">
        <v>45</v>
      </c>
      <c r="W110" s="22" t="s">
        <v>5202</v>
      </c>
    </row>
    <row r="111" ht="45.0" customHeight="1">
      <c r="A111" s="55" t="s">
        <v>521</v>
      </c>
      <c r="B111" s="62" t="s">
        <v>4597</v>
      </c>
      <c r="C111" s="22" t="str">
        <f>IMAGE("https://raw.githubusercontent.com/ltdimages/images/refs/heads/main/ClothTopslongAlineSleevelessRetro_00.png")</f>
        <v/>
      </c>
      <c r="D111" s="22" t="str">
        <f>IMAGE("https://raw.githubusercontent.com/ltdimages/images/refs/heads/main/ClothTopslongAlineSleevelessRetro_01.png")</f>
        <v/>
      </c>
      <c r="E111" s="22" t="str">
        <f>IMAGE("https://raw.githubusercontent.com/ltdimages/images/refs/heads/main/ClothTopslongAlineSleevelessRetro_02.png")</f>
        <v/>
      </c>
      <c r="F111" s="22" t="str">
        <f>IMAGE("https://raw.githubusercontent.com/ltdimages/images/refs/heads/main/ClothTopslongAlineSleevelessRetro_03.png")</f>
        <v/>
      </c>
      <c r="G111" s="22" t="str">
        <f>IMAGE("https://raw.githubusercontent.com/ltdimages/images/refs/heads/main/ClothTopslongAlineSleevelessRetro_04.png")</f>
        <v/>
      </c>
      <c r="H111" s="22" t="str">
        <f>IMAGE("https://raw.githubusercontent.com/ltdimages/images/refs/heads/main/ClothTopslongAlineSleevelessRetro_05.png")</f>
        <v/>
      </c>
      <c r="I111" s="22" t="s">
        <v>3095</v>
      </c>
      <c r="J111" s="22" t="s">
        <v>3095</v>
      </c>
      <c r="K111" s="63" t="s">
        <v>3110</v>
      </c>
      <c r="L111" s="23">
        <v>29.0</v>
      </c>
      <c r="M111" s="22" t="s">
        <v>4231</v>
      </c>
      <c r="N111" s="22" t="s">
        <v>3099</v>
      </c>
      <c r="O111" s="22" t="s">
        <v>45</v>
      </c>
      <c r="P111" s="22" t="s">
        <v>45</v>
      </c>
      <c r="Q111" s="22" t="s">
        <v>45</v>
      </c>
      <c r="R111" s="22" t="s">
        <v>45</v>
      </c>
      <c r="S111" s="22" t="s">
        <v>45</v>
      </c>
      <c r="T111" s="22" t="s">
        <v>2002</v>
      </c>
      <c r="U111" s="22" t="s">
        <v>45</v>
      </c>
      <c r="V111" s="22" t="s">
        <v>45</v>
      </c>
      <c r="W111" s="22" t="s">
        <v>5203</v>
      </c>
    </row>
    <row r="112" ht="45.0" customHeight="1">
      <c r="A112" s="55" t="s">
        <v>525</v>
      </c>
      <c r="B112" s="62" t="s">
        <v>4601</v>
      </c>
      <c r="C112" s="22" t="str">
        <f>IMAGE("https://raw.githubusercontent.com/ltdimages/images/refs/heads/main/ClothTopslongAlineSleevelessFlower_00.png")</f>
        <v/>
      </c>
      <c r="D112" s="22" t="str">
        <f>IMAGE("https://raw.githubusercontent.com/ltdimages/images/refs/heads/main/ClothTopslongAlineSleevelessFlower_01.png")</f>
        <v/>
      </c>
      <c r="E112" s="22" t="str">
        <f>IMAGE("https://raw.githubusercontent.com/ltdimages/images/refs/heads/main/ClothTopslongAlineSleevelessFlower_02.png")</f>
        <v/>
      </c>
      <c r="F112" s="22" t="str">
        <f>IMAGE("https://raw.githubusercontent.com/ltdimages/images/refs/heads/main/ClothTopslongAlineSleevelessFlower_03.png")</f>
        <v/>
      </c>
      <c r="G112" s="22" t="s">
        <v>3095</v>
      </c>
      <c r="H112" s="22" t="s">
        <v>3095</v>
      </c>
      <c r="I112" s="22" t="s">
        <v>3095</v>
      </c>
      <c r="J112" s="22" t="s">
        <v>3095</v>
      </c>
      <c r="K112" s="63" t="s">
        <v>3110</v>
      </c>
      <c r="L112" s="23">
        <v>27.0</v>
      </c>
      <c r="M112" s="22" t="s">
        <v>4231</v>
      </c>
      <c r="N112" s="22" t="s">
        <v>3099</v>
      </c>
      <c r="O112" s="22" t="s">
        <v>45</v>
      </c>
      <c r="P112" s="22" t="s">
        <v>45</v>
      </c>
      <c r="Q112" s="22" t="s">
        <v>45</v>
      </c>
      <c r="R112" s="22" t="s">
        <v>45</v>
      </c>
      <c r="S112" s="22" t="s">
        <v>45</v>
      </c>
      <c r="T112" s="22" t="s">
        <v>2002</v>
      </c>
      <c r="U112" s="22" t="s">
        <v>45</v>
      </c>
      <c r="V112" s="22" t="s">
        <v>45</v>
      </c>
      <c r="W112" s="22" t="s">
        <v>5204</v>
      </c>
    </row>
    <row r="113" ht="45.0" customHeight="1">
      <c r="A113" s="55" t="s">
        <v>529</v>
      </c>
      <c r="B113" s="62" t="s">
        <v>4592</v>
      </c>
      <c r="C113" s="22" t="str">
        <f>IMAGE("https://raw.githubusercontent.com/ltdimages/images/refs/heads/main/ClothTopslongAlongLongVintage_00.png")</f>
        <v/>
      </c>
      <c r="D113" s="22" t="str">
        <f>IMAGE("https://raw.githubusercontent.com/ltdimages/images/refs/heads/main/ClothTopslongAlongLongVintage_01.png")</f>
        <v/>
      </c>
      <c r="E113" s="22" t="str">
        <f>IMAGE("https://raw.githubusercontent.com/ltdimages/images/refs/heads/main/ClothTopslongAlongLongVintage_02.png")</f>
        <v/>
      </c>
      <c r="F113" s="22" t="str">
        <f>IMAGE("https://raw.githubusercontent.com/ltdimages/images/refs/heads/main/ClothTopslongAlongLongVintage_03.png")</f>
        <v/>
      </c>
      <c r="G113" s="22" t="str">
        <f>IMAGE("https://raw.githubusercontent.com/ltdimages/images/refs/heads/main/ClothTopslongAlongLongVintage_04.png")</f>
        <v/>
      </c>
      <c r="H113" s="22" t="str">
        <f>IMAGE("https://raw.githubusercontent.com/ltdimages/images/refs/heads/main/ClothTopslongAlongLongVintage_05.png")</f>
        <v/>
      </c>
      <c r="I113" s="22" t="s">
        <v>3095</v>
      </c>
      <c r="J113" s="22" t="s">
        <v>3095</v>
      </c>
      <c r="K113" s="63" t="s">
        <v>3110</v>
      </c>
      <c r="L113" s="23">
        <v>40.0</v>
      </c>
      <c r="M113" s="22" t="s">
        <v>4231</v>
      </c>
      <c r="N113" s="22" t="s">
        <v>3099</v>
      </c>
      <c r="O113" s="22" t="s">
        <v>45</v>
      </c>
      <c r="P113" s="22" t="s">
        <v>45</v>
      </c>
      <c r="Q113" s="22" t="s">
        <v>45</v>
      </c>
      <c r="R113" s="22" t="s">
        <v>45</v>
      </c>
      <c r="S113" s="22" t="s">
        <v>45</v>
      </c>
      <c r="T113" s="22" t="s">
        <v>2002</v>
      </c>
      <c r="U113" s="22" t="s">
        <v>45</v>
      </c>
      <c r="V113" s="22" t="s">
        <v>45</v>
      </c>
      <c r="W113" s="22" t="s">
        <v>5205</v>
      </c>
    </row>
    <row r="114" ht="45.0" customHeight="1">
      <c r="A114" s="55" t="s">
        <v>533</v>
      </c>
      <c r="B114" s="62" t="s">
        <v>5206</v>
      </c>
      <c r="C114" s="22" t="str">
        <f>IMAGE("https://raw.githubusercontent.com/ltdimages/images/refs/heads/main/ClothTopslongAlongHalfRumba_00.png")</f>
        <v/>
      </c>
      <c r="D114" s="22" t="str">
        <f>IMAGE("https://raw.githubusercontent.com/ltdimages/images/refs/heads/main/ClothTopslongAlongHalfRumba_01.png")</f>
        <v/>
      </c>
      <c r="E114" s="22" t="s">
        <v>3095</v>
      </c>
      <c r="F114" s="22" t="s">
        <v>3095</v>
      </c>
      <c r="G114" s="22" t="s">
        <v>3095</v>
      </c>
      <c r="H114" s="22" t="s">
        <v>3095</v>
      </c>
      <c r="I114" s="22" t="s">
        <v>3095</v>
      </c>
      <c r="J114" s="22" t="s">
        <v>3095</v>
      </c>
      <c r="K114" s="63" t="s">
        <v>3110</v>
      </c>
      <c r="L114" s="23">
        <v>48.0</v>
      </c>
      <c r="M114" s="22" t="s">
        <v>4231</v>
      </c>
      <c r="N114" s="22" t="s">
        <v>3099</v>
      </c>
      <c r="O114" s="22" t="s">
        <v>45</v>
      </c>
      <c r="P114" s="22" t="s">
        <v>45</v>
      </c>
      <c r="Q114" s="22" t="s">
        <v>45</v>
      </c>
      <c r="R114" s="22" t="s">
        <v>49</v>
      </c>
      <c r="S114" s="22" t="s">
        <v>45</v>
      </c>
      <c r="T114" s="22" t="s">
        <v>2002</v>
      </c>
      <c r="U114" s="22" t="s">
        <v>45</v>
      </c>
      <c r="V114" s="22" t="s">
        <v>45</v>
      </c>
      <c r="W114" s="22" t="s">
        <v>5207</v>
      </c>
    </row>
    <row r="115" ht="45.0" customHeight="1">
      <c r="A115" s="55" t="s">
        <v>537</v>
      </c>
      <c r="B115" s="62" t="s">
        <v>4608</v>
      </c>
      <c r="C115" s="22" t="str">
        <f>IMAGE("https://raw.githubusercontent.com/ltdimages/images/refs/heads/main/ClothTopslongAlineHalfSailor_00.png")</f>
        <v/>
      </c>
      <c r="D115" s="22" t="str">
        <f>IMAGE("https://raw.githubusercontent.com/ltdimages/images/refs/heads/main/ClothTopslongAlineHalfSailor_01.png")</f>
        <v/>
      </c>
      <c r="E115" s="22" t="str">
        <f>IMAGE("https://raw.githubusercontent.com/ltdimages/images/refs/heads/main/ClothTopslongAlineHalfSailor_02.png")</f>
        <v/>
      </c>
      <c r="F115" s="22" t="str">
        <f>IMAGE("https://raw.githubusercontent.com/ltdimages/images/refs/heads/main/ClothTopslongAlineHalfSailor_03.png")</f>
        <v/>
      </c>
      <c r="G115" s="22" t="str">
        <f>IMAGE("https://raw.githubusercontent.com/ltdimages/images/refs/heads/main/ClothTopslongAlineHalfSailor_04.png")</f>
        <v/>
      </c>
      <c r="H115" s="22" t="s">
        <v>3095</v>
      </c>
      <c r="I115" s="22" t="s">
        <v>3095</v>
      </c>
      <c r="J115" s="22" t="s">
        <v>3095</v>
      </c>
      <c r="K115" s="63" t="s">
        <v>3110</v>
      </c>
      <c r="L115" s="23">
        <v>31.2</v>
      </c>
      <c r="M115" s="22" t="s">
        <v>4231</v>
      </c>
      <c r="N115" s="22" t="s">
        <v>3123</v>
      </c>
      <c r="O115" s="22" t="s">
        <v>45</v>
      </c>
      <c r="P115" s="22" t="s">
        <v>45</v>
      </c>
      <c r="Q115" s="22" t="s">
        <v>45</v>
      </c>
      <c r="R115" s="22" t="s">
        <v>45</v>
      </c>
      <c r="S115" s="22" t="s">
        <v>45</v>
      </c>
      <c r="T115" s="22" t="s">
        <v>2002</v>
      </c>
      <c r="U115" s="22" t="s">
        <v>45</v>
      </c>
      <c r="V115" s="22" t="s">
        <v>45</v>
      </c>
      <c r="W115" s="22" t="s">
        <v>5208</v>
      </c>
    </row>
    <row r="116" ht="45.0" customHeight="1">
      <c r="A116" s="55" t="s">
        <v>541</v>
      </c>
      <c r="B116" s="62" t="s">
        <v>4617</v>
      </c>
      <c r="C116" s="22" t="str">
        <f>IMAGE("https://raw.githubusercontent.com/ltdimages/images/refs/heads/main/ClothTopslongAlineLongSanta_00.png")</f>
        <v/>
      </c>
      <c r="D116" s="22" t="s">
        <v>3095</v>
      </c>
      <c r="E116" s="22" t="s">
        <v>3095</v>
      </c>
      <c r="F116" s="22" t="s">
        <v>3095</v>
      </c>
      <c r="G116" s="22" t="s">
        <v>3095</v>
      </c>
      <c r="H116" s="22" t="s">
        <v>3095</v>
      </c>
      <c r="I116" s="22" t="s">
        <v>3095</v>
      </c>
      <c r="J116" s="22" t="s">
        <v>3095</v>
      </c>
      <c r="K116" s="63" t="s">
        <v>3110</v>
      </c>
      <c r="L116" s="23">
        <v>32.1</v>
      </c>
      <c r="M116" s="22" t="s">
        <v>4231</v>
      </c>
      <c r="N116" s="22" t="s">
        <v>3114</v>
      </c>
      <c r="O116" s="22" t="s">
        <v>45</v>
      </c>
      <c r="P116" s="22" t="s">
        <v>45</v>
      </c>
      <c r="Q116" s="22" t="s">
        <v>45</v>
      </c>
      <c r="R116" s="22" t="s">
        <v>49</v>
      </c>
      <c r="S116" s="22" t="s">
        <v>45</v>
      </c>
      <c r="T116" s="22" t="s">
        <v>2002</v>
      </c>
      <c r="U116" s="22" t="s">
        <v>45</v>
      </c>
      <c r="V116" s="22" t="s">
        <v>45</v>
      </c>
      <c r="W116" s="22" t="s">
        <v>5209</v>
      </c>
    </row>
    <row r="117" ht="45.0" customHeight="1">
      <c r="A117" s="55" t="s">
        <v>546</v>
      </c>
      <c r="B117" s="62" t="s">
        <v>5210</v>
      </c>
      <c r="C117" s="22" t="str">
        <f>IMAGE("https://raw.githubusercontent.com/ltdimages/images/refs/heads/main/ClothTopslongAlongHalfSaree_00.png")</f>
        <v/>
      </c>
      <c r="D117" s="22" t="str">
        <f>IMAGE("https://raw.githubusercontent.com/ltdimages/images/refs/heads/main/ClothTopslongAlongHalfSaree_01.png")</f>
        <v/>
      </c>
      <c r="E117" s="22" t="str">
        <f>IMAGE("https://raw.githubusercontent.com/ltdimages/images/refs/heads/main/ClothTopslongAlongHalfSaree_02.png")</f>
        <v/>
      </c>
      <c r="F117" s="22" t="str">
        <f>IMAGE("https://raw.githubusercontent.com/ltdimages/images/refs/heads/main/ClothTopslongAlongHalfSaree_03.png")</f>
        <v/>
      </c>
      <c r="G117" s="22" t="str">
        <f>IMAGE("https://raw.githubusercontent.com/ltdimages/images/refs/heads/main/ClothTopslongAlongHalfSaree_04.png")</f>
        <v/>
      </c>
      <c r="H117" s="22" t="str">
        <f>IMAGE("https://raw.githubusercontent.com/ltdimages/images/refs/heads/main/ClothTopslongAlongHalfSaree_05.png")</f>
        <v/>
      </c>
      <c r="I117" s="22" t="str">
        <f>IMAGE("https://raw.githubusercontent.com/ltdimages/images/refs/heads/main/ClothTopslongAlongHalfSaree_06.png")</f>
        <v/>
      </c>
      <c r="J117" s="22" t="str">
        <f>IMAGE("https://raw.githubusercontent.com/ltdimages/images/refs/heads/main/ClothTopslongAlongHalfSaree_07.png")</f>
        <v/>
      </c>
      <c r="K117" s="63" t="s">
        <v>3110</v>
      </c>
      <c r="L117" s="23">
        <v>48.9</v>
      </c>
      <c r="M117" s="22" t="s">
        <v>4231</v>
      </c>
      <c r="N117" s="22" t="s">
        <v>3099</v>
      </c>
      <c r="O117" s="22" t="s">
        <v>45</v>
      </c>
      <c r="P117" s="22" t="s">
        <v>45</v>
      </c>
      <c r="Q117" s="22" t="s">
        <v>45</v>
      </c>
      <c r="R117" s="22" t="s">
        <v>45</v>
      </c>
      <c r="S117" s="22" t="s">
        <v>45</v>
      </c>
      <c r="T117" s="22" t="s">
        <v>2002</v>
      </c>
      <c r="U117" s="22" t="s">
        <v>45</v>
      </c>
      <c r="V117" s="22" t="s">
        <v>45</v>
      </c>
      <c r="W117" s="22" t="s">
        <v>5211</v>
      </c>
    </row>
    <row r="118" ht="45.0" customHeight="1">
      <c r="A118" s="55" t="s">
        <v>550</v>
      </c>
      <c r="B118" s="62" t="s">
        <v>5212</v>
      </c>
      <c r="C118" s="22" t="str">
        <f>IMAGE("https://raw.githubusercontent.com/ltdimages/images/refs/heads/main/ClothTopslongDressSleevelessSatin_00.png")</f>
        <v/>
      </c>
      <c r="D118" s="22" t="str">
        <f>IMAGE("https://raw.githubusercontent.com/ltdimages/images/refs/heads/main/ClothTopslongDressSleevelessSatin_01.png")</f>
        <v/>
      </c>
      <c r="E118" s="22" t="str">
        <f>IMAGE("https://raw.githubusercontent.com/ltdimages/images/refs/heads/main/ClothTopslongDressSleevelessSatin_02.png")</f>
        <v/>
      </c>
      <c r="F118" s="22" t="str">
        <f>IMAGE("https://raw.githubusercontent.com/ltdimages/images/refs/heads/main/ClothTopslongDressSleevelessSatin_03.png")</f>
        <v/>
      </c>
      <c r="G118" s="22" t="str">
        <f>IMAGE("https://raw.githubusercontent.com/ltdimages/images/refs/heads/main/ClothTopslongDressSleevelessSatin_04.png")</f>
        <v/>
      </c>
      <c r="H118" s="22" t="str">
        <f>IMAGE("https://raw.githubusercontent.com/ltdimages/images/refs/heads/main/ClothTopslongDressSleevelessSatin_05.png")</f>
        <v/>
      </c>
      <c r="I118" s="22" t="str">
        <f>IMAGE("https://raw.githubusercontent.com/ltdimages/images/refs/heads/main/ClothTopslongDressSleevelessSatin_06.png")</f>
        <v/>
      </c>
      <c r="J118" s="22" t="str">
        <f>IMAGE("https://raw.githubusercontent.com/ltdimages/images/refs/heads/main/ClothTopslongDressSleevelessSatin_07.png")</f>
        <v/>
      </c>
      <c r="K118" s="63" t="s">
        <v>3110</v>
      </c>
      <c r="L118" s="23">
        <v>33.0</v>
      </c>
      <c r="M118" s="22" t="s">
        <v>4231</v>
      </c>
      <c r="N118" s="22" t="s">
        <v>3099</v>
      </c>
      <c r="O118" s="22" t="s">
        <v>45</v>
      </c>
      <c r="P118" s="22" t="s">
        <v>45</v>
      </c>
      <c r="Q118" s="22" t="s">
        <v>45</v>
      </c>
      <c r="R118" s="22" t="s">
        <v>45</v>
      </c>
      <c r="S118" s="22" t="s">
        <v>45</v>
      </c>
      <c r="T118" s="22" t="s">
        <v>2002</v>
      </c>
      <c r="U118" s="22" t="s">
        <v>45</v>
      </c>
      <c r="V118" s="22" t="s">
        <v>45</v>
      </c>
      <c r="W118" s="22" t="s">
        <v>5213</v>
      </c>
    </row>
    <row r="119" ht="45.0" customHeight="1">
      <c r="A119" s="55" t="s">
        <v>555</v>
      </c>
      <c r="B119" s="62" t="s">
        <v>4629</v>
      </c>
      <c r="C119" s="22" t="str">
        <f>IMAGE("https://raw.githubusercontent.com/ltdimages/images/refs/heads/main/ClothTopslongKimonoLongKimono_00.png")</f>
        <v/>
      </c>
      <c r="D119" s="22" t="str">
        <f>IMAGE("https://raw.githubusercontent.com/ltdimages/images/refs/heads/main/ClothTopslongKimonoLongKimono_01.png")</f>
        <v/>
      </c>
      <c r="E119" s="22" t="str">
        <f>IMAGE("https://raw.githubusercontent.com/ltdimages/images/refs/heads/main/ClothTopslongKimonoLongKimono_02.png")</f>
        <v/>
      </c>
      <c r="F119" s="22" t="str">
        <f>IMAGE("https://raw.githubusercontent.com/ltdimages/images/refs/heads/main/ClothTopslongKimonoLongKimono_03.png")</f>
        <v/>
      </c>
      <c r="G119" s="22" t="str">
        <f>IMAGE("https://raw.githubusercontent.com/ltdimages/images/refs/heads/main/ClothTopslongKimonoLongKimono_04.png")</f>
        <v/>
      </c>
      <c r="H119" s="22" t="str">
        <f>IMAGE("https://raw.githubusercontent.com/ltdimages/images/refs/heads/main/ClothTopslongKimonoLongKimono_05.png")</f>
        <v/>
      </c>
      <c r="I119" s="22" t="str">
        <f>IMAGE("https://raw.githubusercontent.com/ltdimages/images/refs/heads/main/ClothTopslongKimonoLongKimono_06.png")</f>
        <v/>
      </c>
      <c r="J119" s="22" t="str">
        <f>IMAGE("https://raw.githubusercontent.com/ltdimages/images/refs/heads/main/ClothTopslongKimonoLongKimono_07.png")</f>
        <v/>
      </c>
      <c r="K119" s="63" t="s">
        <v>3110</v>
      </c>
      <c r="L119" s="23">
        <v>85.0</v>
      </c>
      <c r="M119" s="22" t="s">
        <v>4231</v>
      </c>
      <c r="N119" s="22" t="s">
        <v>3099</v>
      </c>
      <c r="O119" s="22" t="s">
        <v>45</v>
      </c>
      <c r="P119" s="22" t="s">
        <v>45</v>
      </c>
      <c r="Q119" s="22" t="s">
        <v>45</v>
      </c>
      <c r="R119" s="22" t="s">
        <v>45</v>
      </c>
      <c r="S119" s="22" t="s">
        <v>45</v>
      </c>
      <c r="T119" s="22" t="s">
        <v>2002</v>
      </c>
      <c r="U119" s="22" t="s">
        <v>45</v>
      </c>
      <c r="V119" s="22" t="s">
        <v>45</v>
      </c>
      <c r="W119" s="22" t="s">
        <v>5214</v>
      </c>
    </row>
    <row r="120" ht="45.0" customHeight="1">
      <c r="A120" s="55" t="s">
        <v>559</v>
      </c>
      <c r="B120" s="62" t="s">
        <v>4632</v>
      </c>
      <c r="C120" s="22" t="str">
        <f>IMAGE("https://raw.githubusercontent.com/ltdimages/images/refs/heads/main/ClothTopslongBoxDressLongShirt_00.png")</f>
        <v/>
      </c>
      <c r="D120" s="22" t="str">
        <f>IMAGE("https://raw.githubusercontent.com/ltdimages/images/refs/heads/main/ClothTopslongBoxDressLongShirt_01.png")</f>
        <v/>
      </c>
      <c r="E120" s="22" t="str">
        <f>IMAGE("https://raw.githubusercontent.com/ltdimages/images/refs/heads/main/ClothTopslongBoxDressLongShirt_02.png")</f>
        <v/>
      </c>
      <c r="F120" s="22" t="str">
        <f>IMAGE("https://raw.githubusercontent.com/ltdimages/images/refs/heads/main/ClothTopslongBoxDressLongShirt_03.png")</f>
        <v/>
      </c>
      <c r="G120" s="22" t="str">
        <f>IMAGE("https://raw.githubusercontent.com/ltdimages/images/refs/heads/main/ClothTopslongBoxDressLongShirt_04.png")</f>
        <v/>
      </c>
      <c r="H120" s="22" t="str">
        <f>IMAGE("https://raw.githubusercontent.com/ltdimages/images/refs/heads/main/ClothTopslongBoxDressLongShirt_05.png")</f>
        <v/>
      </c>
      <c r="I120" s="22" t="str">
        <f>IMAGE("https://raw.githubusercontent.com/ltdimages/images/refs/heads/main/ClothTopslongBoxDressLongShirt_06.png")</f>
        <v/>
      </c>
      <c r="J120" s="22" t="str">
        <f>IMAGE("https://raw.githubusercontent.com/ltdimages/images/refs/heads/main/ClothTopslongBoxDressLongShirt_07.png")</f>
        <v/>
      </c>
      <c r="K120" s="63" t="s">
        <v>3110</v>
      </c>
      <c r="L120" s="23">
        <v>20.0</v>
      </c>
      <c r="M120" s="22" t="s">
        <v>4231</v>
      </c>
      <c r="N120" s="22" t="s">
        <v>3099</v>
      </c>
      <c r="O120" s="22" t="s">
        <v>45</v>
      </c>
      <c r="P120" s="22" t="s">
        <v>45</v>
      </c>
      <c r="Q120" s="22" t="s">
        <v>45</v>
      </c>
      <c r="R120" s="22" t="s">
        <v>45</v>
      </c>
      <c r="S120" s="22" t="s">
        <v>45</v>
      </c>
      <c r="T120" s="22" t="s">
        <v>2002</v>
      </c>
      <c r="U120" s="22" t="s">
        <v>45</v>
      </c>
      <c r="V120" s="22" t="s">
        <v>45</v>
      </c>
      <c r="W120" s="22" t="s">
        <v>5215</v>
      </c>
    </row>
    <row r="121" ht="45.0" customHeight="1">
      <c r="A121" s="55" t="s">
        <v>563</v>
      </c>
      <c r="B121" s="62" t="s">
        <v>5216</v>
      </c>
      <c r="C121" s="22" t="str">
        <f>IMAGE("https://raw.githubusercontent.com/ltdimages/images/refs/heads/main/ClothTopslongKimonoLongMiko_00.png")</f>
        <v/>
      </c>
      <c r="D121" s="22" t="s">
        <v>3095</v>
      </c>
      <c r="E121" s="22" t="s">
        <v>3095</v>
      </c>
      <c r="F121" s="22" t="s">
        <v>3095</v>
      </c>
      <c r="G121" s="22" t="s">
        <v>3095</v>
      </c>
      <c r="H121" s="22" t="s">
        <v>3095</v>
      </c>
      <c r="I121" s="22" t="s">
        <v>3095</v>
      </c>
      <c r="J121" s="22" t="s">
        <v>3095</v>
      </c>
      <c r="K121" s="63" t="s">
        <v>3110</v>
      </c>
      <c r="L121" s="23">
        <v>38.0</v>
      </c>
      <c r="M121" s="22" t="s">
        <v>4231</v>
      </c>
      <c r="N121" s="22" t="s">
        <v>3099</v>
      </c>
      <c r="O121" s="22" t="s">
        <v>45</v>
      </c>
      <c r="P121" s="22" t="s">
        <v>45</v>
      </c>
      <c r="Q121" s="22" t="s">
        <v>45</v>
      </c>
      <c r="R121" s="22" t="s">
        <v>49</v>
      </c>
      <c r="S121" s="22" t="s">
        <v>45</v>
      </c>
      <c r="T121" s="22" t="s">
        <v>2002</v>
      </c>
      <c r="U121" s="22" t="s">
        <v>45</v>
      </c>
      <c r="V121" s="22" t="s">
        <v>45</v>
      </c>
      <c r="W121" s="22" t="s">
        <v>5217</v>
      </c>
    </row>
    <row r="122" ht="45.0" customHeight="1">
      <c r="A122" s="55" t="s">
        <v>567</v>
      </c>
      <c r="B122" s="62" t="s">
        <v>4643</v>
      </c>
      <c r="C122" s="22" t="str">
        <f>IMAGE("https://raw.githubusercontent.com/ltdimages/images/refs/heads/main/ClothTopslongBoxDressSleevelessHalterNeck_00.png")</f>
        <v/>
      </c>
      <c r="D122" s="22" t="str">
        <f>IMAGE("https://raw.githubusercontent.com/ltdimages/images/refs/heads/main/ClothTopslongBoxDressSleevelessHalterNeck_01.png")</f>
        <v/>
      </c>
      <c r="E122" s="22" t="str">
        <f>IMAGE("https://raw.githubusercontent.com/ltdimages/images/refs/heads/main/ClothTopslongBoxDressSleevelessHalterNeck_02.png")</f>
        <v/>
      </c>
      <c r="F122" s="22" t="str">
        <f>IMAGE("https://raw.githubusercontent.com/ltdimages/images/refs/heads/main/ClothTopslongBoxDressSleevelessHalterNeck_03.png")</f>
        <v/>
      </c>
      <c r="G122" s="22" t="str">
        <f>IMAGE("https://raw.githubusercontent.com/ltdimages/images/refs/heads/main/ClothTopslongBoxDressSleevelessHalterNeck_04.png")</f>
        <v/>
      </c>
      <c r="H122" s="22" t="str">
        <f>IMAGE("https://raw.githubusercontent.com/ltdimages/images/refs/heads/main/ClothTopslongBoxDressSleevelessHalterNeck_05.png")</f>
        <v/>
      </c>
      <c r="I122" s="22" t="str">
        <f>IMAGE("https://raw.githubusercontent.com/ltdimages/images/refs/heads/main/ClothTopslongBoxDressSleevelessHalterNeck_06.png")</f>
        <v/>
      </c>
      <c r="J122" s="22" t="str">
        <f>IMAGE("https://raw.githubusercontent.com/ltdimages/images/refs/heads/main/ClothTopslongBoxDressSleevelessHalterNeck_07.png")</f>
        <v/>
      </c>
      <c r="K122" s="63" t="s">
        <v>3110</v>
      </c>
      <c r="L122" s="23">
        <v>45.6</v>
      </c>
      <c r="M122" s="22" t="s">
        <v>4231</v>
      </c>
      <c r="N122" s="22" t="s">
        <v>3099</v>
      </c>
      <c r="O122" s="22" t="s">
        <v>45</v>
      </c>
      <c r="P122" s="22" t="s">
        <v>45</v>
      </c>
      <c r="Q122" s="22" t="s">
        <v>45</v>
      </c>
      <c r="R122" s="22" t="s">
        <v>45</v>
      </c>
      <c r="S122" s="22" t="s">
        <v>45</v>
      </c>
      <c r="T122" s="22" t="s">
        <v>2002</v>
      </c>
      <c r="U122" s="22" t="s">
        <v>45</v>
      </c>
      <c r="V122" s="22" t="s">
        <v>45</v>
      </c>
      <c r="W122" s="22" t="s">
        <v>5218</v>
      </c>
    </row>
    <row r="123" ht="45.0" customHeight="1">
      <c r="A123" s="55" t="s">
        <v>571</v>
      </c>
      <c r="B123" s="62" t="s">
        <v>4648</v>
      </c>
      <c r="C123" s="22" t="str">
        <f>IMAGE("https://raw.githubusercontent.com/ltdimages/images/refs/heads/main/ClothTopslongBoxDressHalfTshirt_00.png")</f>
        <v/>
      </c>
      <c r="D123" s="22" t="str">
        <f>IMAGE("https://raw.githubusercontent.com/ltdimages/images/refs/heads/main/ClothTopslongBoxDressHalfTshirt_01.png")</f>
        <v/>
      </c>
      <c r="E123" s="22" t="str">
        <f>IMAGE("https://raw.githubusercontent.com/ltdimages/images/refs/heads/main/ClothTopslongBoxDressHalfTshirt_02.png")</f>
        <v/>
      </c>
      <c r="F123" s="22" t="str">
        <f>IMAGE("https://raw.githubusercontent.com/ltdimages/images/refs/heads/main/ClothTopslongBoxDressHalfTshirt_03.png")</f>
        <v/>
      </c>
      <c r="G123" s="22" t="str">
        <f>IMAGE("https://raw.githubusercontent.com/ltdimages/images/refs/heads/main/ClothTopslongBoxDressHalfTshirt_04.png")</f>
        <v/>
      </c>
      <c r="H123" s="22" t="str">
        <f>IMAGE("https://raw.githubusercontent.com/ltdimages/images/refs/heads/main/ClothTopslongBoxDressHalfTshirt_05.png")</f>
        <v/>
      </c>
      <c r="I123" s="22" t="str">
        <f>IMAGE("https://raw.githubusercontent.com/ltdimages/images/refs/heads/main/ClothTopslongBoxDressHalfTshirt_06.png")</f>
        <v/>
      </c>
      <c r="J123" s="22" t="str">
        <f>IMAGE("https://raw.githubusercontent.com/ltdimages/images/refs/heads/main/ClothTopslongBoxDressHalfTshirt_07.png")</f>
        <v/>
      </c>
      <c r="K123" s="63" t="s">
        <v>3110</v>
      </c>
      <c r="L123" s="23">
        <v>20.0</v>
      </c>
      <c r="M123" s="22" t="s">
        <v>4231</v>
      </c>
      <c r="N123" s="22" t="s">
        <v>3099</v>
      </c>
      <c r="O123" s="22" t="s">
        <v>45</v>
      </c>
      <c r="P123" s="22" t="s">
        <v>45</v>
      </c>
      <c r="Q123" s="22" t="s">
        <v>45</v>
      </c>
      <c r="R123" s="22" t="s">
        <v>45</v>
      </c>
      <c r="S123" s="22" t="s">
        <v>45</v>
      </c>
      <c r="T123" s="22" t="s">
        <v>2002</v>
      </c>
      <c r="U123" s="22" t="s">
        <v>45</v>
      </c>
      <c r="V123" s="22" t="s">
        <v>45</v>
      </c>
      <c r="W123" s="22" t="s">
        <v>5219</v>
      </c>
    </row>
    <row r="124" ht="45.0" customHeight="1">
      <c r="A124" s="55" t="s">
        <v>576</v>
      </c>
      <c r="B124" s="62" t="s">
        <v>4659</v>
      </c>
      <c r="C124" s="22" t="str">
        <f>IMAGE("https://raw.githubusercontent.com/ltdimages/images/refs/heads/main/ClothTopslongAlineSleevelessShirtDress_00.png")</f>
        <v/>
      </c>
      <c r="D124" s="22" t="s">
        <v>3095</v>
      </c>
      <c r="E124" s="22" t="s">
        <v>3095</v>
      </c>
      <c r="F124" s="22" t="s">
        <v>3095</v>
      </c>
      <c r="G124" s="22" t="s">
        <v>3095</v>
      </c>
      <c r="H124" s="22" t="s">
        <v>3095</v>
      </c>
      <c r="I124" s="22" t="s">
        <v>3095</v>
      </c>
      <c r="J124" s="22" t="s">
        <v>3095</v>
      </c>
      <c r="K124" s="63" t="s">
        <v>3110</v>
      </c>
      <c r="L124" s="23">
        <v>20.0</v>
      </c>
      <c r="M124" s="22" t="s">
        <v>4231</v>
      </c>
      <c r="N124" s="22" t="s">
        <v>3123</v>
      </c>
      <c r="O124" s="22" t="s">
        <v>45</v>
      </c>
      <c r="P124" s="22" t="s">
        <v>45</v>
      </c>
      <c r="Q124" s="22" t="s">
        <v>45</v>
      </c>
      <c r="R124" s="22" t="s">
        <v>45</v>
      </c>
      <c r="S124" s="22" t="s">
        <v>45</v>
      </c>
      <c r="T124" s="22" t="s">
        <v>2002</v>
      </c>
      <c r="U124" s="22" t="s">
        <v>45</v>
      </c>
      <c r="V124" s="22" t="s">
        <v>45</v>
      </c>
      <c r="W124" s="22" t="s">
        <v>5220</v>
      </c>
    </row>
    <row r="125" ht="45.0" customHeight="1">
      <c r="A125" s="55" t="s">
        <v>580</v>
      </c>
      <c r="B125" s="62" t="s">
        <v>5221</v>
      </c>
      <c r="C125" s="22" t="str">
        <f>IMAGE("https://raw.githubusercontent.com/ltdimages/images/refs/heads/main/ClothTopslongBoxDressSleevelessSlip_00.png")</f>
        <v/>
      </c>
      <c r="D125" s="22" t="str">
        <f>IMAGE("https://raw.githubusercontent.com/ltdimages/images/refs/heads/main/ClothTopslongBoxDressSleevelessSlip_01.png")</f>
        <v/>
      </c>
      <c r="E125" s="22" t="str">
        <f>IMAGE("https://raw.githubusercontent.com/ltdimages/images/refs/heads/main/ClothTopslongBoxDressSleevelessSlip_02.png")</f>
        <v/>
      </c>
      <c r="F125" s="22" t="str">
        <f>IMAGE("https://raw.githubusercontent.com/ltdimages/images/refs/heads/main/ClothTopslongBoxDressSleevelessSlip_03.png")</f>
        <v/>
      </c>
      <c r="G125" s="22" t="str">
        <f>IMAGE("https://raw.githubusercontent.com/ltdimages/images/refs/heads/main/ClothTopslongBoxDressSleevelessSlip_04.png")</f>
        <v/>
      </c>
      <c r="H125" s="22" t="str">
        <f>IMAGE("https://raw.githubusercontent.com/ltdimages/images/refs/heads/main/ClothTopslongBoxDressSleevelessSlip_05.png")</f>
        <v/>
      </c>
      <c r="I125" s="22" t="str">
        <f>IMAGE("https://raw.githubusercontent.com/ltdimages/images/refs/heads/main/ClothTopslongBoxDressSleevelessSlip_06.png")</f>
        <v/>
      </c>
      <c r="J125" s="22" t="str">
        <f>IMAGE("https://raw.githubusercontent.com/ltdimages/images/refs/heads/main/ClothTopslongBoxDressSleevelessSlip_07.png")</f>
        <v/>
      </c>
      <c r="K125" s="63" t="s">
        <v>3110</v>
      </c>
      <c r="L125" s="23">
        <v>28.0</v>
      </c>
      <c r="M125" s="22" t="s">
        <v>4231</v>
      </c>
      <c r="N125" s="22" t="s">
        <v>3123</v>
      </c>
      <c r="O125" s="22" t="s">
        <v>45</v>
      </c>
      <c r="P125" s="22" t="s">
        <v>45</v>
      </c>
      <c r="Q125" s="22" t="s">
        <v>45</v>
      </c>
      <c r="R125" s="22" t="s">
        <v>45</v>
      </c>
      <c r="S125" s="22" t="s">
        <v>45</v>
      </c>
      <c r="T125" s="22" t="s">
        <v>2002</v>
      </c>
      <c r="U125" s="22" t="s">
        <v>45</v>
      </c>
      <c r="V125" s="22" t="s">
        <v>45</v>
      </c>
      <c r="W125" s="22" t="s">
        <v>5222</v>
      </c>
    </row>
    <row r="126" ht="45.0" customHeight="1">
      <c r="A126" s="55" t="s">
        <v>584</v>
      </c>
      <c r="B126" s="62" t="s">
        <v>5223</v>
      </c>
      <c r="C126" s="22" t="str">
        <f>IMAGE("https://raw.githubusercontent.com/ltdimages/images/refs/heads/main/ClothTopslongAlongLongShiny_00.png")</f>
        <v/>
      </c>
      <c r="D126" s="22" t="str">
        <f>IMAGE("https://raw.githubusercontent.com/ltdimages/images/refs/heads/main/ClothTopslongAlongLongShiny_01.png")</f>
        <v/>
      </c>
      <c r="E126" s="22" t="str">
        <f>IMAGE("https://raw.githubusercontent.com/ltdimages/images/refs/heads/main/ClothTopslongAlongLongShiny_02.png")</f>
        <v/>
      </c>
      <c r="F126" s="22" t="str">
        <f>IMAGE("https://raw.githubusercontent.com/ltdimages/images/refs/heads/main/ClothTopslongAlongLongShiny_03.png")</f>
        <v/>
      </c>
      <c r="G126" s="22" t="str">
        <f>IMAGE("https://raw.githubusercontent.com/ltdimages/images/refs/heads/main/ClothTopslongAlongLongShiny_04.png")</f>
        <v/>
      </c>
      <c r="H126" s="22" t="str">
        <f>IMAGE("https://raw.githubusercontent.com/ltdimages/images/refs/heads/main/ClothTopslongAlongLongShiny_05.png")</f>
        <v/>
      </c>
      <c r="I126" s="22" t="s">
        <v>3095</v>
      </c>
      <c r="J126" s="22" t="s">
        <v>3095</v>
      </c>
      <c r="K126" s="63" t="s">
        <v>3110</v>
      </c>
      <c r="L126" s="23">
        <v>41.0</v>
      </c>
      <c r="M126" s="22" t="s">
        <v>4231</v>
      </c>
      <c r="N126" s="22" t="s">
        <v>3099</v>
      </c>
      <c r="O126" s="22" t="s">
        <v>45</v>
      </c>
      <c r="P126" s="22" t="s">
        <v>45</v>
      </c>
      <c r="Q126" s="22" t="s">
        <v>45</v>
      </c>
      <c r="R126" s="22" t="s">
        <v>45</v>
      </c>
      <c r="S126" s="22" t="s">
        <v>45</v>
      </c>
      <c r="T126" s="22" t="s">
        <v>2002</v>
      </c>
      <c r="U126" s="22" t="s">
        <v>45</v>
      </c>
      <c r="V126" s="22" t="s">
        <v>45</v>
      </c>
      <c r="W126" s="22" t="s">
        <v>5224</v>
      </c>
    </row>
    <row r="127" ht="45.0" customHeight="1">
      <c r="A127" s="55" t="s">
        <v>588</v>
      </c>
      <c r="B127" s="62" t="s">
        <v>5225</v>
      </c>
      <c r="C127" s="22" t="str">
        <f>IMAGE("https://raw.githubusercontent.com/ltdimages/images/refs/heads/main/ClothTopslongBoxDressLongLogo_00.png")</f>
        <v/>
      </c>
      <c r="D127" s="22" t="str">
        <f>IMAGE("https://raw.githubusercontent.com/ltdimages/images/refs/heads/main/ClothTopslongBoxDressLongLogo_01.png")</f>
        <v/>
      </c>
      <c r="E127" s="22" t="str">
        <f>IMAGE("https://raw.githubusercontent.com/ltdimages/images/refs/heads/main/ClothTopslongBoxDressLongLogo_02.png")</f>
        <v/>
      </c>
      <c r="F127" s="22" t="str">
        <f>IMAGE("https://raw.githubusercontent.com/ltdimages/images/refs/heads/main/ClothTopslongBoxDressLongLogo_03.png")</f>
        <v/>
      </c>
      <c r="G127" s="22" t="str">
        <f>IMAGE("https://raw.githubusercontent.com/ltdimages/images/refs/heads/main/ClothTopslongBoxDressLongLogo_04.png")</f>
        <v/>
      </c>
      <c r="H127" s="22" t="str">
        <f>IMAGE("https://raw.githubusercontent.com/ltdimages/images/refs/heads/main/ClothTopslongBoxDressLongLogo_05.png")</f>
        <v/>
      </c>
      <c r="I127" s="22" t="s">
        <v>3095</v>
      </c>
      <c r="J127" s="22" t="s">
        <v>3095</v>
      </c>
      <c r="K127" s="63" t="s">
        <v>3110</v>
      </c>
      <c r="L127" s="23">
        <v>22.0</v>
      </c>
      <c r="M127" s="22" t="s">
        <v>4231</v>
      </c>
      <c r="N127" s="22" t="s">
        <v>3099</v>
      </c>
      <c r="O127" s="22" t="s">
        <v>45</v>
      </c>
      <c r="P127" s="22" t="s">
        <v>45</v>
      </c>
      <c r="Q127" s="22" t="s">
        <v>45</v>
      </c>
      <c r="R127" s="22" t="s">
        <v>45</v>
      </c>
      <c r="S127" s="22" t="s">
        <v>45</v>
      </c>
      <c r="T127" s="22" t="s">
        <v>2002</v>
      </c>
      <c r="U127" s="22" t="s">
        <v>45</v>
      </c>
      <c r="V127" s="22" t="s">
        <v>45</v>
      </c>
      <c r="W127" s="22" t="s">
        <v>5226</v>
      </c>
    </row>
    <row r="128" ht="45.0" customHeight="1">
      <c r="A128" s="55" t="s">
        <v>593</v>
      </c>
      <c r="B128" s="62" t="s">
        <v>5227</v>
      </c>
      <c r="C128" s="22" t="str">
        <f>IMAGE("https://raw.githubusercontent.com/ltdimages/images/refs/heads/main/ClothTopslongDressHalfStar_00.png")</f>
        <v/>
      </c>
      <c r="D128" s="22" t="str">
        <f>IMAGE("https://raw.githubusercontent.com/ltdimages/images/refs/heads/main/ClothTopslongDressHalfStar_01.png")</f>
        <v/>
      </c>
      <c r="E128" s="22" t="str">
        <f>IMAGE("https://raw.githubusercontent.com/ltdimages/images/refs/heads/main/ClothTopslongDressHalfStar_02.png")</f>
        <v/>
      </c>
      <c r="F128" s="22" t="str">
        <f>IMAGE("https://raw.githubusercontent.com/ltdimages/images/refs/heads/main/ClothTopslongDressHalfStar_03.png")</f>
        <v/>
      </c>
      <c r="G128" s="22" t="str">
        <f>IMAGE("https://raw.githubusercontent.com/ltdimages/images/refs/heads/main/ClothTopslongDressHalfStar_04.png")</f>
        <v/>
      </c>
      <c r="H128" s="22" t="str">
        <f>IMAGE("https://raw.githubusercontent.com/ltdimages/images/refs/heads/main/ClothTopslongDressHalfStar_05.png")</f>
        <v/>
      </c>
      <c r="I128" s="22" t="str">
        <f>IMAGE("https://raw.githubusercontent.com/ltdimages/images/refs/heads/main/ClothTopslongDressHalfStar_06.png")</f>
        <v/>
      </c>
      <c r="J128" s="22" t="str">
        <f>IMAGE("https://raw.githubusercontent.com/ltdimages/images/refs/heads/main/ClothTopslongDressHalfStar_07.png")</f>
        <v/>
      </c>
      <c r="K128" s="63" t="s">
        <v>3110</v>
      </c>
      <c r="L128" s="23">
        <v>60.0</v>
      </c>
      <c r="M128" s="22" t="s">
        <v>4231</v>
      </c>
      <c r="N128" s="22" t="s">
        <v>3099</v>
      </c>
      <c r="O128" s="22" t="s">
        <v>45</v>
      </c>
      <c r="P128" s="22" t="s">
        <v>45</v>
      </c>
      <c r="Q128" s="22" t="s">
        <v>45</v>
      </c>
      <c r="R128" s="22" t="s">
        <v>49</v>
      </c>
      <c r="S128" s="22" t="s">
        <v>45</v>
      </c>
      <c r="T128" s="22" t="s">
        <v>2002</v>
      </c>
      <c r="U128" s="22" t="s">
        <v>45</v>
      </c>
      <c r="V128" s="22" t="s">
        <v>45</v>
      </c>
      <c r="W128" s="22" t="s">
        <v>5228</v>
      </c>
    </row>
    <row r="129" ht="45.0" customHeight="1">
      <c r="A129" s="55" t="s">
        <v>597</v>
      </c>
      <c r="B129" s="62" t="s">
        <v>4668</v>
      </c>
      <c r="C129" s="22" t="str">
        <f>IMAGE("https://raw.githubusercontent.com/ltdimages/images/refs/heads/main/ClothTopslongDressLongSteamPunk_00.png")</f>
        <v/>
      </c>
      <c r="D129" s="22" t="str">
        <f>IMAGE("https://raw.githubusercontent.com/ltdimages/images/refs/heads/main/ClothTopslongDressLongSteamPunk_01.png")</f>
        <v/>
      </c>
      <c r="E129" s="22" t="str">
        <f>IMAGE("https://raw.githubusercontent.com/ltdimages/images/refs/heads/main/ClothTopslongDressLongSteamPunk_02.png")</f>
        <v/>
      </c>
      <c r="F129" s="22" t="str">
        <f>IMAGE("https://raw.githubusercontent.com/ltdimages/images/refs/heads/main/ClothTopslongDressLongSteamPunk_03.png")</f>
        <v/>
      </c>
      <c r="G129" s="22" t="str">
        <f>IMAGE("https://raw.githubusercontent.com/ltdimages/images/refs/heads/main/ClothTopslongDressLongSteamPunk_04.png")</f>
        <v/>
      </c>
      <c r="H129" s="22" t="s">
        <v>3095</v>
      </c>
      <c r="I129" s="22" t="s">
        <v>3095</v>
      </c>
      <c r="J129" s="22" t="s">
        <v>3095</v>
      </c>
      <c r="K129" s="63" t="s">
        <v>3110</v>
      </c>
      <c r="L129" s="23">
        <v>42.0</v>
      </c>
      <c r="M129" s="22" t="s">
        <v>4231</v>
      </c>
      <c r="N129" s="22" t="s">
        <v>3099</v>
      </c>
      <c r="O129" s="22" t="s">
        <v>45</v>
      </c>
      <c r="P129" s="22" t="s">
        <v>45</v>
      </c>
      <c r="Q129" s="22" t="s">
        <v>45</v>
      </c>
      <c r="R129" s="22" t="s">
        <v>49</v>
      </c>
      <c r="S129" s="22" t="s">
        <v>45</v>
      </c>
      <c r="T129" s="22" t="s">
        <v>2002</v>
      </c>
      <c r="U129" s="22" t="s">
        <v>45</v>
      </c>
      <c r="V129" s="22" t="s">
        <v>45</v>
      </c>
      <c r="W129" s="22" t="s">
        <v>5229</v>
      </c>
    </row>
    <row r="130" ht="45.0" customHeight="1">
      <c r="A130" s="55" t="s">
        <v>601</v>
      </c>
      <c r="B130" s="62" t="s">
        <v>5230</v>
      </c>
      <c r="C130" s="22" t="str">
        <f>IMAGE("https://raw.githubusercontent.com/ltdimages/images/refs/heads/main/ClothTopslongDressSleevelessSunflower_00.png")</f>
        <v/>
      </c>
      <c r="D130" s="22" t="str">
        <f>IMAGE("https://raw.githubusercontent.com/ltdimages/images/refs/heads/main/ClothTopslongDressSleevelessSunflower_01.png")</f>
        <v/>
      </c>
      <c r="E130" s="22" t="str">
        <f>IMAGE("https://raw.githubusercontent.com/ltdimages/images/refs/heads/main/ClothTopslongDressSleevelessSunflower_02.png")</f>
        <v/>
      </c>
      <c r="F130" s="22" t="str">
        <f>IMAGE("https://raw.githubusercontent.com/ltdimages/images/refs/heads/main/ClothTopslongDressSleevelessSunflower_03.png")</f>
        <v/>
      </c>
      <c r="G130" s="22" t="str">
        <f>IMAGE("https://raw.githubusercontent.com/ltdimages/images/refs/heads/main/ClothTopslongDressSleevelessSunflower_04.png")</f>
        <v/>
      </c>
      <c r="H130" s="22" t="str">
        <f>IMAGE("https://raw.githubusercontent.com/ltdimages/images/refs/heads/main/ClothTopslongDressSleevelessSunflower_05.png")</f>
        <v/>
      </c>
      <c r="I130" s="22" t="str">
        <f>IMAGE("https://raw.githubusercontent.com/ltdimages/images/refs/heads/main/ClothTopslongDressSleevelessSunflower_06.png")</f>
        <v/>
      </c>
      <c r="J130" s="22" t="str">
        <f>IMAGE("https://raw.githubusercontent.com/ltdimages/images/refs/heads/main/ClothTopslongDressSleevelessSunflower_07.png")</f>
        <v/>
      </c>
      <c r="K130" s="63" t="s">
        <v>3110</v>
      </c>
      <c r="L130" s="23">
        <v>28.0</v>
      </c>
      <c r="M130" s="22" t="s">
        <v>4231</v>
      </c>
      <c r="N130" s="22" t="s">
        <v>3123</v>
      </c>
      <c r="O130" s="22" t="s">
        <v>45</v>
      </c>
      <c r="P130" s="22" t="s">
        <v>45</v>
      </c>
      <c r="Q130" s="22" t="s">
        <v>45</v>
      </c>
      <c r="R130" s="22" t="s">
        <v>45</v>
      </c>
      <c r="S130" s="22" t="s">
        <v>45</v>
      </c>
      <c r="T130" s="22" t="s">
        <v>2002</v>
      </c>
      <c r="U130" s="22" t="s">
        <v>45</v>
      </c>
      <c r="V130" s="22" t="s">
        <v>45</v>
      </c>
      <c r="W130" s="22" t="s">
        <v>5231</v>
      </c>
    </row>
    <row r="131" ht="45.0" customHeight="1">
      <c r="A131" s="55" t="s">
        <v>605</v>
      </c>
      <c r="B131" s="62" t="s">
        <v>5232</v>
      </c>
      <c r="C131" s="22" t="str">
        <f>IMAGE("https://raw.githubusercontent.com/ltdimages/images/refs/heads/main/ClothTopslongAlineHalfSalopette_00.png")</f>
        <v/>
      </c>
      <c r="D131" s="22" t="str">
        <f>IMAGE("https://raw.githubusercontent.com/ltdimages/images/refs/heads/main/ClothTopslongAlineHalfSalopette_01.png")</f>
        <v/>
      </c>
      <c r="E131" s="22" t="str">
        <f>IMAGE("https://raw.githubusercontent.com/ltdimages/images/refs/heads/main/ClothTopslongAlineHalfSalopette_02.png")</f>
        <v/>
      </c>
      <c r="F131" s="22" t="str">
        <f>IMAGE("https://raw.githubusercontent.com/ltdimages/images/refs/heads/main/ClothTopslongAlineHalfSalopette_03.png")</f>
        <v/>
      </c>
      <c r="G131" s="22" t="str">
        <f>IMAGE("https://raw.githubusercontent.com/ltdimages/images/refs/heads/main/ClothTopslongAlineHalfSalopette_04.png")</f>
        <v/>
      </c>
      <c r="H131" s="22" t="str">
        <f>IMAGE("https://raw.githubusercontent.com/ltdimages/images/refs/heads/main/ClothTopslongAlineHalfSalopette_05.png")</f>
        <v/>
      </c>
      <c r="I131" s="22" t="str">
        <f>IMAGE("https://raw.githubusercontent.com/ltdimages/images/refs/heads/main/ClothTopslongAlineHalfSalopette_06.png")</f>
        <v/>
      </c>
      <c r="J131" s="22" t="str">
        <f>IMAGE("https://raw.githubusercontent.com/ltdimages/images/refs/heads/main/ClothTopslongAlineHalfSalopette_07.png")</f>
        <v/>
      </c>
      <c r="K131" s="63" t="s">
        <v>3110</v>
      </c>
      <c r="L131" s="23">
        <v>21.0</v>
      </c>
      <c r="M131" s="22" t="s">
        <v>4231</v>
      </c>
      <c r="N131" s="22" t="s">
        <v>3099</v>
      </c>
      <c r="O131" s="22" t="s">
        <v>45</v>
      </c>
      <c r="P131" s="22" t="s">
        <v>45</v>
      </c>
      <c r="Q131" s="22" t="s">
        <v>45</v>
      </c>
      <c r="R131" s="22" t="s">
        <v>45</v>
      </c>
      <c r="S131" s="22" t="s">
        <v>45</v>
      </c>
      <c r="T131" s="22" t="s">
        <v>2002</v>
      </c>
      <c r="U131" s="22" t="s">
        <v>45</v>
      </c>
      <c r="V131" s="22" t="s">
        <v>45</v>
      </c>
      <c r="W131" s="22" t="s">
        <v>5233</v>
      </c>
    </row>
    <row r="132" ht="45.0" customHeight="1">
      <c r="A132" s="55" t="s">
        <v>609</v>
      </c>
      <c r="B132" s="62" t="s">
        <v>4269</v>
      </c>
      <c r="C132" s="22" t="str">
        <f>IMAGE("https://raw.githubusercontent.com/ltdimages/images/refs/heads/main/ClothTopslongAlongSleevelessTiedye_00.png")</f>
        <v/>
      </c>
      <c r="D132" s="22" t="str">
        <f>IMAGE("https://raw.githubusercontent.com/ltdimages/images/refs/heads/main/ClothTopslongAlongSleevelessTiedye_01.png")</f>
        <v/>
      </c>
      <c r="E132" s="22" t="str">
        <f>IMAGE("https://raw.githubusercontent.com/ltdimages/images/refs/heads/main/ClothTopslongAlongSleevelessTiedye_02.png")</f>
        <v/>
      </c>
      <c r="F132" s="22" t="str">
        <f>IMAGE("https://raw.githubusercontent.com/ltdimages/images/refs/heads/main/ClothTopslongAlongSleevelessTiedye_03.png")</f>
        <v/>
      </c>
      <c r="G132" s="22" t="str">
        <f>IMAGE("https://raw.githubusercontent.com/ltdimages/images/refs/heads/main/ClothTopslongAlongSleevelessTiedye_04.png")</f>
        <v/>
      </c>
      <c r="H132" s="22" t="str">
        <f>IMAGE("https://raw.githubusercontent.com/ltdimages/images/refs/heads/main/ClothTopslongAlongSleevelessTiedye_05.png")</f>
        <v/>
      </c>
      <c r="I132" s="22" t="s">
        <v>3095</v>
      </c>
      <c r="J132" s="22" t="s">
        <v>3095</v>
      </c>
      <c r="K132" s="63" t="s">
        <v>3110</v>
      </c>
      <c r="L132" s="23">
        <v>23.4</v>
      </c>
      <c r="M132" s="22" t="s">
        <v>4231</v>
      </c>
      <c r="N132" s="22" t="s">
        <v>3123</v>
      </c>
      <c r="O132" s="22" t="s">
        <v>45</v>
      </c>
      <c r="P132" s="22" t="s">
        <v>45</v>
      </c>
      <c r="Q132" s="22" t="s">
        <v>45</v>
      </c>
      <c r="R132" s="22" t="s">
        <v>45</v>
      </c>
      <c r="S132" s="22" t="s">
        <v>45</v>
      </c>
      <c r="T132" s="22" t="s">
        <v>2002</v>
      </c>
      <c r="U132" s="22" t="s">
        <v>45</v>
      </c>
      <c r="V132" s="22" t="s">
        <v>45</v>
      </c>
      <c r="W132" s="22" t="s">
        <v>5234</v>
      </c>
    </row>
    <row r="133" ht="45.0" customHeight="1">
      <c r="A133" s="55" t="s">
        <v>613</v>
      </c>
      <c r="B133" s="62" t="s">
        <v>4696</v>
      </c>
      <c r="C133" s="22" t="str">
        <f>IMAGE("https://raw.githubusercontent.com/ltdimages/images/refs/heads/main/ClothTopslongBoxDressSleevelessTropical_00.png")</f>
        <v/>
      </c>
      <c r="D133" s="22" t="str">
        <f>IMAGE("https://raw.githubusercontent.com/ltdimages/images/refs/heads/main/ClothTopslongBoxDressSleevelessTropical_01.png")</f>
        <v/>
      </c>
      <c r="E133" s="22" t="str">
        <f>IMAGE("https://raw.githubusercontent.com/ltdimages/images/refs/heads/main/ClothTopslongBoxDressSleevelessTropical_02.png")</f>
        <v/>
      </c>
      <c r="F133" s="22" t="str">
        <f>IMAGE("https://raw.githubusercontent.com/ltdimages/images/refs/heads/main/ClothTopslongBoxDressSleevelessTropical_03.png")</f>
        <v/>
      </c>
      <c r="G133" s="22" t="str">
        <f>IMAGE("https://raw.githubusercontent.com/ltdimages/images/refs/heads/main/ClothTopslongBoxDressSleevelessTropical_04.png")</f>
        <v/>
      </c>
      <c r="H133" s="22" t="str">
        <f>IMAGE("https://raw.githubusercontent.com/ltdimages/images/refs/heads/main/ClothTopslongBoxDressSleevelessTropical_05.png")</f>
        <v/>
      </c>
      <c r="I133" s="22" t="s">
        <v>3095</v>
      </c>
      <c r="J133" s="22" t="s">
        <v>3095</v>
      </c>
      <c r="K133" s="63" t="s">
        <v>3110</v>
      </c>
      <c r="L133" s="23">
        <v>31.0</v>
      </c>
      <c r="M133" s="22" t="s">
        <v>4231</v>
      </c>
      <c r="N133" s="22" t="s">
        <v>3123</v>
      </c>
      <c r="O133" s="22" t="s">
        <v>45</v>
      </c>
      <c r="P133" s="22" t="s">
        <v>45</v>
      </c>
      <c r="Q133" s="22" t="s">
        <v>45</v>
      </c>
      <c r="R133" s="22" t="s">
        <v>45</v>
      </c>
      <c r="S133" s="22" t="s">
        <v>45</v>
      </c>
      <c r="T133" s="22" t="s">
        <v>2002</v>
      </c>
      <c r="U133" s="22" t="s">
        <v>45</v>
      </c>
      <c r="V133" s="22" t="s">
        <v>45</v>
      </c>
      <c r="W133" s="22" t="s">
        <v>5235</v>
      </c>
    </row>
    <row r="134" ht="45.0" customHeight="1">
      <c r="A134" s="55" t="s">
        <v>617</v>
      </c>
      <c r="B134" s="62" t="s">
        <v>4715</v>
      </c>
      <c r="C134" s="22" t="str">
        <f>IMAGE("https://raw.githubusercontent.com/ltdimages/images/refs/heads/main/ClothTopslongDressHalfAlpinist_00.png")</f>
        <v/>
      </c>
      <c r="D134" s="22" t="str">
        <f>IMAGE("https://raw.githubusercontent.com/ltdimages/images/refs/heads/main/ClothTopslongDressHalfAlpinist_01.png")</f>
        <v/>
      </c>
      <c r="E134" s="22" t="str">
        <f>IMAGE("https://raw.githubusercontent.com/ltdimages/images/refs/heads/main/ClothTopslongDressHalfAlpinist_02.png")</f>
        <v/>
      </c>
      <c r="F134" s="22" t="str">
        <f>IMAGE("https://raw.githubusercontent.com/ltdimages/images/refs/heads/main/ClothTopslongDressHalfAlpinist_03.png")</f>
        <v/>
      </c>
      <c r="G134" s="22" t="str">
        <f>IMAGE("https://raw.githubusercontent.com/ltdimages/images/refs/heads/main/ClothTopslongDressHalfAlpinist_04.png")</f>
        <v/>
      </c>
      <c r="H134" s="22" t="str">
        <f>IMAGE("https://raw.githubusercontent.com/ltdimages/images/refs/heads/main/ClothTopslongDressHalfAlpinist_05.png")</f>
        <v/>
      </c>
      <c r="I134" s="22" t="s">
        <v>3095</v>
      </c>
      <c r="J134" s="22" t="s">
        <v>3095</v>
      </c>
      <c r="K134" s="63" t="s">
        <v>3110</v>
      </c>
      <c r="L134" s="23">
        <v>47.0</v>
      </c>
      <c r="M134" s="22" t="s">
        <v>4231</v>
      </c>
      <c r="N134" s="22" t="s">
        <v>3099</v>
      </c>
      <c r="O134" s="22" t="s">
        <v>45</v>
      </c>
      <c r="P134" s="22" t="s">
        <v>45</v>
      </c>
      <c r="Q134" s="22" t="s">
        <v>45</v>
      </c>
      <c r="R134" s="22" t="s">
        <v>45</v>
      </c>
      <c r="S134" s="22" t="s">
        <v>45</v>
      </c>
      <c r="T134" s="22" t="s">
        <v>2002</v>
      </c>
      <c r="U134" s="22" t="s">
        <v>45</v>
      </c>
      <c r="V134" s="22" t="s">
        <v>45</v>
      </c>
      <c r="W134" s="22" t="s">
        <v>5236</v>
      </c>
    </row>
    <row r="135" ht="45.0" customHeight="1">
      <c r="A135" s="55" t="s">
        <v>622</v>
      </c>
      <c r="B135" s="62" t="s">
        <v>4720</v>
      </c>
      <c r="C135" s="22" t="str">
        <f>IMAGE("https://raw.githubusercontent.com/ltdimages/images/refs/heads/main/ClothTopslongBoxDressLongMoga_00.png")</f>
        <v/>
      </c>
      <c r="D135" s="22" t="str">
        <f>IMAGE("https://raw.githubusercontent.com/ltdimages/images/refs/heads/main/ClothTopslongBoxDressLongMoga_01.png")</f>
        <v/>
      </c>
      <c r="E135" s="22" t="str">
        <f>IMAGE("https://raw.githubusercontent.com/ltdimages/images/refs/heads/main/ClothTopslongBoxDressLongMoga_02.png")</f>
        <v/>
      </c>
      <c r="F135" s="22" t="str">
        <f>IMAGE("https://raw.githubusercontent.com/ltdimages/images/refs/heads/main/ClothTopslongBoxDressLongMoga_03.png")</f>
        <v/>
      </c>
      <c r="G135" s="22" t="str">
        <f>IMAGE("https://raw.githubusercontent.com/ltdimages/images/refs/heads/main/ClothTopslongBoxDressLongMoga_04.png")</f>
        <v/>
      </c>
      <c r="H135" s="22" t="str">
        <f>IMAGE("https://raw.githubusercontent.com/ltdimages/images/refs/heads/main/ClothTopslongBoxDressLongMoga_05.png")</f>
        <v/>
      </c>
      <c r="I135" s="22" t="s">
        <v>3095</v>
      </c>
      <c r="J135" s="22" t="s">
        <v>3095</v>
      </c>
      <c r="K135" s="63" t="s">
        <v>3110</v>
      </c>
      <c r="L135" s="23">
        <v>30.0</v>
      </c>
      <c r="M135" s="22" t="s">
        <v>4231</v>
      </c>
      <c r="N135" s="22" t="s">
        <v>3099</v>
      </c>
      <c r="O135" s="22" t="s">
        <v>45</v>
      </c>
      <c r="P135" s="22" t="s">
        <v>45</v>
      </c>
      <c r="Q135" s="22" t="s">
        <v>45</v>
      </c>
      <c r="R135" s="22" t="s">
        <v>45</v>
      </c>
      <c r="S135" s="22" t="s">
        <v>45</v>
      </c>
      <c r="T135" s="22" t="s">
        <v>2002</v>
      </c>
      <c r="U135" s="22" t="s">
        <v>45</v>
      </c>
      <c r="V135" s="22" t="s">
        <v>45</v>
      </c>
      <c r="W135" s="22" t="s">
        <v>5237</v>
      </c>
    </row>
    <row r="136" ht="45.0" customHeight="1">
      <c r="A136" s="55" t="s">
        <v>626</v>
      </c>
      <c r="B136" s="62" t="s">
        <v>4725</v>
      </c>
      <c r="C136" s="22" t="str">
        <f>IMAGE("https://raw.githubusercontent.com/ltdimages/images/refs/heads/main/ClothTopslongDressSleevelessWedding_00.png")</f>
        <v/>
      </c>
      <c r="D136" s="22" t="str">
        <f>IMAGE("https://raw.githubusercontent.com/ltdimages/images/refs/heads/main/ClothTopslongDressSleevelessWedding_01.png")</f>
        <v/>
      </c>
      <c r="E136" s="22" t="s">
        <v>3095</v>
      </c>
      <c r="F136" s="22" t="s">
        <v>3095</v>
      </c>
      <c r="G136" s="22" t="s">
        <v>3095</v>
      </c>
      <c r="H136" s="22" t="s">
        <v>3095</v>
      </c>
      <c r="I136" s="22" t="s">
        <v>3095</v>
      </c>
      <c r="J136" s="22" t="s">
        <v>3095</v>
      </c>
      <c r="K136" s="63" t="s">
        <v>3110</v>
      </c>
      <c r="L136" s="23">
        <v>1000.0</v>
      </c>
      <c r="M136" s="22" t="s">
        <v>4231</v>
      </c>
      <c r="N136" s="22" t="s">
        <v>3099</v>
      </c>
      <c r="O136" s="22" t="s">
        <v>45</v>
      </c>
      <c r="P136" s="22" t="s">
        <v>45</v>
      </c>
      <c r="Q136" s="22" t="s">
        <v>45</v>
      </c>
      <c r="R136" s="22" t="s">
        <v>49</v>
      </c>
      <c r="S136" s="22" t="s">
        <v>45</v>
      </c>
      <c r="T136" s="22" t="s">
        <v>2002</v>
      </c>
      <c r="U136" s="22" t="s">
        <v>45</v>
      </c>
      <c r="V136" s="22" t="s">
        <v>45</v>
      </c>
      <c r="W136" s="22" t="s">
        <v>5238</v>
      </c>
    </row>
    <row r="137" ht="45.0" customHeight="1">
      <c r="A137" s="55" t="s">
        <v>630</v>
      </c>
      <c r="B137" s="62" t="s">
        <v>4729</v>
      </c>
      <c r="C137" s="22" t="str">
        <f>IMAGE("https://raw.githubusercontent.com/ltdimages/images/refs/heads/main/ClothTopslongDressHalfWitch_00.png")</f>
        <v/>
      </c>
      <c r="D137" s="22" t="str">
        <f>IMAGE("https://raw.githubusercontent.com/ltdimages/images/refs/heads/main/ClothTopslongDressHalfWitch_01.png")</f>
        <v/>
      </c>
      <c r="E137" s="22" t="str">
        <f>IMAGE("https://raw.githubusercontent.com/ltdimages/images/refs/heads/main/ClothTopslongDressHalfWitch_02.png")</f>
        <v/>
      </c>
      <c r="F137" s="22" t="str">
        <f>IMAGE("https://raw.githubusercontent.com/ltdimages/images/refs/heads/main/ClothTopslongDressHalfWitch_03.png")</f>
        <v/>
      </c>
      <c r="G137" s="22" t="str">
        <f>IMAGE("https://raw.githubusercontent.com/ltdimages/images/refs/heads/main/ClothTopslongDressHalfWitch_04.png")</f>
        <v/>
      </c>
      <c r="H137" s="22" t="str">
        <f>IMAGE("https://raw.githubusercontent.com/ltdimages/images/refs/heads/main/ClothTopslongDressHalfWitch_05.png")</f>
        <v/>
      </c>
      <c r="I137" s="22" t="s">
        <v>3095</v>
      </c>
      <c r="J137" s="22" t="s">
        <v>3095</v>
      </c>
      <c r="K137" s="63" t="s">
        <v>3110</v>
      </c>
      <c r="L137" s="23">
        <v>24.0</v>
      </c>
      <c r="M137" s="22" t="s">
        <v>4231</v>
      </c>
      <c r="N137" s="22" t="s">
        <v>3099</v>
      </c>
      <c r="O137" s="22" t="s">
        <v>45</v>
      </c>
      <c r="P137" s="22" t="s">
        <v>45</v>
      </c>
      <c r="Q137" s="22" t="s">
        <v>45</v>
      </c>
      <c r="R137" s="22" t="s">
        <v>49</v>
      </c>
      <c r="S137" s="22" t="s">
        <v>45</v>
      </c>
      <c r="T137" s="22" t="s">
        <v>2002</v>
      </c>
      <c r="U137" s="22" t="s">
        <v>45</v>
      </c>
      <c r="V137" s="22" t="s">
        <v>45</v>
      </c>
      <c r="W137" s="22" t="s">
        <v>5239</v>
      </c>
    </row>
    <row r="138" ht="45.0" customHeight="1">
      <c r="A138" s="55" t="s">
        <v>634</v>
      </c>
      <c r="B138" s="62" t="s">
        <v>4735</v>
      </c>
      <c r="C138" s="22" t="str">
        <f>IMAGE("https://raw.githubusercontent.com/ltdimages/images/refs/heads/main/ClothTopslongAlongHalfCachecoeur_00.png")</f>
        <v/>
      </c>
      <c r="D138" s="22" t="str">
        <f>IMAGE("https://raw.githubusercontent.com/ltdimages/images/refs/heads/main/ClothTopslongAlongHalfCachecoeur_01.png")</f>
        <v/>
      </c>
      <c r="E138" s="22" t="str">
        <f>IMAGE("https://raw.githubusercontent.com/ltdimages/images/refs/heads/main/ClothTopslongAlongHalfCachecoeur_02.png")</f>
        <v/>
      </c>
      <c r="F138" s="22" t="str">
        <f>IMAGE("https://raw.githubusercontent.com/ltdimages/images/refs/heads/main/ClothTopslongAlongHalfCachecoeur_03.png")</f>
        <v/>
      </c>
      <c r="G138" s="22" t="str">
        <f>IMAGE("https://raw.githubusercontent.com/ltdimages/images/refs/heads/main/ClothTopslongAlongHalfCachecoeur_04.png")</f>
        <v/>
      </c>
      <c r="H138" s="22" t="str">
        <f>IMAGE("https://raw.githubusercontent.com/ltdimages/images/refs/heads/main/ClothTopslongAlongHalfCachecoeur_05.png")</f>
        <v/>
      </c>
      <c r="I138" s="22" t="str">
        <f>IMAGE("https://raw.githubusercontent.com/ltdimages/images/refs/heads/main/ClothTopslongAlongHalfCachecoeur_06.png")</f>
        <v/>
      </c>
      <c r="J138" s="22" t="str">
        <f>IMAGE("https://raw.githubusercontent.com/ltdimages/images/refs/heads/main/ClothTopslongAlongHalfCachecoeur_07.png")</f>
        <v/>
      </c>
      <c r="K138" s="63" t="s">
        <v>3110</v>
      </c>
      <c r="L138" s="23">
        <v>22.0</v>
      </c>
      <c r="M138" s="22" t="s">
        <v>4231</v>
      </c>
      <c r="N138" s="22" t="s">
        <v>3123</v>
      </c>
      <c r="O138" s="22" t="s">
        <v>45</v>
      </c>
      <c r="P138" s="22" t="s">
        <v>45</v>
      </c>
      <c r="Q138" s="22" t="s">
        <v>45</v>
      </c>
      <c r="R138" s="22" t="s">
        <v>45</v>
      </c>
      <c r="S138" s="22" t="s">
        <v>45</v>
      </c>
      <c r="T138" s="22" t="s">
        <v>2002</v>
      </c>
      <c r="U138" s="22" t="s">
        <v>45</v>
      </c>
      <c r="V138" s="22" t="s">
        <v>45</v>
      </c>
      <c r="W138" s="22" t="s">
        <v>5240</v>
      </c>
    </row>
    <row r="139" ht="45.0" customHeight="1">
      <c r="A139" s="55" t="s">
        <v>3095</v>
      </c>
      <c r="B139" s="62"/>
      <c r="C139" s="22" t="str">
        <f>IMAGE("https://raw.githubusercontent.com/ltdimages/images/refs/heads/main/ClothTopslongUgcAlineLong_00.png")</f>
        <v/>
      </c>
      <c r="D139" s="22" t="s">
        <v>3095</v>
      </c>
      <c r="E139" s="22" t="s">
        <v>3095</v>
      </c>
      <c r="F139" s="22" t="s">
        <v>3095</v>
      </c>
      <c r="G139" s="22" t="s">
        <v>3095</v>
      </c>
      <c r="H139" s="22" t="s">
        <v>3095</v>
      </c>
      <c r="I139" s="22" t="s">
        <v>3095</v>
      </c>
      <c r="J139" s="22" t="s">
        <v>3095</v>
      </c>
      <c r="K139" s="63" t="s">
        <v>3110</v>
      </c>
      <c r="L139" s="23">
        <v>0.0</v>
      </c>
      <c r="M139" s="22" t="s">
        <v>3097</v>
      </c>
      <c r="N139" s="22" t="s">
        <v>3099</v>
      </c>
      <c r="O139" s="22" t="s">
        <v>45</v>
      </c>
      <c r="P139" s="22" t="s">
        <v>45</v>
      </c>
      <c r="Q139" s="22" t="s">
        <v>45</v>
      </c>
      <c r="R139" s="22" t="s">
        <v>45</v>
      </c>
      <c r="S139" s="22" t="s">
        <v>49</v>
      </c>
      <c r="T139" s="22" t="s">
        <v>2002</v>
      </c>
      <c r="U139" s="22" t="s">
        <v>45</v>
      </c>
      <c r="V139" s="22" t="s">
        <v>45</v>
      </c>
      <c r="W139" s="22" t="s">
        <v>5241</v>
      </c>
    </row>
    <row r="140" ht="45.0" customHeight="1">
      <c r="A140" s="55" t="s">
        <v>3095</v>
      </c>
      <c r="B140" s="62"/>
      <c r="C140" s="22" t="str">
        <f>IMAGE("https://raw.githubusercontent.com/ltdimages/images/refs/heads/main/ClothTopslongUgcAlineHalf_00.png")</f>
        <v/>
      </c>
      <c r="D140" s="22" t="s">
        <v>3095</v>
      </c>
      <c r="E140" s="22" t="s">
        <v>3095</v>
      </c>
      <c r="F140" s="22" t="s">
        <v>3095</v>
      </c>
      <c r="G140" s="22" t="s">
        <v>3095</v>
      </c>
      <c r="H140" s="22" t="s">
        <v>3095</v>
      </c>
      <c r="I140" s="22" t="s">
        <v>3095</v>
      </c>
      <c r="J140" s="22" t="s">
        <v>3095</v>
      </c>
      <c r="K140" s="63" t="s">
        <v>3110</v>
      </c>
      <c r="L140" s="23">
        <v>0.0</v>
      </c>
      <c r="M140" s="22" t="s">
        <v>3097</v>
      </c>
      <c r="N140" s="22" t="s">
        <v>3099</v>
      </c>
      <c r="O140" s="22" t="s">
        <v>45</v>
      </c>
      <c r="P140" s="22" t="s">
        <v>45</v>
      </c>
      <c r="Q140" s="22" t="s">
        <v>45</v>
      </c>
      <c r="R140" s="22" t="s">
        <v>45</v>
      </c>
      <c r="S140" s="22" t="s">
        <v>49</v>
      </c>
      <c r="T140" s="22" t="s">
        <v>2002</v>
      </c>
      <c r="U140" s="22" t="s">
        <v>45</v>
      </c>
      <c r="V140" s="22" t="s">
        <v>45</v>
      </c>
      <c r="W140" s="22" t="s">
        <v>5242</v>
      </c>
    </row>
    <row r="141" ht="45.0" customHeight="1">
      <c r="A141" s="55" t="s">
        <v>3095</v>
      </c>
      <c r="B141" s="62"/>
      <c r="C141" s="22" t="str">
        <f>IMAGE("https://raw.githubusercontent.com/ltdimages/images/refs/heads/main/ClothTopslongUgcAlineSleeveless_00.png")</f>
        <v/>
      </c>
      <c r="D141" s="22" t="s">
        <v>3095</v>
      </c>
      <c r="E141" s="22" t="s">
        <v>3095</v>
      </c>
      <c r="F141" s="22" t="s">
        <v>3095</v>
      </c>
      <c r="G141" s="22" t="s">
        <v>3095</v>
      </c>
      <c r="H141" s="22" t="s">
        <v>3095</v>
      </c>
      <c r="I141" s="22" t="s">
        <v>3095</v>
      </c>
      <c r="J141" s="22" t="s">
        <v>3095</v>
      </c>
      <c r="K141" s="63" t="s">
        <v>3110</v>
      </c>
      <c r="L141" s="23">
        <v>0.0</v>
      </c>
      <c r="M141" s="22" t="s">
        <v>3097</v>
      </c>
      <c r="N141" s="22" t="s">
        <v>3099</v>
      </c>
      <c r="O141" s="22" t="s">
        <v>45</v>
      </c>
      <c r="P141" s="22" t="s">
        <v>45</v>
      </c>
      <c r="Q141" s="22" t="s">
        <v>45</v>
      </c>
      <c r="R141" s="22" t="s">
        <v>45</v>
      </c>
      <c r="S141" s="22" t="s">
        <v>49</v>
      </c>
      <c r="T141" s="22" t="s">
        <v>2002</v>
      </c>
      <c r="U141" s="22" t="s">
        <v>45</v>
      </c>
      <c r="V141" s="22" t="s">
        <v>45</v>
      </c>
      <c r="W141" s="22" t="s">
        <v>5243</v>
      </c>
    </row>
    <row r="142" ht="45.0" customHeight="1">
      <c r="A142" s="55" t="s">
        <v>3095</v>
      </c>
      <c r="B142" s="62"/>
      <c r="C142" s="22" t="str">
        <f>IMAGE("https://raw.githubusercontent.com/ltdimages/images/refs/heads/main/ClothTopslongUgcDressHalf_00.png")</f>
        <v/>
      </c>
      <c r="D142" s="22" t="s">
        <v>3095</v>
      </c>
      <c r="E142" s="22" t="s">
        <v>3095</v>
      </c>
      <c r="F142" s="22" t="s">
        <v>3095</v>
      </c>
      <c r="G142" s="22" t="s">
        <v>3095</v>
      </c>
      <c r="H142" s="22" t="s">
        <v>3095</v>
      </c>
      <c r="I142" s="22" t="s">
        <v>3095</v>
      </c>
      <c r="J142" s="22" t="s">
        <v>3095</v>
      </c>
      <c r="K142" s="63" t="s">
        <v>3110</v>
      </c>
      <c r="L142" s="23">
        <v>0.0</v>
      </c>
      <c r="M142" s="22" t="s">
        <v>3097</v>
      </c>
      <c r="N142" s="22" t="s">
        <v>3099</v>
      </c>
      <c r="O142" s="22" t="s">
        <v>45</v>
      </c>
      <c r="P142" s="22" t="s">
        <v>45</v>
      </c>
      <c r="Q142" s="22" t="s">
        <v>45</v>
      </c>
      <c r="R142" s="22" t="s">
        <v>45</v>
      </c>
      <c r="S142" s="22" t="s">
        <v>49</v>
      </c>
      <c r="T142" s="22" t="s">
        <v>2002</v>
      </c>
      <c r="U142" s="22" t="s">
        <v>45</v>
      </c>
      <c r="V142" s="22" t="s">
        <v>45</v>
      </c>
      <c r="W142" s="22" t="s">
        <v>5244</v>
      </c>
    </row>
    <row r="143" ht="45.0" customHeight="1">
      <c r="A143" s="55" t="s">
        <v>3095</v>
      </c>
      <c r="B143" s="62"/>
      <c r="C143" s="22" t="str">
        <f>IMAGE("https://raw.githubusercontent.com/ltdimages/images/refs/heads/main/ClothTopslongUgcKimonoLong_00.png")</f>
        <v/>
      </c>
      <c r="D143" s="22" t="s">
        <v>3095</v>
      </c>
      <c r="E143" s="22" t="s">
        <v>3095</v>
      </c>
      <c r="F143" s="22" t="s">
        <v>3095</v>
      </c>
      <c r="G143" s="22" t="s">
        <v>3095</v>
      </c>
      <c r="H143" s="22" t="s">
        <v>3095</v>
      </c>
      <c r="I143" s="22" t="s">
        <v>3095</v>
      </c>
      <c r="J143" s="22" t="s">
        <v>3095</v>
      </c>
      <c r="K143" s="63" t="s">
        <v>3110</v>
      </c>
      <c r="L143" s="23">
        <v>0.0</v>
      </c>
      <c r="M143" s="22" t="s">
        <v>3097</v>
      </c>
      <c r="N143" s="22" t="s">
        <v>3099</v>
      </c>
      <c r="O143" s="22" t="s">
        <v>45</v>
      </c>
      <c r="P143" s="22" t="s">
        <v>45</v>
      </c>
      <c r="Q143" s="22" t="s">
        <v>45</v>
      </c>
      <c r="R143" s="22" t="s">
        <v>45</v>
      </c>
      <c r="S143" s="22" t="s">
        <v>49</v>
      </c>
      <c r="T143" s="22" t="s">
        <v>2002</v>
      </c>
      <c r="U143" s="22" t="s">
        <v>45</v>
      </c>
      <c r="V143" s="22" t="s">
        <v>45</v>
      </c>
      <c r="W143" s="22" t="s">
        <v>5245</v>
      </c>
    </row>
  </sheetData>
  <autoFilter ref="$A$1:$W$14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88"/>
    <col customWidth="1" min="2" max="2" width="18.0"/>
    <col customWidth="1" min="3" max="10" width="7.63"/>
    <col customWidth="1" min="11" max="11" width="15.13"/>
    <col customWidth="1" min="12" max="12" width="13.63"/>
    <col customWidth="1" min="13" max="13" width="9.5"/>
    <col customWidth="1" min="14" max="14" width="13.63"/>
    <col customWidth="1" min="15" max="15" width="8.63"/>
    <col customWidth="1" min="16" max="16" width="8.5"/>
    <col customWidth="1" min="17" max="17" width="12.63"/>
    <col customWidth="1" min="18" max="18" width="9.75"/>
    <col customWidth="1" min="19" max="19" width="15.13"/>
    <col customWidth="1" min="20" max="20" width="11.38"/>
    <col customWidth="1" min="21" max="21" width="8.38"/>
    <col customWidth="1" min="22" max="22" width="9.38"/>
    <col customWidth="1" min="23" max="23" width="31.0"/>
    <col customWidth="1" min="24" max="32" width="7.63"/>
  </cols>
  <sheetData>
    <row r="1" ht="31.5" customHeight="1">
      <c r="A1" s="58" t="s">
        <v>23</v>
      </c>
      <c r="B1" s="59" t="s">
        <v>25</v>
      </c>
      <c r="C1" s="60" t="s">
        <v>3059</v>
      </c>
      <c r="D1" s="60" t="s">
        <v>3060</v>
      </c>
      <c r="E1" s="60" t="s">
        <v>3061</v>
      </c>
      <c r="F1" s="60" t="s">
        <v>3062</v>
      </c>
      <c r="G1" s="60" t="s">
        <v>3063</v>
      </c>
      <c r="H1" s="60" t="s">
        <v>3064</v>
      </c>
      <c r="I1" s="60" t="s">
        <v>3065</v>
      </c>
      <c r="J1" s="60" t="s">
        <v>3066</v>
      </c>
      <c r="K1" s="19" t="s">
        <v>1993</v>
      </c>
      <c r="L1" s="19" t="s">
        <v>29</v>
      </c>
      <c r="M1" s="19" t="s">
        <v>3067</v>
      </c>
      <c r="N1" s="19" t="s">
        <v>3069</v>
      </c>
      <c r="O1" s="19" t="s">
        <v>3070</v>
      </c>
      <c r="P1" s="19" t="s">
        <v>3071</v>
      </c>
      <c r="Q1" s="19" t="s">
        <v>3072</v>
      </c>
      <c r="R1" s="19" t="s">
        <v>3073</v>
      </c>
      <c r="S1" s="19" t="s">
        <v>3075</v>
      </c>
      <c r="T1" s="19" t="s">
        <v>4749</v>
      </c>
      <c r="U1" s="19" t="s">
        <v>4750</v>
      </c>
      <c r="V1" s="19" t="s">
        <v>4751</v>
      </c>
      <c r="W1" s="19" t="s">
        <v>40</v>
      </c>
      <c r="X1" s="60" t="s">
        <v>3085</v>
      </c>
      <c r="Y1" s="61" t="s">
        <v>3086</v>
      </c>
      <c r="Z1" s="61" t="s">
        <v>3087</v>
      </c>
      <c r="AA1" s="61" t="s">
        <v>3088</v>
      </c>
      <c r="AB1" s="61" t="s">
        <v>3089</v>
      </c>
      <c r="AC1" s="61" t="s">
        <v>3090</v>
      </c>
      <c r="AD1" s="61" t="s">
        <v>3091</v>
      </c>
      <c r="AE1" s="61" t="s">
        <v>3092</v>
      </c>
      <c r="AF1" s="61" t="s">
        <v>3093</v>
      </c>
    </row>
    <row r="2" ht="45.0" customHeight="1">
      <c r="A2" s="55" t="s">
        <v>41</v>
      </c>
      <c r="B2" s="62" t="s">
        <v>3101</v>
      </c>
      <c r="C2" s="22" t="str">
        <f>IMAGE("https://raw.githubusercontent.com/ltdimages/images/refs/heads/main/ClothBottomsPantsLongAbc_00.png")</f>
        <v/>
      </c>
      <c r="D2" s="22" t="str">
        <f>IMAGE("https://raw.githubusercontent.com/ltdimages/images/refs/heads/main/ClothBottomsPantsLongAbc_01.png")</f>
        <v/>
      </c>
      <c r="E2" s="22" t="str">
        <f>IMAGE("https://raw.githubusercontent.com/ltdimages/images/refs/heads/main/ClothBottomsPantsLongAbc_02.png")</f>
        <v/>
      </c>
      <c r="F2" s="22" t="str">
        <f>IMAGE("https://raw.githubusercontent.com/ltdimages/images/refs/heads/main/ClothBottomsPantsLongAbc_03.png")</f>
        <v/>
      </c>
      <c r="G2" s="22" t="str">
        <f>IMAGE("https://raw.githubusercontent.com/ltdimages/images/refs/heads/main/ClothBottomsPantsLongAbc_04.png")</f>
        <v/>
      </c>
      <c r="H2" s="22" t="str">
        <f>IMAGE("https://raw.githubusercontent.com/ltdimages/images/refs/heads/main/ClothBottomsPantsLongAbc_05.png")</f>
        <v/>
      </c>
      <c r="I2" s="22" t="s">
        <v>3095</v>
      </c>
      <c r="J2" s="22" t="s">
        <v>3095</v>
      </c>
      <c r="K2" s="63" t="s">
        <v>4287</v>
      </c>
      <c r="L2" s="23">
        <v>8.5</v>
      </c>
      <c r="M2" s="22" t="s">
        <v>3097</v>
      </c>
      <c r="N2" s="22" t="s">
        <v>3099</v>
      </c>
      <c r="O2" s="22" t="s">
        <v>45</v>
      </c>
      <c r="P2" s="22" t="s">
        <v>45</v>
      </c>
      <c r="Q2" s="22" t="s">
        <v>45</v>
      </c>
      <c r="R2" s="22" t="s">
        <v>45</v>
      </c>
      <c r="S2" s="22" t="s">
        <v>45</v>
      </c>
      <c r="T2" s="22" t="s">
        <v>2002</v>
      </c>
      <c r="U2" s="22" t="s">
        <v>45</v>
      </c>
      <c r="V2" s="22" t="s">
        <v>45</v>
      </c>
      <c r="W2" s="22" t="s">
        <v>5246</v>
      </c>
      <c r="X2" s="22" t="s">
        <v>3095</v>
      </c>
      <c r="Y2" s="22" t="s">
        <v>3095</v>
      </c>
      <c r="Z2" s="22" t="s">
        <v>3095</v>
      </c>
      <c r="AA2" s="22" t="s">
        <v>3095</v>
      </c>
      <c r="AB2" s="22" t="s">
        <v>3095</v>
      </c>
      <c r="AC2" s="22" t="s">
        <v>3095</v>
      </c>
      <c r="AD2" s="22" t="s">
        <v>3095</v>
      </c>
      <c r="AE2" s="22" t="s">
        <v>3095</v>
      </c>
      <c r="AF2" s="22" t="s">
        <v>3095</v>
      </c>
    </row>
    <row r="3" ht="45.0" customHeight="1">
      <c r="A3" s="55" t="s">
        <v>52</v>
      </c>
      <c r="B3" s="62" t="s">
        <v>5247</v>
      </c>
      <c r="C3" s="22" t="str">
        <f>IMAGE("https://raw.githubusercontent.com/ltdimages/images/refs/heads/main/ClothBottomsBloomersNoble_00.png")</f>
        <v/>
      </c>
      <c r="D3" s="22" t="str">
        <f>IMAGE("https://raw.githubusercontent.com/ltdimages/images/refs/heads/main/ClothBottomsBloomersNoble_01.png")</f>
        <v/>
      </c>
      <c r="E3" s="22" t="str">
        <f>IMAGE("https://raw.githubusercontent.com/ltdimages/images/refs/heads/main/ClothBottomsBloomersNoble_02.png")</f>
        <v/>
      </c>
      <c r="F3" s="22" t="str">
        <f>IMAGE("https://raw.githubusercontent.com/ltdimages/images/refs/heads/main/ClothBottomsBloomersNoble_03.png")</f>
        <v/>
      </c>
      <c r="G3" s="22" t="str">
        <f>IMAGE("https://raw.githubusercontent.com/ltdimages/images/refs/heads/main/ClothBottomsBloomersNoble_04.png")</f>
        <v/>
      </c>
      <c r="H3" s="22" t="str">
        <f>IMAGE("https://raw.githubusercontent.com/ltdimages/images/refs/heads/main/ClothBottomsBloomersNoble_05.png")</f>
        <v/>
      </c>
      <c r="I3" s="22" t="str">
        <f>IMAGE("https://raw.githubusercontent.com/ltdimages/images/refs/heads/main/ClothBottomsBloomersNoble_06.png")</f>
        <v/>
      </c>
      <c r="J3" s="22" t="str">
        <f>IMAGE("https://raw.githubusercontent.com/ltdimages/images/refs/heads/main/ClothBottomsBloomersNoble_07.png")</f>
        <v/>
      </c>
      <c r="K3" s="63" t="s">
        <v>4287</v>
      </c>
      <c r="L3" s="23">
        <v>600.0</v>
      </c>
      <c r="M3" s="22" t="s">
        <v>3097</v>
      </c>
      <c r="N3" s="22" t="s">
        <v>3099</v>
      </c>
      <c r="O3" s="22" t="s">
        <v>45</v>
      </c>
      <c r="P3" s="22" t="s">
        <v>45</v>
      </c>
      <c r="Q3" s="22" t="s">
        <v>45</v>
      </c>
      <c r="R3" s="22" t="s">
        <v>49</v>
      </c>
      <c r="S3" s="22" t="s">
        <v>45</v>
      </c>
      <c r="T3" s="22" t="s">
        <v>2002</v>
      </c>
      <c r="U3" s="22" t="s">
        <v>45</v>
      </c>
      <c r="V3" s="22" t="s">
        <v>45</v>
      </c>
      <c r="W3" s="22" t="s">
        <v>5248</v>
      </c>
      <c r="X3" s="22" t="s">
        <v>3095</v>
      </c>
      <c r="Y3" s="22" t="s">
        <v>3095</v>
      </c>
      <c r="Z3" s="22" t="s">
        <v>3095</v>
      </c>
      <c r="AA3" s="22" t="s">
        <v>3095</v>
      </c>
      <c r="AB3" s="22" t="s">
        <v>3095</v>
      </c>
      <c r="AC3" s="22" t="s">
        <v>3095</v>
      </c>
      <c r="AD3" s="22" t="s">
        <v>3095</v>
      </c>
      <c r="AE3" s="22" t="s">
        <v>3095</v>
      </c>
      <c r="AF3" s="22" t="s">
        <v>3095</v>
      </c>
    </row>
    <row r="4" ht="45.0" customHeight="1">
      <c r="A4" s="55" t="s">
        <v>60</v>
      </c>
      <c r="B4" s="62" t="s">
        <v>5249</v>
      </c>
      <c r="C4" s="22" t="str">
        <f>IMAGE("https://raw.githubusercontent.com/ltdimages/images/refs/heads/main/ClothBottomsPantsWideBaggy_00.png")</f>
        <v/>
      </c>
      <c r="D4" s="22" t="str">
        <f>IMAGE("https://raw.githubusercontent.com/ltdimages/images/refs/heads/main/ClothBottomsPantsWideBaggy_01.png")</f>
        <v/>
      </c>
      <c r="E4" s="22" t="str">
        <f>IMAGE("https://raw.githubusercontent.com/ltdimages/images/refs/heads/main/ClothBottomsPantsWideBaggy_02.png")</f>
        <v/>
      </c>
      <c r="F4" s="22" t="str">
        <f>IMAGE("https://raw.githubusercontent.com/ltdimages/images/refs/heads/main/ClothBottomsPantsWideBaggy_03.png")</f>
        <v/>
      </c>
      <c r="G4" s="22" t="s">
        <v>3095</v>
      </c>
      <c r="H4" s="22" t="s">
        <v>3095</v>
      </c>
      <c r="I4" s="22" t="s">
        <v>3095</v>
      </c>
      <c r="J4" s="22" t="s">
        <v>3095</v>
      </c>
      <c r="K4" s="63" t="s">
        <v>4287</v>
      </c>
      <c r="L4" s="23">
        <v>10.2</v>
      </c>
      <c r="M4" s="22" t="s">
        <v>3097</v>
      </c>
      <c r="N4" s="22" t="s">
        <v>3099</v>
      </c>
      <c r="O4" s="22" t="s">
        <v>45</v>
      </c>
      <c r="P4" s="22" t="s">
        <v>45</v>
      </c>
      <c r="Q4" s="22" t="s">
        <v>45</v>
      </c>
      <c r="R4" s="22" t="s">
        <v>45</v>
      </c>
      <c r="S4" s="22" t="s">
        <v>45</v>
      </c>
      <c r="T4" s="22" t="s">
        <v>2002</v>
      </c>
      <c r="U4" s="22" t="s">
        <v>45</v>
      </c>
      <c r="V4" s="22" t="s">
        <v>45</v>
      </c>
      <c r="W4" s="22" t="s">
        <v>5250</v>
      </c>
      <c r="X4" s="22" t="s">
        <v>3095</v>
      </c>
      <c r="Y4" s="22" t="s">
        <v>3095</v>
      </c>
      <c r="Z4" s="22" t="s">
        <v>3095</v>
      </c>
      <c r="AA4" s="22" t="s">
        <v>3095</v>
      </c>
      <c r="AB4" s="22" t="s">
        <v>3095</v>
      </c>
      <c r="AC4" s="22" t="s">
        <v>3095</v>
      </c>
      <c r="AD4" s="22" t="s">
        <v>3095</v>
      </c>
      <c r="AE4" s="22" t="s">
        <v>3095</v>
      </c>
      <c r="AF4" s="22" t="s">
        <v>3095</v>
      </c>
    </row>
    <row r="5" ht="45.0" customHeight="1">
      <c r="A5" s="55" t="s">
        <v>65</v>
      </c>
      <c r="B5" s="62" t="s">
        <v>3581</v>
      </c>
      <c r="C5" s="22" t="str">
        <f>IMAGE("https://raw.githubusercontent.com/ltdimages/images/refs/heads/main/ClothBottomsPantsWideSimpleHalf_00.png")</f>
        <v/>
      </c>
      <c r="D5" s="22" t="str">
        <f>IMAGE("https://raw.githubusercontent.com/ltdimages/images/refs/heads/main/ClothBottomsPantsWideSimpleHalf_01.png")</f>
        <v/>
      </c>
      <c r="E5" s="22" t="str">
        <f>IMAGE("https://raw.githubusercontent.com/ltdimages/images/refs/heads/main/ClothBottomsPantsWideSimpleHalf_02.png")</f>
        <v/>
      </c>
      <c r="F5" s="22" t="str">
        <f>IMAGE("https://raw.githubusercontent.com/ltdimages/images/refs/heads/main/ClothBottomsPantsWideSimpleHalf_03.png")</f>
        <v/>
      </c>
      <c r="G5" s="22" t="str">
        <f>IMAGE("https://raw.githubusercontent.com/ltdimages/images/refs/heads/main/ClothBottomsPantsWideSimpleHalf_04.png")</f>
        <v/>
      </c>
      <c r="H5" s="22" t="str">
        <f>IMAGE("https://raw.githubusercontent.com/ltdimages/images/refs/heads/main/ClothBottomsPantsWideSimpleHalf_05.png")</f>
        <v/>
      </c>
      <c r="I5" s="22" t="str">
        <f>IMAGE("https://raw.githubusercontent.com/ltdimages/images/refs/heads/main/ClothBottomsPantsWideSimpleHalf_06.png")</f>
        <v/>
      </c>
      <c r="J5" s="22" t="str">
        <f>IMAGE("https://raw.githubusercontent.com/ltdimages/images/refs/heads/main/ClothBottomsPantsWideSimpleHalf_07.png")</f>
        <v/>
      </c>
      <c r="K5" s="63" t="s">
        <v>4287</v>
      </c>
      <c r="L5" s="23">
        <v>8.1</v>
      </c>
      <c r="M5" s="22" t="s">
        <v>3097</v>
      </c>
      <c r="N5" s="22" t="s">
        <v>3099</v>
      </c>
      <c r="O5" s="22" t="s">
        <v>45</v>
      </c>
      <c r="P5" s="22" t="s">
        <v>45</v>
      </c>
      <c r="Q5" s="22" t="s">
        <v>45</v>
      </c>
      <c r="R5" s="22" t="s">
        <v>45</v>
      </c>
      <c r="S5" s="22" t="s">
        <v>45</v>
      </c>
      <c r="T5" s="22" t="s">
        <v>2002</v>
      </c>
      <c r="U5" s="22" t="s">
        <v>45</v>
      </c>
      <c r="V5" s="22" t="s">
        <v>45</v>
      </c>
      <c r="W5" s="22" t="s">
        <v>5251</v>
      </c>
      <c r="X5" s="22" t="s">
        <v>3095</v>
      </c>
      <c r="Y5" s="22" t="s">
        <v>3095</v>
      </c>
      <c r="Z5" s="22" t="s">
        <v>3095</v>
      </c>
      <c r="AA5" s="22" t="s">
        <v>3095</v>
      </c>
      <c r="AB5" s="22" t="s">
        <v>3095</v>
      </c>
      <c r="AC5" s="22" t="s">
        <v>3095</v>
      </c>
      <c r="AD5" s="22" t="s">
        <v>3095</v>
      </c>
      <c r="AE5" s="22" t="s">
        <v>3095</v>
      </c>
      <c r="AF5" s="22" t="s">
        <v>3095</v>
      </c>
    </row>
    <row r="6" ht="45.0" customHeight="1">
      <c r="A6" s="55" t="s">
        <v>70</v>
      </c>
      <c r="B6" s="62" t="s">
        <v>3148</v>
      </c>
      <c r="C6" s="22" t="str">
        <f>IMAGE("https://raw.githubusercontent.com/ltdimages/images/refs/heads/main/ClothBottomsPantsWideSimple_00.png")</f>
        <v/>
      </c>
      <c r="D6" s="22" t="str">
        <f>IMAGE("https://raw.githubusercontent.com/ltdimages/images/refs/heads/main/ClothBottomsPantsWideSimple_01.png")</f>
        <v/>
      </c>
      <c r="E6" s="22" t="str">
        <f>IMAGE("https://raw.githubusercontent.com/ltdimages/images/refs/heads/main/ClothBottomsPantsWideSimple_02.png")</f>
        <v/>
      </c>
      <c r="F6" s="22" t="str">
        <f>IMAGE("https://raw.githubusercontent.com/ltdimages/images/refs/heads/main/ClothBottomsPantsWideSimple_03.png")</f>
        <v/>
      </c>
      <c r="G6" s="22" t="str">
        <f>IMAGE("https://raw.githubusercontent.com/ltdimages/images/refs/heads/main/ClothBottomsPantsWideSimple_04.png")</f>
        <v/>
      </c>
      <c r="H6" s="22" t="str">
        <f>IMAGE("https://raw.githubusercontent.com/ltdimages/images/refs/heads/main/ClothBottomsPantsWideSimple_05.png")</f>
        <v/>
      </c>
      <c r="I6" s="22" t="str">
        <f>IMAGE("https://raw.githubusercontent.com/ltdimages/images/refs/heads/main/ClothBottomsPantsWideSimple_06.png")</f>
        <v/>
      </c>
      <c r="J6" s="22" t="str">
        <f>IMAGE("https://raw.githubusercontent.com/ltdimages/images/refs/heads/main/ClothBottomsPantsWideSimple_07.png")</f>
        <v/>
      </c>
      <c r="K6" s="63" t="s">
        <v>4287</v>
      </c>
      <c r="L6" s="23">
        <v>11.5</v>
      </c>
      <c r="M6" s="22" t="s">
        <v>3097</v>
      </c>
      <c r="N6" s="22" t="s">
        <v>3099</v>
      </c>
      <c r="O6" s="22" t="s">
        <v>45</v>
      </c>
      <c r="P6" s="22" t="s">
        <v>45</v>
      </c>
      <c r="Q6" s="22" t="s">
        <v>45</v>
      </c>
      <c r="R6" s="22" t="s">
        <v>45</v>
      </c>
      <c r="S6" s="22" t="s">
        <v>45</v>
      </c>
      <c r="T6" s="22" t="s">
        <v>2002</v>
      </c>
      <c r="U6" s="22" t="s">
        <v>45</v>
      </c>
      <c r="V6" s="22" t="s">
        <v>45</v>
      </c>
      <c r="W6" s="22" t="s">
        <v>5252</v>
      </c>
      <c r="X6" s="22" t="s">
        <v>3095</v>
      </c>
      <c r="Y6" s="22" t="s">
        <v>3095</v>
      </c>
      <c r="Z6" s="22" t="s">
        <v>3095</v>
      </c>
      <c r="AA6" s="22" t="s">
        <v>3095</v>
      </c>
      <c r="AB6" s="22" t="s">
        <v>3095</v>
      </c>
      <c r="AC6" s="22" t="s">
        <v>3095</v>
      </c>
      <c r="AD6" s="22" t="s">
        <v>3095</v>
      </c>
      <c r="AE6" s="22" t="s">
        <v>3095</v>
      </c>
      <c r="AF6" s="22" t="s">
        <v>3095</v>
      </c>
    </row>
    <row r="7" ht="45.0" customHeight="1">
      <c r="A7" s="55" t="s">
        <v>74</v>
      </c>
      <c r="B7" s="62" t="s">
        <v>3231</v>
      </c>
      <c r="C7" s="22" t="str">
        <f>IMAGE("https://raw.githubusercontent.com/ltdimages/images/refs/heads/main/ClothBottomsPantsWideBasketball_00.png")</f>
        <v/>
      </c>
      <c r="D7" s="22" t="str">
        <f>IMAGE("https://raw.githubusercontent.com/ltdimages/images/refs/heads/main/ClothBottomsPantsWideBasketball_01.png")</f>
        <v/>
      </c>
      <c r="E7" s="22" t="str">
        <f>IMAGE("https://raw.githubusercontent.com/ltdimages/images/refs/heads/main/ClothBottomsPantsWideBasketball_02.png")</f>
        <v/>
      </c>
      <c r="F7" s="22" t="str">
        <f>IMAGE("https://raw.githubusercontent.com/ltdimages/images/refs/heads/main/ClothBottomsPantsWideBasketball_03.png")</f>
        <v/>
      </c>
      <c r="G7" s="22" t="str">
        <f>IMAGE("https://raw.githubusercontent.com/ltdimages/images/refs/heads/main/ClothBottomsPantsWideBasketball_04.png")</f>
        <v/>
      </c>
      <c r="H7" s="22" t="str">
        <f>IMAGE("https://raw.githubusercontent.com/ltdimages/images/refs/heads/main/ClothBottomsPantsWideBasketball_05.png")</f>
        <v/>
      </c>
      <c r="I7" s="22" t="str">
        <f>IMAGE("https://raw.githubusercontent.com/ltdimages/images/refs/heads/main/ClothBottomsPantsWideBasketball_06.png")</f>
        <v/>
      </c>
      <c r="J7" s="22" t="str">
        <f>IMAGE("https://raw.githubusercontent.com/ltdimages/images/refs/heads/main/ClothBottomsPantsWideBasketball_07.png")</f>
        <v/>
      </c>
      <c r="K7" s="63" t="s">
        <v>4287</v>
      </c>
      <c r="L7" s="23">
        <v>8.5</v>
      </c>
      <c r="M7" s="22" t="s">
        <v>3097</v>
      </c>
      <c r="N7" s="22" t="s">
        <v>3099</v>
      </c>
      <c r="O7" s="22" t="s">
        <v>45</v>
      </c>
      <c r="P7" s="22" t="s">
        <v>45</v>
      </c>
      <c r="Q7" s="22" t="s">
        <v>45</v>
      </c>
      <c r="R7" s="22" t="s">
        <v>45</v>
      </c>
      <c r="S7" s="22" t="s">
        <v>45</v>
      </c>
      <c r="T7" s="22" t="s">
        <v>2002</v>
      </c>
      <c r="U7" s="22" t="s">
        <v>45</v>
      </c>
      <c r="V7" s="22" t="s">
        <v>45</v>
      </c>
      <c r="W7" s="22" t="s">
        <v>5253</v>
      </c>
      <c r="X7" s="22" t="s">
        <v>3095</v>
      </c>
      <c r="Y7" s="22" t="s">
        <v>3095</v>
      </c>
      <c r="Z7" s="22" t="s">
        <v>3095</v>
      </c>
      <c r="AA7" s="22" t="s">
        <v>3095</v>
      </c>
      <c r="AB7" s="22" t="s">
        <v>3095</v>
      </c>
      <c r="AC7" s="22" t="s">
        <v>3095</v>
      </c>
      <c r="AD7" s="22" t="s">
        <v>3095</v>
      </c>
      <c r="AE7" s="22" t="s">
        <v>3095</v>
      </c>
      <c r="AF7" s="22" t="s">
        <v>3095</v>
      </c>
    </row>
    <row r="8" ht="45.0" customHeight="1">
      <c r="A8" s="55" t="s">
        <v>78</v>
      </c>
      <c r="B8" s="62" t="s">
        <v>5254</v>
      </c>
      <c r="C8" s="22" t="str">
        <f>IMAGE("https://raw.githubusercontent.com/ltdimages/images/refs/heads/main/ClothBottomsPantsWideSurf_00.png")</f>
        <v/>
      </c>
      <c r="D8" s="22" t="str">
        <f>IMAGE("https://raw.githubusercontent.com/ltdimages/images/refs/heads/main/ClothBottomsPantsWideSurf_01.png")</f>
        <v/>
      </c>
      <c r="E8" s="22" t="str">
        <f>IMAGE("https://raw.githubusercontent.com/ltdimages/images/refs/heads/main/ClothBottomsPantsWideSurf_02.png")</f>
        <v/>
      </c>
      <c r="F8" s="22" t="str">
        <f>IMAGE("https://raw.githubusercontent.com/ltdimages/images/refs/heads/main/ClothBottomsPantsWideSurf_03.png")</f>
        <v/>
      </c>
      <c r="G8" s="22" t="str">
        <f>IMAGE("https://raw.githubusercontent.com/ltdimages/images/refs/heads/main/ClothBottomsPantsWideSurf_04.png")</f>
        <v/>
      </c>
      <c r="H8" s="22" t="str">
        <f>IMAGE("https://raw.githubusercontent.com/ltdimages/images/refs/heads/main/ClothBottomsPantsWideSurf_05.png")</f>
        <v/>
      </c>
      <c r="I8" s="22" t="str">
        <f>IMAGE("https://raw.githubusercontent.com/ltdimages/images/refs/heads/main/ClothBottomsPantsWideSurf_06.png")</f>
        <v/>
      </c>
      <c r="J8" s="22" t="str">
        <f>IMAGE("https://raw.githubusercontent.com/ltdimages/images/refs/heads/main/ClothBottomsPantsWideSurf_07.png")</f>
        <v/>
      </c>
      <c r="K8" s="63" t="s">
        <v>4287</v>
      </c>
      <c r="L8" s="23">
        <v>12.0</v>
      </c>
      <c r="M8" s="22" t="s">
        <v>3097</v>
      </c>
      <c r="N8" s="22" t="s">
        <v>3123</v>
      </c>
      <c r="O8" s="22" t="s">
        <v>45</v>
      </c>
      <c r="P8" s="22" t="s">
        <v>45</v>
      </c>
      <c r="Q8" s="22" t="s">
        <v>45</v>
      </c>
      <c r="R8" s="22" t="s">
        <v>45</v>
      </c>
      <c r="S8" s="22" t="s">
        <v>45</v>
      </c>
      <c r="T8" s="22" t="s">
        <v>2002</v>
      </c>
      <c r="U8" s="22" t="s">
        <v>45</v>
      </c>
      <c r="V8" s="22" t="s">
        <v>45</v>
      </c>
      <c r="W8" s="22" t="s">
        <v>5255</v>
      </c>
      <c r="X8" s="22" t="s">
        <v>3095</v>
      </c>
      <c r="Y8" s="22" t="s">
        <v>3095</v>
      </c>
      <c r="Z8" s="22" t="s">
        <v>3095</v>
      </c>
      <c r="AA8" s="22" t="s">
        <v>3095</v>
      </c>
      <c r="AB8" s="22" t="s">
        <v>3095</v>
      </c>
      <c r="AC8" s="22" t="s">
        <v>3095</v>
      </c>
      <c r="AD8" s="22" t="s">
        <v>3095</v>
      </c>
      <c r="AE8" s="22" t="s">
        <v>3095</v>
      </c>
      <c r="AF8" s="22" t="s">
        <v>3095</v>
      </c>
    </row>
    <row r="9" ht="45.0" customHeight="1">
      <c r="A9" s="55" t="s">
        <v>83</v>
      </c>
      <c r="B9" s="62" t="s">
        <v>4060</v>
      </c>
      <c r="C9" s="22" t="str">
        <f>IMAGE("https://raw.githubusercontent.com/ltdimages/images/refs/heads/main/ClothBottomsPantsLongBorder_00.png")</f>
        <v/>
      </c>
      <c r="D9" s="22" t="str">
        <f>IMAGE("https://raw.githubusercontent.com/ltdimages/images/refs/heads/main/ClothBottomsPantsLongBorder_01.png")</f>
        <v/>
      </c>
      <c r="E9" s="22" t="str">
        <f>IMAGE("https://raw.githubusercontent.com/ltdimages/images/refs/heads/main/ClothBottomsPantsLongBorder_02.png")</f>
        <v/>
      </c>
      <c r="F9" s="22" t="str">
        <f>IMAGE("https://raw.githubusercontent.com/ltdimages/images/refs/heads/main/ClothBottomsPantsLongBorder_03.png")</f>
        <v/>
      </c>
      <c r="G9" s="22" t="str">
        <f>IMAGE("https://raw.githubusercontent.com/ltdimages/images/refs/heads/main/ClothBottomsPantsLongBorder_04.png")</f>
        <v/>
      </c>
      <c r="H9" s="22" t="str">
        <f>IMAGE("https://raw.githubusercontent.com/ltdimages/images/refs/heads/main/ClothBottomsPantsLongBorder_05.png")</f>
        <v/>
      </c>
      <c r="I9" s="22" t="str">
        <f>IMAGE("https://raw.githubusercontent.com/ltdimages/images/refs/heads/main/ClothBottomsPantsLongBorder_06.png")</f>
        <v/>
      </c>
      <c r="J9" s="22" t="str">
        <f>IMAGE("https://raw.githubusercontent.com/ltdimages/images/refs/heads/main/ClothBottomsPantsLongBorder_07.png")</f>
        <v/>
      </c>
      <c r="K9" s="63" t="s">
        <v>4287</v>
      </c>
      <c r="L9" s="23">
        <v>9.0</v>
      </c>
      <c r="M9" s="22" t="s">
        <v>3097</v>
      </c>
      <c r="N9" s="22" t="s">
        <v>3099</v>
      </c>
      <c r="O9" s="22" t="s">
        <v>45</v>
      </c>
      <c r="P9" s="22" t="s">
        <v>45</v>
      </c>
      <c r="Q9" s="22" t="s">
        <v>45</v>
      </c>
      <c r="R9" s="22" t="s">
        <v>45</v>
      </c>
      <c r="S9" s="22" t="s">
        <v>45</v>
      </c>
      <c r="T9" s="22" t="s">
        <v>2002</v>
      </c>
      <c r="U9" s="22" t="s">
        <v>45</v>
      </c>
      <c r="V9" s="22" t="s">
        <v>45</v>
      </c>
      <c r="W9" s="22" t="s">
        <v>5256</v>
      </c>
      <c r="X9" s="22" t="s">
        <v>3095</v>
      </c>
      <c r="Y9" s="22" t="s">
        <v>3095</v>
      </c>
      <c r="Z9" s="22" t="s">
        <v>3095</v>
      </c>
      <c r="AA9" s="22" t="s">
        <v>3095</v>
      </c>
      <c r="AB9" s="22" t="s">
        <v>3095</v>
      </c>
      <c r="AC9" s="22" t="s">
        <v>3095</v>
      </c>
      <c r="AD9" s="22" t="s">
        <v>3095</v>
      </c>
      <c r="AE9" s="22" t="s">
        <v>3095</v>
      </c>
      <c r="AF9" s="22" t="s">
        <v>3095</v>
      </c>
    </row>
    <row r="10" ht="45.0" customHeight="1">
      <c r="A10" s="55" t="s">
        <v>89</v>
      </c>
      <c r="B10" s="62" t="s">
        <v>5257</v>
      </c>
      <c r="C10" s="22" t="str">
        <f>IMAGE("https://raw.githubusercontent.com/ltdimages/images/refs/heads/main/ClothBottomsPantsWideBotanical_00.png")</f>
        <v/>
      </c>
      <c r="D10" s="22" t="str">
        <f>IMAGE("https://raw.githubusercontent.com/ltdimages/images/refs/heads/main/ClothBottomsPantsWideBotanical_01.png")</f>
        <v/>
      </c>
      <c r="E10" s="22" t="str">
        <f>IMAGE("https://raw.githubusercontent.com/ltdimages/images/refs/heads/main/ClothBottomsPantsWideBotanical_02.png")</f>
        <v/>
      </c>
      <c r="F10" s="22" t="str">
        <f>IMAGE("https://raw.githubusercontent.com/ltdimages/images/refs/heads/main/ClothBottomsPantsWideBotanical_03.png")</f>
        <v/>
      </c>
      <c r="G10" s="22" t="str">
        <f>IMAGE("https://raw.githubusercontent.com/ltdimages/images/refs/heads/main/ClothBottomsPantsWideBotanical_04.png")</f>
        <v/>
      </c>
      <c r="H10" s="22" t="str">
        <f>IMAGE("https://raw.githubusercontent.com/ltdimages/images/refs/heads/main/ClothBottomsPantsWideBotanical_05.png")</f>
        <v/>
      </c>
      <c r="I10" s="22" t="str">
        <f>IMAGE("https://raw.githubusercontent.com/ltdimages/images/refs/heads/main/ClothBottomsPantsWideBotanical_06.png")</f>
        <v/>
      </c>
      <c r="J10" s="22" t="str">
        <f>IMAGE("https://raw.githubusercontent.com/ltdimages/images/refs/heads/main/ClothBottomsPantsWideBotanical_07.png")</f>
        <v/>
      </c>
      <c r="K10" s="63" t="s">
        <v>4287</v>
      </c>
      <c r="L10" s="23">
        <v>9.2</v>
      </c>
      <c r="M10" s="22" t="s">
        <v>3097</v>
      </c>
      <c r="N10" s="22" t="s">
        <v>3123</v>
      </c>
      <c r="O10" s="22" t="s">
        <v>45</v>
      </c>
      <c r="P10" s="22" t="s">
        <v>45</v>
      </c>
      <c r="Q10" s="22" t="s">
        <v>45</v>
      </c>
      <c r="R10" s="22" t="s">
        <v>45</v>
      </c>
      <c r="S10" s="22" t="s">
        <v>45</v>
      </c>
      <c r="T10" s="22" t="s">
        <v>2002</v>
      </c>
      <c r="U10" s="22" t="s">
        <v>45</v>
      </c>
      <c r="V10" s="22" t="s">
        <v>45</v>
      </c>
      <c r="W10" s="22" t="s">
        <v>5258</v>
      </c>
      <c r="X10" s="22" t="s">
        <v>3095</v>
      </c>
      <c r="Y10" s="22" t="s">
        <v>3095</v>
      </c>
      <c r="Z10" s="22" t="s">
        <v>3095</v>
      </c>
      <c r="AA10" s="22" t="s">
        <v>3095</v>
      </c>
      <c r="AB10" s="22" t="s">
        <v>3095</v>
      </c>
      <c r="AC10" s="22" t="s">
        <v>3095</v>
      </c>
      <c r="AD10" s="22" t="s">
        <v>3095</v>
      </c>
      <c r="AE10" s="22" t="s">
        <v>3095</v>
      </c>
      <c r="AF10" s="22" t="s">
        <v>3095</v>
      </c>
    </row>
    <row r="11" ht="45.0" customHeight="1">
      <c r="A11" s="55" t="s">
        <v>94</v>
      </c>
      <c r="B11" s="62" t="s">
        <v>5259</v>
      </c>
      <c r="C11" s="22" t="str">
        <f>IMAGE("https://raw.githubusercontent.com/ltdimages/images/refs/heads/main/ClothBottomsPantsWideBoxing_00.png")</f>
        <v/>
      </c>
      <c r="D11" s="22" t="str">
        <f>IMAGE("https://raw.githubusercontent.com/ltdimages/images/refs/heads/main/ClothBottomsPantsWideBoxing_01.png")</f>
        <v/>
      </c>
      <c r="E11" s="22" t="str">
        <f>IMAGE("https://raw.githubusercontent.com/ltdimages/images/refs/heads/main/ClothBottomsPantsWideBoxing_02.png")</f>
        <v/>
      </c>
      <c r="F11" s="22" t="str">
        <f>IMAGE("https://raw.githubusercontent.com/ltdimages/images/refs/heads/main/ClothBottomsPantsWideBoxing_03.png")</f>
        <v/>
      </c>
      <c r="G11" s="22" t="str">
        <f>IMAGE("https://raw.githubusercontent.com/ltdimages/images/refs/heads/main/ClothBottomsPantsWideBoxing_04.png")</f>
        <v/>
      </c>
      <c r="H11" s="22" t="str">
        <f>IMAGE("https://raw.githubusercontent.com/ltdimages/images/refs/heads/main/ClothBottomsPantsWideBoxing_05.png")</f>
        <v/>
      </c>
      <c r="I11" s="22" t="s">
        <v>3095</v>
      </c>
      <c r="J11" s="22" t="s">
        <v>3095</v>
      </c>
      <c r="K11" s="63" t="s">
        <v>4287</v>
      </c>
      <c r="L11" s="23">
        <v>7.5</v>
      </c>
      <c r="M11" s="22" t="s">
        <v>3097</v>
      </c>
      <c r="N11" s="22" t="s">
        <v>3099</v>
      </c>
      <c r="O11" s="22" t="s">
        <v>45</v>
      </c>
      <c r="P11" s="22" t="s">
        <v>45</v>
      </c>
      <c r="Q11" s="22" t="s">
        <v>45</v>
      </c>
      <c r="R11" s="22" t="s">
        <v>45</v>
      </c>
      <c r="S11" s="22" t="s">
        <v>45</v>
      </c>
      <c r="T11" s="22" t="s">
        <v>2002</v>
      </c>
      <c r="U11" s="22" t="s">
        <v>45</v>
      </c>
      <c r="V11" s="22" t="s">
        <v>45</v>
      </c>
      <c r="W11" s="22" t="s">
        <v>5260</v>
      </c>
      <c r="X11" s="22" t="s">
        <v>3095</v>
      </c>
      <c r="Y11" s="22" t="s">
        <v>3095</v>
      </c>
      <c r="Z11" s="22" t="s">
        <v>3095</v>
      </c>
      <c r="AA11" s="22" t="s">
        <v>3095</v>
      </c>
      <c r="AB11" s="22" t="s">
        <v>3095</v>
      </c>
      <c r="AC11" s="22" t="s">
        <v>3095</v>
      </c>
      <c r="AD11" s="22" t="s">
        <v>3095</v>
      </c>
      <c r="AE11" s="22" t="s">
        <v>3095</v>
      </c>
      <c r="AF11" s="22" t="s">
        <v>3095</v>
      </c>
    </row>
    <row r="12" ht="45.0" customHeight="1">
      <c r="A12" s="55" t="s">
        <v>98</v>
      </c>
      <c r="B12" s="62" t="s">
        <v>5261</v>
      </c>
      <c r="C12" s="22" t="str">
        <f>IMAGE("https://raw.githubusercontent.com/ltdimages/images/refs/heads/main/ClothBottomsPantsWideCamouflage_00.png")</f>
        <v/>
      </c>
      <c r="D12" s="22" t="str">
        <f>IMAGE("https://raw.githubusercontent.com/ltdimages/images/refs/heads/main/ClothBottomsPantsWideCamouflage_01.png")</f>
        <v/>
      </c>
      <c r="E12" s="22" t="str">
        <f>IMAGE("https://raw.githubusercontent.com/ltdimages/images/refs/heads/main/ClothBottomsPantsWideCamouflage_02.png")</f>
        <v/>
      </c>
      <c r="F12" s="22" t="str">
        <f>IMAGE("https://raw.githubusercontent.com/ltdimages/images/refs/heads/main/ClothBottomsPantsWideCamouflage_03.png")</f>
        <v/>
      </c>
      <c r="G12" s="22" t="str">
        <f>IMAGE("https://raw.githubusercontent.com/ltdimages/images/refs/heads/main/ClothBottomsPantsWideCamouflage_04.png")</f>
        <v/>
      </c>
      <c r="H12" s="22" t="str">
        <f>IMAGE("https://raw.githubusercontent.com/ltdimages/images/refs/heads/main/ClothBottomsPantsWideCamouflage_05.png")</f>
        <v/>
      </c>
      <c r="I12" s="22" t="s">
        <v>3095</v>
      </c>
      <c r="J12" s="22" t="s">
        <v>3095</v>
      </c>
      <c r="K12" s="63" t="s">
        <v>4287</v>
      </c>
      <c r="L12" s="23">
        <v>8.8</v>
      </c>
      <c r="M12" s="22" t="s">
        <v>3097</v>
      </c>
      <c r="N12" s="22" t="s">
        <v>3123</v>
      </c>
      <c r="O12" s="22" t="s">
        <v>45</v>
      </c>
      <c r="P12" s="22" t="s">
        <v>45</v>
      </c>
      <c r="Q12" s="22" t="s">
        <v>45</v>
      </c>
      <c r="R12" s="22" t="s">
        <v>45</v>
      </c>
      <c r="S12" s="22" t="s">
        <v>45</v>
      </c>
      <c r="T12" s="22" t="s">
        <v>2002</v>
      </c>
      <c r="U12" s="22" t="s">
        <v>45</v>
      </c>
      <c r="V12" s="22" t="s">
        <v>45</v>
      </c>
      <c r="W12" s="22" t="s">
        <v>5262</v>
      </c>
      <c r="X12" s="22" t="s">
        <v>3095</v>
      </c>
      <c r="Y12" s="22" t="s">
        <v>3095</v>
      </c>
      <c r="Z12" s="22" t="s">
        <v>3095</v>
      </c>
      <c r="AA12" s="22" t="s">
        <v>3095</v>
      </c>
      <c r="AB12" s="22" t="s">
        <v>3095</v>
      </c>
      <c r="AC12" s="22" t="s">
        <v>3095</v>
      </c>
      <c r="AD12" s="22" t="s">
        <v>3095</v>
      </c>
      <c r="AE12" s="22" t="s">
        <v>3095</v>
      </c>
      <c r="AF12" s="22" t="s">
        <v>3095</v>
      </c>
    </row>
    <row r="13" ht="45.0" customHeight="1">
      <c r="A13" s="55" t="s">
        <v>104</v>
      </c>
      <c r="B13" s="62" t="s">
        <v>5263</v>
      </c>
      <c r="C13" s="22" t="str">
        <f>IMAGE("https://raw.githubusercontent.com/ltdimages/images/refs/heads/main/ClothBottomsPantsLongCapri_00.png")</f>
        <v/>
      </c>
      <c r="D13" s="22" t="str">
        <f>IMAGE("https://raw.githubusercontent.com/ltdimages/images/refs/heads/main/ClothBottomsPantsLongCapri_01.png")</f>
        <v/>
      </c>
      <c r="E13" s="22" t="str">
        <f>IMAGE("https://raw.githubusercontent.com/ltdimages/images/refs/heads/main/ClothBottomsPantsLongCapri_02.png")</f>
        <v/>
      </c>
      <c r="F13" s="22" t="str">
        <f>IMAGE("https://raw.githubusercontent.com/ltdimages/images/refs/heads/main/ClothBottomsPantsLongCapri_03.png")</f>
        <v/>
      </c>
      <c r="G13" s="22" t="str">
        <f>IMAGE("https://raw.githubusercontent.com/ltdimages/images/refs/heads/main/ClothBottomsPantsLongCapri_04.png")</f>
        <v/>
      </c>
      <c r="H13" s="22" t="str">
        <f>IMAGE("https://raw.githubusercontent.com/ltdimages/images/refs/heads/main/ClothBottomsPantsLongCapri_05.png")</f>
        <v/>
      </c>
      <c r="I13" s="22" t="str">
        <f>IMAGE("https://raw.githubusercontent.com/ltdimages/images/refs/heads/main/ClothBottomsPantsLongCapri_06.png")</f>
        <v/>
      </c>
      <c r="J13" s="22" t="str">
        <f>IMAGE("https://raw.githubusercontent.com/ltdimages/images/refs/heads/main/ClothBottomsPantsLongCapri_07.png")</f>
        <v/>
      </c>
      <c r="K13" s="63" t="s">
        <v>4287</v>
      </c>
      <c r="L13" s="23">
        <v>11.0</v>
      </c>
      <c r="M13" s="22" t="s">
        <v>3097</v>
      </c>
      <c r="N13" s="22" t="s">
        <v>3099</v>
      </c>
      <c r="O13" s="22" t="s">
        <v>45</v>
      </c>
      <c r="P13" s="22" t="s">
        <v>45</v>
      </c>
      <c r="Q13" s="22" t="s">
        <v>45</v>
      </c>
      <c r="R13" s="22" t="s">
        <v>45</v>
      </c>
      <c r="S13" s="22" t="s">
        <v>45</v>
      </c>
      <c r="T13" s="22" t="s">
        <v>2002</v>
      </c>
      <c r="U13" s="22" t="s">
        <v>45</v>
      </c>
      <c r="V13" s="22" t="s">
        <v>45</v>
      </c>
      <c r="W13" s="22" t="s">
        <v>5264</v>
      </c>
      <c r="X13" s="22" t="s">
        <v>3095</v>
      </c>
      <c r="Y13" s="22" t="s">
        <v>3095</v>
      </c>
      <c r="Z13" s="22" t="s">
        <v>3095</v>
      </c>
      <c r="AA13" s="22" t="s">
        <v>3095</v>
      </c>
      <c r="AB13" s="22" t="s">
        <v>3095</v>
      </c>
      <c r="AC13" s="22" t="s">
        <v>3095</v>
      </c>
      <c r="AD13" s="22" t="s">
        <v>3095</v>
      </c>
      <c r="AE13" s="22" t="s">
        <v>3095</v>
      </c>
      <c r="AF13" s="22" t="s">
        <v>3095</v>
      </c>
    </row>
    <row r="14" ht="45.0" customHeight="1">
      <c r="A14" s="55" t="s">
        <v>109</v>
      </c>
      <c r="B14" s="62" t="s">
        <v>3216</v>
      </c>
      <c r="C14" s="22" t="str">
        <f>IMAGE("https://raw.githubusercontent.com/ltdimages/images/refs/heads/main/ClothBottomsPantsWideCargo_00.png")</f>
        <v/>
      </c>
      <c r="D14" s="22" t="str">
        <f>IMAGE("https://raw.githubusercontent.com/ltdimages/images/refs/heads/main/ClothBottomsPantsWideCargo_01.png")</f>
        <v/>
      </c>
      <c r="E14" s="22" t="str">
        <f>IMAGE("https://raw.githubusercontent.com/ltdimages/images/refs/heads/main/ClothBottomsPantsWideCargo_02.png")</f>
        <v/>
      </c>
      <c r="F14" s="22" t="str">
        <f>IMAGE("https://raw.githubusercontent.com/ltdimages/images/refs/heads/main/ClothBottomsPantsWideCargo_03.png")</f>
        <v/>
      </c>
      <c r="G14" s="22" t="str">
        <f>IMAGE("https://raw.githubusercontent.com/ltdimages/images/refs/heads/main/ClothBottomsPantsWideCargo_04.png")</f>
        <v/>
      </c>
      <c r="H14" s="22" t="str">
        <f>IMAGE("https://raw.githubusercontent.com/ltdimages/images/refs/heads/main/ClothBottomsPantsWideCargo_05.png")</f>
        <v/>
      </c>
      <c r="I14" s="22" t="s">
        <v>3095</v>
      </c>
      <c r="J14" s="22" t="s">
        <v>3095</v>
      </c>
      <c r="K14" s="63" t="s">
        <v>4287</v>
      </c>
      <c r="L14" s="23">
        <v>9.4</v>
      </c>
      <c r="M14" s="22" t="s">
        <v>3097</v>
      </c>
      <c r="N14" s="22" t="s">
        <v>3099</v>
      </c>
      <c r="O14" s="22" t="s">
        <v>45</v>
      </c>
      <c r="P14" s="22" t="s">
        <v>45</v>
      </c>
      <c r="Q14" s="22" t="s">
        <v>45</v>
      </c>
      <c r="R14" s="22" t="s">
        <v>45</v>
      </c>
      <c r="S14" s="22" t="s">
        <v>45</v>
      </c>
      <c r="T14" s="22" t="s">
        <v>2002</v>
      </c>
      <c r="U14" s="22" t="s">
        <v>45</v>
      </c>
      <c r="V14" s="22" t="s">
        <v>45</v>
      </c>
      <c r="W14" s="22" t="s">
        <v>5265</v>
      </c>
      <c r="X14" s="22" t="s">
        <v>3095</v>
      </c>
      <c r="Y14" s="22" t="s">
        <v>3095</v>
      </c>
      <c r="Z14" s="22" t="s">
        <v>3095</v>
      </c>
      <c r="AA14" s="22" t="s">
        <v>3095</v>
      </c>
      <c r="AB14" s="22" t="s">
        <v>3095</v>
      </c>
      <c r="AC14" s="22" t="s">
        <v>3095</v>
      </c>
      <c r="AD14" s="22" t="s">
        <v>3095</v>
      </c>
      <c r="AE14" s="22" t="s">
        <v>3095</v>
      </c>
      <c r="AF14" s="22" t="s">
        <v>3095</v>
      </c>
    </row>
    <row r="15" ht="45.0" customHeight="1">
      <c r="A15" s="55" t="s">
        <v>115</v>
      </c>
      <c r="B15" s="62" t="s">
        <v>3295</v>
      </c>
      <c r="C15" s="22" t="str">
        <f>IMAGE("https://raw.githubusercontent.com/ltdimages/images/refs/heads/main/ClothBottomsPantsWideCargoHalf_00.png")</f>
        <v/>
      </c>
      <c r="D15" s="22" t="str">
        <f>IMAGE("https://raw.githubusercontent.com/ltdimages/images/refs/heads/main/ClothBottomsPantsWideCargoHalf_01.png")</f>
        <v/>
      </c>
      <c r="E15" s="22" t="str">
        <f>IMAGE("https://raw.githubusercontent.com/ltdimages/images/refs/heads/main/ClothBottomsPantsWideCargoHalf_02.png")</f>
        <v/>
      </c>
      <c r="F15" s="22" t="str">
        <f>IMAGE("https://raw.githubusercontent.com/ltdimages/images/refs/heads/main/ClothBottomsPantsWideCargoHalf_03.png")</f>
        <v/>
      </c>
      <c r="G15" s="22" t="str">
        <f>IMAGE("https://raw.githubusercontent.com/ltdimages/images/refs/heads/main/ClothBottomsPantsWideCargoHalf_04.png")</f>
        <v/>
      </c>
      <c r="H15" s="22" t="str">
        <f>IMAGE("https://raw.githubusercontent.com/ltdimages/images/refs/heads/main/ClothBottomsPantsWideCargoHalf_05.png")</f>
        <v/>
      </c>
      <c r="I15" s="22" t="s">
        <v>3095</v>
      </c>
      <c r="J15" s="22" t="s">
        <v>3095</v>
      </c>
      <c r="K15" s="63" t="s">
        <v>4287</v>
      </c>
      <c r="L15" s="23">
        <v>8.4</v>
      </c>
      <c r="M15" s="22" t="s">
        <v>3097</v>
      </c>
      <c r="N15" s="22" t="s">
        <v>3099</v>
      </c>
      <c r="O15" s="22" t="s">
        <v>45</v>
      </c>
      <c r="P15" s="22" t="s">
        <v>45</v>
      </c>
      <c r="Q15" s="22" t="s">
        <v>45</v>
      </c>
      <c r="R15" s="22" t="s">
        <v>45</v>
      </c>
      <c r="S15" s="22" t="s">
        <v>45</v>
      </c>
      <c r="T15" s="22" t="s">
        <v>2002</v>
      </c>
      <c r="U15" s="22" t="s">
        <v>45</v>
      </c>
      <c r="V15" s="22" t="s">
        <v>45</v>
      </c>
      <c r="W15" s="22" t="s">
        <v>5266</v>
      </c>
      <c r="X15" s="22" t="s">
        <v>3095</v>
      </c>
      <c r="Y15" s="22" t="s">
        <v>3095</v>
      </c>
      <c r="Z15" s="22" t="s">
        <v>3095</v>
      </c>
      <c r="AA15" s="22" t="s">
        <v>3095</v>
      </c>
      <c r="AB15" s="22" t="s">
        <v>3095</v>
      </c>
      <c r="AC15" s="22" t="s">
        <v>3095</v>
      </c>
      <c r="AD15" s="22" t="s">
        <v>3095</v>
      </c>
      <c r="AE15" s="22" t="s">
        <v>3095</v>
      </c>
      <c r="AF15" s="22" t="s">
        <v>3095</v>
      </c>
    </row>
    <row r="16" ht="45.0" customHeight="1">
      <c r="A16" s="55" t="s">
        <v>119</v>
      </c>
      <c r="B16" s="62" t="s">
        <v>5267</v>
      </c>
      <c r="C16" s="22" t="str">
        <f>IMAGE("https://raw.githubusercontent.com/ltdimages/images/refs/heads/main/ClothBottomsPantsWideChain_00.png")</f>
        <v/>
      </c>
      <c r="D16" s="22" t="str">
        <f>IMAGE("https://raw.githubusercontent.com/ltdimages/images/refs/heads/main/ClothBottomsPantsWideChain_01.png")</f>
        <v/>
      </c>
      <c r="E16" s="22" t="str">
        <f>IMAGE("https://raw.githubusercontent.com/ltdimages/images/refs/heads/main/ClothBottomsPantsWideChain_02.png")</f>
        <v/>
      </c>
      <c r="F16" s="22" t="str">
        <f>IMAGE("https://raw.githubusercontent.com/ltdimages/images/refs/heads/main/ClothBottomsPantsWideChain_03.png")</f>
        <v/>
      </c>
      <c r="G16" s="22" t="str">
        <f>IMAGE("https://raw.githubusercontent.com/ltdimages/images/refs/heads/main/ClothBottomsPantsWideChain_04.png")</f>
        <v/>
      </c>
      <c r="H16" s="22" t="str">
        <f>IMAGE("https://raw.githubusercontent.com/ltdimages/images/refs/heads/main/ClothBottomsPantsWideChain_05.png")</f>
        <v/>
      </c>
      <c r="I16" s="22" t="str">
        <f>IMAGE("https://raw.githubusercontent.com/ltdimages/images/refs/heads/main/ClothBottomsPantsWideChain_06.png")</f>
        <v/>
      </c>
      <c r="J16" s="22" t="str">
        <f>IMAGE("https://raw.githubusercontent.com/ltdimages/images/refs/heads/main/ClothBottomsPantsWideChain_07.png")</f>
        <v/>
      </c>
      <c r="K16" s="63" t="s">
        <v>4287</v>
      </c>
      <c r="L16" s="23">
        <v>13.0</v>
      </c>
      <c r="M16" s="22" t="s">
        <v>3097</v>
      </c>
      <c r="N16" s="22" t="s">
        <v>3099</v>
      </c>
      <c r="O16" s="22" t="s">
        <v>45</v>
      </c>
      <c r="P16" s="22" t="s">
        <v>45</v>
      </c>
      <c r="Q16" s="22" t="s">
        <v>45</v>
      </c>
      <c r="R16" s="22" t="s">
        <v>45</v>
      </c>
      <c r="S16" s="22" t="s">
        <v>45</v>
      </c>
      <c r="T16" s="22" t="s">
        <v>2002</v>
      </c>
      <c r="U16" s="22" t="s">
        <v>45</v>
      </c>
      <c r="V16" s="22" t="s">
        <v>45</v>
      </c>
      <c r="W16" s="22" t="s">
        <v>5268</v>
      </c>
      <c r="X16" s="22" t="s">
        <v>3095</v>
      </c>
      <c r="Y16" s="22" t="s">
        <v>3095</v>
      </c>
      <c r="Z16" s="22" t="s">
        <v>3095</v>
      </c>
      <c r="AA16" s="22" t="s">
        <v>3095</v>
      </c>
      <c r="AB16" s="22" t="s">
        <v>3095</v>
      </c>
      <c r="AC16" s="22" t="s">
        <v>3095</v>
      </c>
      <c r="AD16" s="22" t="s">
        <v>3095</v>
      </c>
      <c r="AE16" s="22" t="s">
        <v>3095</v>
      </c>
      <c r="AF16" s="22" t="s">
        <v>3095</v>
      </c>
    </row>
    <row r="17" ht="45.0" customHeight="1">
      <c r="A17" s="55" t="s">
        <v>124</v>
      </c>
      <c r="B17" s="62" t="s">
        <v>3861</v>
      </c>
      <c r="C17" s="22" t="str">
        <f>IMAGE("https://raw.githubusercontent.com/ltdimages/images/refs/heads/main/ClothBottomsPantsWideCheckCargo_00.png")</f>
        <v/>
      </c>
      <c r="D17" s="22" t="str">
        <f>IMAGE("https://raw.githubusercontent.com/ltdimages/images/refs/heads/main/ClothBottomsPantsWideCheckCargo_01.png")</f>
        <v/>
      </c>
      <c r="E17" s="22" t="str">
        <f>IMAGE("https://raw.githubusercontent.com/ltdimages/images/refs/heads/main/ClothBottomsPantsWideCheckCargo_02.png")</f>
        <v/>
      </c>
      <c r="F17" s="22" t="str">
        <f>IMAGE("https://raw.githubusercontent.com/ltdimages/images/refs/heads/main/ClothBottomsPantsWideCheckCargo_03.png")</f>
        <v/>
      </c>
      <c r="G17" s="22" t="str">
        <f>IMAGE("https://raw.githubusercontent.com/ltdimages/images/refs/heads/main/ClothBottomsPantsWideCheckCargo_04.png")</f>
        <v/>
      </c>
      <c r="H17" s="22" t="str">
        <f>IMAGE("https://raw.githubusercontent.com/ltdimages/images/refs/heads/main/ClothBottomsPantsWideCheckCargo_05.png")</f>
        <v/>
      </c>
      <c r="I17" s="22" t="s">
        <v>3095</v>
      </c>
      <c r="J17" s="22" t="s">
        <v>3095</v>
      </c>
      <c r="K17" s="63" t="s">
        <v>4287</v>
      </c>
      <c r="L17" s="23">
        <v>11.5</v>
      </c>
      <c r="M17" s="22" t="s">
        <v>3097</v>
      </c>
      <c r="N17" s="22" t="s">
        <v>3099</v>
      </c>
      <c r="O17" s="22" t="s">
        <v>45</v>
      </c>
      <c r="P17" s="22" t="s">
        <v>45</v>
      </c>
      <c r="Q17" s="22" t="s">
        <v>45</v>
      </c>
      <c r="R17" s="22" t="s">
        <v>45</v>
      </c>
      <c r="S17" s="22" t="s">
        <v>45</v>
      </c>
      <c r="T17" s="22" t="s">
        <v>2002</v>
      </c>
      <c r="U17" s="22" t="s">
        <v>45</v>
      </c>
      <c r="V17" s="22" t="s">
        <v>45</v>
      </c>
      <c r="W17" s="22" t="s">
        <v>5269</v>
      </c>
      <c r="X17" s="22" t="s">
        <v>3095</v>
      </c>
      <c r="Y17" s="22" t="s">
        <v>3095</v>
      </c>
      <c r="Z17" s="22" t="s">
        <v>3095</v>
      </c>
      <c r="AA17" s="22" t="s">
        <v>3095</v>
      </c>
      <c r="AB17" s="22" t="s">
        <v>3095</v>
      </c>
      <c r="AC17" s="22" t="s">
        <v>3095</v>
      </c>
      <c r="AD17" s="22" t="s">
        <v>3095</v>
      </c>
      <c r="AE17" s="22" t="s">
        <v>3095</v>
      </c>
      <c r="AF17" s="22" t="s">
        <v>3095</v>
      </c>
    </row>
    <row r="18" ht="45.0" customHeight="1">
      <c r="A18" s="55" t="s">
        <v>129</v>
      </c>
      <c r="B18" s="62" t="s">
        <v>3564</v>
      </c>
      <c r="C18" s="22" t="str">
        <f>IMAGE("https://raw.githubusercontent.com/ltdimages/images/refs/heads/main/ClothBottomsPantsLongRollUp_00.png")</f>
        <v/>
      </c>
      <c r="D18" s="22" t="str">
        <f>IMAGE("https://raw.githubusercontent.com/ltdimages/images/refs/heads/main/ClothBottomsPantsLongRollUp_01.png")</f>
        <v/>
      </c>
      <c r="E18" s="22" t="str">
        <f>IMAGE("https://raw.githubusercontent.com/ltdimages/images/refs/heads/main/ClothBottomsPantsLongRollUp_02.png")</f>
        <v/>
      </c>
      <c r="F18" s="22" t="str">
        <f>IMAGE("https://raw.githubusercontent.com/ltdimages/images/refs/heads/main/ClothBottomsPantsLongRollUp_03.png")</f>
        <v/>
      </c>
      <c r="G18" s="22" t="str">
        <f>IMAGE("https://raw.githubusercontent.com/ltdimages/images/refs/heads/main/ClothBottomsPantsLongRollUp_04.png")</f>
        <v/>
      </c>
      <c r="H18" s="22" t="str">
        <f>IMAGE("https://raw.githubusercontent.com/ltdimages/images/refs/heads/main/ClothBottomsPantsLongRollUp_05.png")</f>
        <v/>
      </c>
      <c r="I18" s="22" t="s">
        <v>3095</v>
      </c>
      <c r="J18" s="22" t="s">
        <v>3095</v>
      </c>
      <c r="K18" s="63" t="s">
        <v>4287</v>
      </c>
      <c r="L18" s="23">
        <v>9.2</v>
      </c>
      <c r="M18" s="22" t="s">
        <v>3097</v>
      </c>
      <c r="N18" s="22" t="s">
        <v>3099</v>
      </c>
      <c r="O18" s="22" t="s">
        <v>45</v>
      </c>
      <c r="P18" s="22" t="s">
        <v>45</v>
      </c>
      <c r="Q18" s="22" t="s">
        <v>45</v>
      </c>
      <c r="R18" s="22" t="s">
        <v>45</v>
      </c>
      <c r="S18" s="22" t="s">
        <v>45</v>
      </c>
      <c r="T18" s="22" t="s">
        <v>2002</v>
      </c>
      <c r="U18" s="22" t="s">
        <v>45</v>
      </c>
      <c r="V18" s="22" t="s">
        <v>45</v>
      </c>
      <c r="W18" s="22" t="s">
        <v>5270</v>
      </c>
      <c r="X18" s="22" t="s">
        <v>3095</v>
      </c>
      <c r="Y18" s="22" t="s">
        <v>3095</v>
      </c>
      <c r="Z18" s="22" t="s">
        <v>3095</v>
      </c>
      <c r="AA18" s="22" t="s">
        <v>3095</v>
      </c>
      <c r="AB18" s="22" t="s">
        <v>3095</v>
      </c>
      <c r="AC18" s="22" t="s">
        <v>3095</v>
      </c>
      <c r="AD18" s="22" t="s">
        <v>3095</v>
      </c>
      <c r="AE18" s="22" t="s">
        <v>3095</v>
      </c>
      <c r="AF18" s="22" t="s">
        <v>3095</v>
      </c>
    </row>
    <row r="19" ht="45.0" customHeight="1">
      <c r="A19" s="55" t="s">
        <v>134</v>
      </c>
      <c r="B19" s="62" t="s">
        <v>3948</v>
      </c>
      <c r="C19" s="22" t="str">
        <f>IMAGE("https://raw.githubusercontent.com/ltdimages/images/refs/heads/main/ClothBottomsPantsWideCheckHalf_00.png")</f>
        <v/>
      </c>
      <c r="D19" s="22" t="str">
        <f>IMAGE("https://raw.githubusercontent.com/ltdimages/images/refs/heads/main/ClothBottomsPantsWideCheckHalf_01.png")</f>
        <v/>
      </c>
      <c r="E19" s="22" t="str">
        <f>IMAGE("https://raw.githubusercontent.com/ltdimages/images/refs/heads/main/ClothBottomsPantsWideCheckHalf_02.png")</f>
        <v/>
      </c>
      <c r="F19" s="22" t="str">
        <f>IMAGE("https://raw.githubusercontent.com/ltdimages/images/refs/heads/main/ClothBottomsPantsWideCheckHalf_03.png")</f>
        <v/>
      </c>
      <c r="G19" s="22" t="str">
        <f>IMAGE("https://raw.githubusercontent.com/ltdimages/images/refs/heads/main/ClothBottomsPantsWideCheckHalf_04.png")</f>
        <v/>
      </c>
      <c r="H19" s="22" t="str">
        <f>IMAGE("https://raw.githubusercontent.com/ltdimages/images/refs/heads/main/ClothBottomsPantsWideCheckHalf_05.png")</f>
        <v/>
      </c>
      <c r="I19" s="22" t="s">
        <v>3095</v>
      </c>
      <c r="J19" s="22" t="s">
        <v>3095</v>
      </c>
      <c r="K19" s="63" t="s">
        <v>4287</v>
      </c>
      <c r="L19" s="23">
        <v>10.0</v>
      </c>
      <c r="M19" s="22" t="s">
        <v>3097</v>
      </c>
      <c r="N19" s="22" t="s">
        <v>3123</v>
      </c>
      <c r="O19" s="22" t="s">
        <v>45</v>
      </c>
      <c r="P19" s="22" t="s">
        <v>45</v>
      </c>
      <c r="Q19" s="22" t="s">
        <v>45</v>
      </c>
      <c r="R19" s="22" t="s">
        <v>45</v>
      </c>
      <c r="S19" s="22" t="s">
        <v>45</v>
      </c>
      <c r="T19" s="22" t="s">
        <v>2002</v>
      </c>
      <c r="U19" s="22" t="s">
        <v>45</v>
      </c>
      <c r="V19" s="22" t="s">
        <v>45</v>
      </c>
      <c r="W19" s="22" t="s">
        <v>5271</v>
      </c>
      <c r="X19" s="22" t="s">
        <v>3095</v>
      </c>
      <c r="Y19" s="22" t="s">
        <v>3095</v>
      </c>
      <c r="Z19" s="22" t="s">
        <v>3095</v>
      </c>
      <c r="AA19" s="22" t="s">
        <v>3095</v>
      </c>
      <c r="AB19" s="22" t="s">
        <v>3095</v>
      </c>
      <c r="AC19" s="22" t="s">
        <v>3095</v>
      </c>
      <c r="AD19" s="22" t="s">
        <v>3095</v>
      </c>
      <c r="AE19" s="22" t="s">
        <v>3095</v>
      </c>
      <c r="AF19" s="22" t="s">
        <v>3095</v>
      </c>
    </row>
    <row r="20" ht="45.0" customHeight="1">
      <c r="A20" s="55" t="s">
        <v>138</v>
      </c>
      <c r="B20" s="62" t="s">
        <v>3846</v>
      </c>
      <c r="C20" s="22" t="str">
        <f>IMAGE("https://raw.githubusercontent.com/ltdimages/images/refs/heads/main/ClothBottomsPantsLongSlacksCheck_00.png")</f>
        <v/>
      </c>
      <c r="D20" s="22" t="str">
        <f>IMAGE("https://raw.githubusercontent.com/ltdimages/images/refs/heads/main/ClothBottomsPantsLongSlacksCheck_01.png")</f>
        <v/>
      </c>
      <c r="E20" s="22" t="str">
        <f>IMAGE("https://raw.githubusercontent.com/ltdimages/images/refs/heads/main/ClothBottomsPantsLongSlacksCheck_02.png")</f>
        <v/>
      </c>
      <c r="F20" s="22" t="str">
        <f>IMAGE("https://raw.githubusercontent.com/ltdimages/images/refs/heads/main/ClothBottomsPantsLongSlacksCheck_03.png")</f>
        <v/>
      </c>
      <c r="G20" s="22" t="str">
        <f>IMAGE("https://raw.githubusercontent.com/ltdimages/images/refs/heads/main/ClothBottomsPantsLongSlacksCheck_04.png")</f>
        <v/>
      </c>
      <c r="H20" s="22" t="str">
        <f>IMAGE("https://raw.githubusercontent.com/ltdimages/images/refs/heads/main/ClothBottomsPantsLongSlacksCheck_05.png")</f>
        <v/>
      </c>
      <c r="I20" s="22" t="str">
        <f>IMAGE("https://raw.githubusercontent.com/ltdimages/images/refs/heads/main/ClothBottomsPantsLongSlacksCheck_06.png")</f>
        <v/>
      </c>
      <c r="J20" s="22" t="str">
        <f>IMAGE("https://raw.githubusercontent.com/ltdimages/images/refs/heads/main/ClothBottomsPantsLongSlacksCheck_07.png")</f>
        <v/>
      </c>
      <c r="K20" s="63" t="s">
        <v>4287</v>
      </c>
      <c r="L20" s="23">
        <v>35.0</v>
      </c>
      <c r="M20" s="22" t="s">
        <v>3097</v>
      </c>
      <c r="N20" s="22" t="s">
        <v>3099</v>
      </c>
      <c r="O20" s="22" t="s">
        <v>45</v>
      </c>
      <c r="P20" s="22" t="s">
        <v>45</v>
      </c>
      <c r="Q20" s="22" t="s">
        <v>45</v>
      </c>
      <c r="R20" s="22" t="s">
        <v>45</v>
      </c>
      <c r="S20" s="22" t="s">
        <v>45</v>
      </c>
      <c r="T20" s="22" t="s">
        <v>2002</v>
      </c>
      <c r="U20" s="22" t="s">
        <v>45</v>
      </c>
      <c r="V20" s="22" t="s">
        <v>45</v>
      </c>
      <c r="W20" s="22" t="s">
        <v>5272</v>
      </c>
      <c r="X20" s="22" t="s">
        <v>3095</v>
      </c>
      <c r="Y20" s="22" t="s">
        <v>3095</v>
      </c>
      <c r="Z20" s="22" t="s">
        <v>3095</v>
      </c>
      <c r="AA20" s="22" t="s">
        <v>3095</v>
      </c>
      <c r="AB20" s="22" t="s">
        <v>3095</v>
      </c>
      <c r="AC20" s="22" t="s">
        <v>3095</v>
      </c>
      <c r="AD20" s="22" t="s">
        <v>3095</v>
      </c>
      <c r="AE20" s="22" t="s">
        <v>3095</v>
      </c>
      <c r="AF20" s="22" t="s">
        <v>3095</v>
      </c>
    </row>
    <row r="21" ht="45.0" customHeight="1">
      <c r="A21" s="55" t="s">
        <v>142</v>
      </c>
      <c r="B21" s="62" t="s">
        <v>3339</v>
      </c>
      <c r="C21" s="22" t="str">
        <f>IMAGE("https://raw.githubusercontent.com/ltdimages/images/refs/heads/main/ClothBottomsPantsWideCheck_00.png")</f>
        <v/>
      </c>
      <c r="D21" s="22" t="str">
        <f>IMAGE("https://raw.githubusercontent.com/ltdimages/images/refs/heads/main/ClothBottomsPantsWideCheck_01.png")</f>
        <v/>
      </c>
      <c r="E21" s="22" t="str">
        <f>IMAGE("https://raw.githubusercontent.com/ltdimages/images/refs/heads/main/ClothBottomsPantsWideCheck_02.png")</f>
        <v/>
      </c>
      <c r="F21" s="22" t="str">
        <f>IMAGE("https://raw.githubusercontent.com/ltdimages/images/refs/heads/main/ClothBottomsPantsWideCheck_03.png")</f>
        <v/>
      </c>
      <c r="G21" s="22" t="str">
        <f>IMAGE("https://raw.githubusercontent.com/ltdimages/images/refs/heads/main/ClothBottomsPantsWideCheck_04.png")</f>
        <v/>
      </c>
      <c r="H21" s="22" t="str">
        <f>IMAGE("https://raw.githubusercontent.com/ltdimages/images/refs/heads/main/ClothBottomsPantsWideCheck_05.png")</f>
        <v/>
      </c>
      <c r="I21" s="22" t="s">
        <v>3095</v>
      </c>
      <c r="J21" s="22" t="s">
        <v>3095</v>
      </c>
      <c r="K21" s="63" t="s">
        <v>4287</v>
      </c>
      <c r="L21" s="23">
        <v>12.0</v>
      </c>
      <c r="M21" s="22" t="s">
        <v>3097</v>
      </c>
      <c r="N21" s="22" t="s">
        <v>3099</v>
      </c>
      <c r="O21" s="22" t="s">
        <v>45</v>
      </c>
      <c r="P21" s="22" t="s">
        <v>45</v>
      </c>
      <c r="Q21" s="22" t="s">
        <v>45</v>
      </c>
      <c r="R21" s="22" t="s">
        <v>45</v>
      </c>
      <c r="S21" s="22" t="s">
        <v>45</v>
      </c>
      <c r="T21" s="22" t="s">
        <v>2002</v>
      </c>
      <c r="U21" s="22" t="s">
        <v>45</v>
      </c>
      <c r="V21" s="22" t="s">
        <v>45</v>
      </c>
      <c r="W21" s="22" t="s">
        <v>5273</v>
      </c>
      <c r="X21" s="22" t="s">
        <v>3095</v>
      </c>
      <c r="Y21" s="22" t="s">
        <v>3095</v>
      </c>
      <c r="Z21" s="22" t="s">
        <v>3095</v>
      </c>
      <c r="AA21" s="22" t="s">
        <v>3095</v>
      </c>
      <c r="AB21" s="22" t="s">
        <v>3095</v>
      </c>
      <c r="AC21" s="22" t="s">
        <v>3095</v>
      </c>
      <c r="AD21" s="22" t="s">
        <v>3095</v>
      </c>
      <c r="AE21" s="22" t="s">
        <v>3095</v>
      </c>
      <c r="AF21" s="22" t="s">
        <v>3095</v>
      </c>
    </row>
    <row r="22" ht="45.0" customHeight="1">
      <c r="A22" s="55" t="s">
        <v>147</v>
      </c>
      <c r="B22" s="62" t="s">
        <v>3206</v>
      </c>
      <c r="C22" s="22" t="str">
        <f>IMAGE("https://raw.githubusercontent.com/ltdimages/images/refs/heads/main/ClothBottomsPantsLongChino_00.png")</f>
        <v/>
      </c>
      <c r="D22" s="22" t="str">
        <f>IMAGE("https://raw.githubusercontent.com/ltdimages/images/refs/heads/main/ClothBottomsPantsLongChino_01.png")</f>
        <v/>
      </c>
      <c r="E22" s="22" t="str">
        <f>IMAGE("https://raw.githubusercontent.com/ltdimages/images/refs/heads/main/ClothBottomsPantsLongChino_02.png")</f>
        <v/>
      </c>
      <c r="F22" s="22" t="str">
        <f>IMAGE("https://raw.githubusercontent.com/ltdimages/images/refs/heads/main/ClothBottomsPantsLongChino_03.png")</f>
        <v/>
      </c>
      <c r="G22" s="22" t="str">
        <f>IMAGE("https://raw.githubusercontent.com/ltdimages/images/refs/heads/main/ClothBottomsPantsLongChino_04.png")</f>
        <v/>
      </c>
      <c r="H22" s="22" t="str">
        <f>IMAGE("https://raw.githubusercontent.com/ltdimages/images/refs/heads/main/ClothBottomsPantsLongChino_05.png")</f>
        <v/>
      </c>
      <c r="I22" s="22" t="s">
        <v>3095</v>
      </c>
      <c r="J22" s="22" t="s">
        <v>3095</v>
      </c>
      <c r="K22" s="63" t="s">
        <v>4287</v>
      </c>
      <c r="L22" s="23">
        <v>10.0</v>
      </c>
      <c r="M22" s="22" t="s">
        <v>3097</v>
      </c>
      <c r="N22" s="22" t="s">
        <v>3099</v>
      </c>
      <c r="O22" s="22" t="s">
        <v>45</v>
      </c>
      <c r="P22" s="22" t="s">
        <v>45</v>
      </c>
      <c r="Q22" s="22" t="s">
        <v>45</v>
      </c>
      <c r="R22" s="22" t="s">
        <v>45</v>
      </c>
      <c r="S22" s="22" t="s">
        <v>45</v>
      </c>
      <c r="T22" s="22" t="s">
        <v>2002</v>
      </c>
      <c r="U22" s="22" t="s">
        <v>45</v>
      </c>
      <c r="V22" s="22" t="s">
        <v>45</v>
      </c>
      <c r="W22" s="22" t="s">
        <v>5274</v>
      </c>
      <c r="X22" s="22" t="s">
        <v>3095</v>
      </c>
      <c r="Y22" s="22" t="s">
        <v>3095</v>
      </c>
      <c r="Z22" s="22" t="s">
        <v>3095</v>
      </c>
      <c r="AA22" s="22" t="s">
        <v>3095</v>
      </c>
      <c r="AB22" s="22" t="s">
        <v>3095</v>
      </c>
      <c r="AC22" s="22" t="s">
        <v>3095</v>
      </c>
      <c r="AD22" s="22" t="s">
        <v>3095</v>
      </c>
      <c r="AE22" s="22" t="s">
        <v>3095</v>
      </c>
      <c r="AF22" s="22" t="s">
        <v>3095</v>
      </c>
    </row>
    <row r="23" ht="45.0" customHeight="1">
      <c r="A23" s="55" t="s">
        <v>152</v>
      </c>
      <c r="B23" s="62" t="s">
        <v>4074</v>
      </c>
      <c r="C23" s="22" t="str">
        <f>IMAGE("https://raw.githubusercontent.com/ltdimages/images/refs/heads/main/ClothBottomsPantsLongChinoHalf_00.png")</f>
        <v/>
      </c>
      <c r="D23" s="22" t="str">
        <f>IMAGE("https://raw.githubusercontent.com/ltdimages/images/refs/heads/main/ClothBottomsPantsLongChinoHalf_01.png")</f>
        <v/>
      </c>
      <c r="E23" s="22" t="str">
        <f>IMAGE("https://raw.githubusercontent.com/ltdimages/images/refs/heads/main/ClothBottomsPantsLongChinoHalf_02.png")</f>
        <v/>
      </c>
      <c r="F23" s="22" t="str">
        <f>IMAGE("https://raw.githubusercontent.com/ltdimages/images/refs/heads/main/ClothBottomsPantsLongChinoHalf_03.png")</f>
        <v/>
      </c>
      <c r="G23" s="22" t="str">
        <f>IMAGE("https://raw.githubusercontent.com/ltdimages/images/refs/heads/main/ClothBottomsPantsLongChinoHalf_04.png")</f>
        <v/>
      </c>
      <c r="H23" s="22" t="str">
        <f>IMAGE("https://raw.githubusercontent.com/ltdimages/images/refs/heads/main/ClothBottomsPantsLongChinoHalf_05.png")</f>
        <v/>
      </c>
      <c r="I23" s="22" t="str">
        <f>IMAGE("https://raw.githubusercontent.com/ltdimages/images/refs/heads/main/ClothBottomsPantsLongChinoHalf_06.png")</f>
        <v/>
      </c>
      <c r="J23" s="22" t="str">
        <f>IMAGE("https://raw.githubusercontent.com/ltdimages/images/refs/heads/main/ClothBottomsPantsLongChinoHalf_07.png")</f>
        <v/>
      </c>
      <c r="K23" s="63" t="s">
        <v>4287</v>
      </c>
      <c r="L23" s="23">
        <v>8.1</v>
      </c>
      <c r="M23" s="22" t="s">
        <v>3097</v>
      </c>
      <c r="N23" s="22" t="s">
        <v>3123</v>
      </c>
      <c r="O23" s="22" t="s">
        <v>45</v>
      </c>
      <c r="P23" s="22" t="s">
        <v>45</v>
      </c>
      <c r="Q23" s="22" t="s">
        <v>45</v>
      </c>
      <c r="R23" s="22" t="s">
        <v>45</v>
      </c>
      <c r="S23" s="22" t="s">
        <v>45</v>
      </c>
      <c r="T23" s="22" t="s">
        <v>2002</v>
      </c>
      <c r="U23" s="22" t="s">
        <v>45</v>
      </c>
      <c r="V23" s="22" t="s">
        <v>45</v>
      </c>
      <c r="W23" s="22" t="s">
        <v>5275</v>
      </c>
      <c r="X23" s="22" t="s">
        <v>3095</v>
      </c>
      <c r="Y23" s="22" t="s">
        <v>3095</v>
      </c>
      <c r="Z23" s="22" t="s">
        <v>3095</v>
      </c>
      <c r="AA23" s="22" t="s">
        <v>3095</v>
      </c>
      <c r="AB23" s="22" t="s">
        <v>3095</v>
      </c>
      <c r="AC23" s="22" t="s">
        <v>3095</v>
      </c>
      <c r="AD23" s="22" t="s">
        <v>3095</v>
      </c>
      <c r="AE23" s="22" t="s">
        <v>3095</v>
      </c>
      <c r="AF23" s="22" t="s">
        <v>3095</v>
      </c>
    </row>
    <row r="24" ht="45.0" customHeight="1">
      <c r="A24" s="55" t="s">
        <v>156</v>
      </c>
      <c r="B24" s="62" t="s">
        <v>3310</v>
      </c>
      <c r="C24" s="22" t="str">
        <f>IMAGE("https://raw.githubusercontent.com/ltdimages/images/refs/heads/main/ClothBottomsPantsLongSimpleColor_00.png")</f>
        <v/>
      </c>
      <c r="D24" s="22" t="str">
        <f>IMAGE("https://raw.githubusercontent.com/ltdimages/images/refs/heads/main/ClothBottomsPantsLongSimpleColor_01.png")</f>
        <v/>
      </c>
      <c r="E24" s="22" t="str">
        <f>IMAGE("https://raw.githubusercontent.com/ltdimages/images/refs/heads/main/ClothBottomsPantsLongSimpleColor_02.png")</f>
        <v/>
      </c>
      <c r="F24" s="22" t="str">
        <f>IMAGE("https://raw.githubusercontent.com/ltdimages/images/refs/heads/main/ClothBottomsPantsLongSimpleColor_03.png")</f>
        <v/>
      </c>
      <c r="G24" s="22" t="str">
        <f>IMAGE("https://raw.githubusercontent.com/ltdimages/images/refs/heads/main/ClothBottomsPantsLongSimpleColor_04.png")</f>
        <v/>
      </c>
      <c r="H24" s="22" t="str">
        <f>IMAGE("https://raw.githubusercontent.com/ltdimages/images/refs/heads/main/ClothBottomsPantsLongSimpleColor_05.png")</f>
        <v/>
      </c>
      <c r="I24" s="22" t="str">
        <f>IMAGE("https://raw.githubusercontent.com/ltdimages/images/refs/heads/main/ClothBottomsPantsLongSimpleColor_06.png")</f>
        <v/>
      </c>
      <c r="J24" s="22" t="str">
        <f>IMAGE("https://raw.githubusercontent.com/ltdimages/images/refs/heads/main/ClothBottomsPantsLongSimpleColor_07.png")</f>
        <v/>
      </c>
      <c r="K24" s="63" t="s">
        <v>4287</v>
      </c>
      <c r="L24" s="23">
        <v>8.5</v>
      </c>
      <c r="M24" s="22" t="s">
        <v>3097</v>
      </c>
      <c r="N24" s="22" t="s">
        <v>3099</v>
      </c>
      <c r="O24" s="22" t="s">
        <v>45</v>
      </c>
      <c r="P24" s="22" t="s">
        <v>45</v>
      </c>
      <c r="Q24" s="22" t="s">
        <v>45</v>
      </c>
      <c r="R24" s="22" t="s">
        <v>45</v>
      </c>
      <c r="S24" s="22" t="s">
        <v>45</v>
      </c>
      <c r="T24" s="22" t="s">
        <v>2002</v>
      </c>
      <c r="U24" s="22" t="s">
        <v>45</v>
      </c>
      <c r="V24" s="22" t="s">
        <v>45</v>
      </c>
      <c r="W24" s="22" t="s">
        <v>5276</v>
      </c>
      <c r="X24" s="22" t="s">
        <v>3095</v>
      </c>
      <c r="Y24" s="22" t="s">
        <v>3095</v>
      </c>
      <c r="Z24" s="22" t="s">
        <v>3095</v>
      </c>
      <c r="AA24" s="22" t="s">
        <v>3095</v>
      </c>
      <c r="AB24" s="22" t="s">
        <v>3095</v>
      </c>
      <c r="AC24" s="22" t="s">
        <v>3095</v>
      </c>
      <c r="AD24" s="22" t="s">
        <v>3095</v>
      </c>
      <c r="AE24" s="22" t="s">
        <v>3095</v>
      </c>
      <c r="AF24" s="22" t="s">
        <v>3095</v>
      </c>
    </row>
    <row r="25" ht="45.0" customHeight="1">
      <c r="A25" s="55" t="s">
        <v>161</v>
      </c>
      <c r="B25" s="62" t="s">
        <v>3351</v>
      </c>
      <c r="C25" s="22" t="str">
        <f>IMAGE("https://raw.githubusercontent.com/ltdimages/images/refs/heads/main/ClothBottomsPantsWideCorduroy_00.png")</f>
        <v/>
      </c>
      <c r="D25" s="22" t="str">
        <f>IMAGE("https://raw.githubusercontent.com/ltdimages/images/refs/heads/main/ClothBottomsPantsWideCorduroy_01.png")</f>
        <v/>
      </c>
      <c r="E25" s="22" t="str">
        <f>IMAGE("https://raw.githubusercontent.com/ltdimages/images/refs/heads/main/ClothBottomsPantsWideCorduroy_02.png")</f>
        <v/>
      </c>
      <c r="F25" s="22" t="str">
        <f>IMAGE("https://raw.githubusercontent.com/ltdimages/images/refs/heads/main/ClothBottomsPantsWideCorduroy_03.png")</f>
        <v/>
      </c>
      <c r="G25" s="22" t="str">
        <f>IMAGE("https://raw.githubusercontent.com/ltdimages/images/refs/heads/main/ClothBottomsPantsWideCorduroy_04.png")</f>
        <v/>
      </c>
      <c r="H25" s="22" t="str">
        <f>IMAGE("https://raw.githubusercontent.com/ltdimages/images/refs/heads/main/ClothBottomsPantsWideCorduroy_05.png")</f>
        <v/>
      </c>
      <c r="I25" s="22" t="s">
        <v>3095</v>
      </c>
      <c r="J25" s="22" t="s">
        <v>3095</v>
      </c>
      <c r="K25" s="63" t="s">
        <v>4287</v>
      </c>
      <c r="L25" s="23">
        <v>9.0</v>
      </c>
      <c r="M25" s="22" t="s">
        <v>3097</v>
      </c>
      <c r="N25" s="22" t="s">
        <v>3114</v>
      </c>
      <c r="O25" s="22" t="s">
        <v>45</v>
      </c>
      <c r="P25" s="22" t="s">
        <v>45</v>
      </c>
      <c r="Q25" s="22" t="s">
        <v>45</v>
      </c>
      <c r="R25" s="22" t="s">
        <v>45</v>
      </c>
      <c r="S25" s="22" t="s">
        <v>45</v>
      </c>
      <c r="T25" s="22" t="s">
        <v>2002</v>
      </c>
      <c r="U25" s="22" t="s">
        <v>45</v>
      </c>
      <c r="V25" s="22" t="s">
        <v>45</v>
      </c>
      <c r="W25" s="22" t="s">
        <v>5277</v>
      </c>
      <c r="X25" s="22" t="s">
        <v>3095</v>
      </c>
      <c r="Y25" s="22" t="s">
        <v>3095</v>
      </c>
      <c r="Z25" s="22" t="s">
        <v>3095</v>
      </c>
      <c r="AA25" s="22" t="s">
        <v>3095</v>
      </c>
      <c r="AB25" s="22" t="s">
        <v>3095</v>
      </c>
      <c r="AC25" s="22" t="s">
        <v>3095</v>
      </c>
      <c r="AD25" s="22" t="s">
        <v>3095</v>
      </c>
      <c r="AE25" s="22" t="s">
        <v>3095</v>
      </c>
      <c r="AF25" s="22" t="s">
        <v>3095</v>
      </c>
    </row>
    <row r="26" ht="45.0" customHeight="1">
      <c r="A26" s="55" t="s">
        <v>165</v>
      </c>
      <c r="B26" s="62" t="s">
        <v>3791</v>
      </c>
      <c r="C26" s="22" t="str">
        <f>IMAGE("https://raw.githubusercontent.com/ltdimages/images/refs/heads/main/ClothBottomsPantsLongCropped_00.png")</f>
        <v/>
      </c>
      <c r="D26" s="22" t="str">
        <f>IMAGE("https://raw.githubusercontent.com/ltdimages/images/refs/heads/main/ClothBottomsPantsLongCropped_01.png")</f>
        <v/>
      </c>
      <c r="E26" s="22" t="str">
        <f>IMAGE("https://raw.githubusercontent.com/ltdimages/images/refs/heads/main/ClothBottomsPantsLongCropped_02.png")</f>
        <v/>
      </c>
      <c r="F26" s="22" t="str">
        <f>IMAGE("https://raw.githubusercontent.com/ltdimages/images/refs/heads/main/ClothBottomsPantsLongCropped_03.png")</f>
        <v/>
      </c>
      <c r="G26" s="22" t="str">
        <f>IMAGE("https://raw.githubusercontent.com/ltdimages/images/refs/heads/main/ClothBottomsPantsLongCropped_04.png")</f>
        <v/>
      </c>
      <c r="H26" s="22" t="str">
        <f>IMAGE("https://raw.githubusercontent.com/ltdimages/images/refs/heads/main/ClothBottomsPantsLongCropped_05.png")</f>
        <v/>
      </c>
      <c r="I26" s="22" t="str">
        <f>IMAGE("https://raw.githubusercontent.com/ltdimages/images/refs/heads/main/ClothBottomsPantsLongCropped_06.png")</f>
        <v/>
      </c>
      <c r="J26" s="22" t="str">
        <f>IMAGE("https://raw.githubusercontent.com/ltdimages/images/refs/heads/main/ClothBottomsPantsLongCropped_07.png")</f>
        <v/>
      </c>
      <c r="K26" s="63" t="s">
        <v>4287</v>
      </c>
      <c r="L26" s="23">
        <v>8.0</v>
      </c>
      <c r="M26" s="22" t="s">
        <v>3097</v>
      </c>
      <c r="N26" s="22" t="s">
        <v>3099</v>
      </c>
      <c r="O26" s="22" t="s">
        <v>45</v>
      </c>
      <c r="P26" s="22" t="s">
        <v>45</v>
      </c>
      <c r="Q26" s="22" t="s">
        <v>45</v>
      </c>
      <c r="R26" s="22" t="s">
        <v>45</v>
      </c>
      <c r="S26" s="22" t="s">
        <v>45</v>
      </c>
      <c r="T26" s="22" t="s">
        <v>2002</v>
      </c>
      <c r="U26" s="22" t="s">
        <v>45</v>
      </c>
      <c r="V26" s="22" t="s">
        <v>45</v>
      </c>
      <c r="W26" s="22" t="s">
        <v>5278</v>
      </c>
      <c r="X26" s="22" t="s">
        <v>3095</v>
      </c>
      <c r="Y26" s="22" t="s">
        <v>3095</v>
      </c>
      <c r="Z26" s="22" t="s">
        <v>3095</v>
      </c>
      <c r="AA26" s="22" t="s">
        <v>3095</v>
      </c>
      <c r="AB26" s="22" t="s">
        <v>3095</v>
      </c>
      <c r="AC26" s="22" t="s">
        <v>3095</v>
      </c>
      <c r="AD26" s="22" t="s">
        <v>3095</v>
      </c>
      <c r="AE26" s="22" t="s">
        <v>3095</v>
      </c>
      <c r="AF26" s="22" t="s">
        <v>3095</v>
      </c>
    </row>
    <row r="27" ht="45.0" customHeight="1">
      <c r="A27" s="55" t="s">
        <v>170</v>
      </c>
      <c r="B27" s="62" t="s">
        <v>5279</v>
      </c>
      <c r="C27" s="22" t="str">
        <f>IMAGE("https://raw.githubusercontent.com/ltdimages/images/refs/heads/main/ClothBottomsPantsWideCropped_00.png")</f>
        <v/>
      </c>
      <c r="D27" s="22" t="str">
        <f>IMAGE("https://raw.githubusercontent.com/ltdimages/images/refs/heads/main/ClothBottomsPantsWideCropped_01.png")</f>
        <v/>
      </c>
      <c r="E27" s="22" t="str">
        <f>IMAGE("https://raw.githubusercontent.com/ltdimages/images/refs/heads/main/ClothBottomsPantsWideCropped_02.png")</f>
        <v/>
      </c>
      <c r="F27" s="22" t="str">
        <f>IMAGE("https://raw.githubusercontent.com/ltdimages/images/refs/heads/main/ClothBottomsPantsWideCropped_03.png")</f>
        <v/>
      </c>
      <c r="G27" s="22" t="str">
        <f>IMAGE("https://raw.githubusercontent.com/ltdimages/images/refs/heads/main/ClothBottomsPantsWideCropped_04.png")</f>
        <v/>
      </c>
      <c r="H27" s="22" t="str">
        <f>IMAGE("https://raw.githubusercontent.com/ltdimages/images/refs/heads/main/ClothBottomsPantsWideCropped_05.png")</f>
        <v/>
      </c>
      <c r="I27" s="22" t="str">
        <f>IMAGE("https://raw.githubusercontent.com/ltdimages/images/refs/heads/main/ClothBottomsPantsWideCropped_06.png")</f>
        <v/>
      </c>
      <c r="J27" s="22" t="str">
        <f>IMAGE("https://raw.githubusercontent.com/ltdimages/images/refs/heads/main/ClothBottomsPantsWideCropped_07.png")</f>
        <v/>
      </c>
      <c r="K27" s="63" t="s">
        <v>4287</v>
      </c>
      <c r="L27" s="23">
        <v>9.5</v>
      </c>
      <c r="M27" s="22" t="s">
        <v>3097</v>
      </c>
      <c r="N27" s="22" t="s">
        <v>3099</v>
      </c>
      <c r="O27" s="22" t="s">
        <v>45</v>
      </c>
      <c r="P27" s="22" t="s">
        <v>45</v>
      </c>
      <c r="Q27" s="22" t="s">
        <v>45</v>
      </c>
      <c r="R27" s="22" t="s">
        <v>45</v>
      </c>
      <c r="S27" s="22" t="s">
        <v>45</v>
      </c>
      <c r="T27" s="22" t="s">
        <v>2002</v>
      </c>
      <c r="U27" s="22" t="s">
        <v>45</v>
      </c>
      <c r="V27" s="22" t="s">
        <v>45</v>
      </c>
      <c r="W27" s="22" t="s">
        <v>5280</v>
      </c>
      <c r="X27" s="22" t="s">
        <v>3095</v>
      </c>
      <c r="Y27" s="22" t="s">
        <v>3095</v>
      </c>
      <c r="Z27" s="22" t="s">
        <v>3095</v>
      </c>
      <c r="AA27" s="22" t="s">
        <v>3095</v>
      </c>
      <c r="AB27" s="22" t="s">
        <v>3095</v>
      </c>
      <c r="AC27" s="22" t="s">
        <v>3095</v>
      </c>
      <c r="AD27" s="22" t="s">
        <v>3095</v>
      </c>
      <c r="AE27" s="22" t="s">
        <v>3095</v>
      </c>
      <c r="AF27" s="22" t="s">
        <v>3095</v>
      </c>
    </row>
    <row r="28" ht="45.0" customHeight="1">
      <c r="A28" s="55" t="s">
        <v>175</v>
      </c>
      <c r="B28" s="62" t="s">
        <v>5281</v>
      </c>
      <c r="C28" s="22" t="str">
        <f>IMAGE("https://raw.githubusercontent.com/ltdimages/images/refs/heads/main/ClothBottomsPantsLongDinosaur_00.png")</f>
        <v/>
      </c>
      <c r="D28" s="22" t="str">
        <f>IMAGE("https://raw.githubusercontent.com/ltdimages/images/refs/heads/main/ClothBottomsPantsLongDinosaur_01.png")</f>
        <v/>
      </c>
      <c r="E28" s="22" t="str">
        <f>IMAGE("https://raw.githubusercontent.com/ltdimages/images/refs/heads/main/ClothBottomsPantsLongDinosaur_02.png")</f>
        <v/>
      </c>
      <c r="F28" s="22" t="str">
        <f>IMAGE("https://raw.githubusercontent.com/ltdimages/images/refs/heads/main/ClothBottomsPantsLongDinosaur_03.png")</f>
        <v/>
      </c>
      <c r="G28" s="22" t="str">
        <f>IMAGE("https://raw.githubusercontent.com/ltdimages/images/refs/heads/main/ClothBottomsPantsLongDinosaur_04.png")</f>
        <v/>
      </c>
      <c r="H28" s="22" t="str">
        <f>IMAGE("https://raw.githubusercontent.com/ltdimages/images/refs/heads/main/ClothBottomsPantsLongDinosaur_05.png")</f>
        <v/>
      </c>
      <c r="I28" s="22" t="str">
        <f>IMAGE("https://raw.githubusercontent.com/ltdimages/images/refs/heads/main/ClothBottomsPantsLongDinosaur_06.png")</f>
        <v/>
      </c>
      <c r="J28" s="22" t="str">
        <f>IMAGE("https://raw.githubusercontent.com/ltdimages/images/refs/heads/main/ClothBottomsPantsLongDinosaur_07.png")</f>
        <v/>
      </c>
      <c r="K28" s="63" t="s">
        <v>4287</v>
      </c>
      <c r="L28" s="23">
        <v>9.0</v>
      </c>
      <c r="M28" s="22" t="s">
        <v>3097</v>
      </c>
      <c r="N28" s="22" t="s">
        <v>3099</v>
      </c>
      <c r="O28" s="22" t="s">
        <v>45</v>
      </c>
      <c r="P28" s="22" t="s">
        <v>45</v>
      </c>
      <c r="Q28" s="22" t="s">
        <v>45</v>
      </c>
      <c r="R28" s="22" t="s">
        <v>45</v>
      </c>
      <c r="S28" s="22" t="s">
        <v>45</v>
      </c>
      <c r="T28" s="22" t="s">
        <v>2002</v>
      </c>
      <c r="U28" s="22" t="s">
        <v>45</v>
      </c>
      <c r="V28" s="22" t="s">
        <v>45</v>
      </c>
      <c r="W28" s="22" t="s">
        <v>5282</v>
      </c>
      <c r="X28" s="22" t="s">
        <v>3095</v>
      </c>
      <c r="Y28" s="22" t="s">
        <v>3095</v>
      </c>
      <c r="Z28" s="22" t="s">
        <v>3095</v>
      </c>
      <c r="AA28" s="22" t="s">
        <v>3095</v>
      </c>
      <c r="AB28" s="22" t="s">
        <v>3095</v>
      </c>
      <c r="AC28" s="22" t="s">
        <v>3095</v>
      </c>
      <c r="AD28" s="22" t="s">
        <v>3095</v>
      </c>
      <c r="AE28" s="22" t="s">
        <v>3095</v>
      </c>
      <c r="AF28" s="22" t="s">
        <v>3095</v>
      </c>
    </row>
    <row r="29" ht="45.0" customHeight="1">
      <c r="A29" s="55" t="s">
        <v>180</v>
      </c>
      <c r="B29" s="62" t="s">
        <v>5283</v>
      </c>
      <c r="C29" s="22" t="str">
        <f>IMAGE("https://raw.githubusercontent.com/ltdimages/images/refs/heads/main/ClothBottomsDiaper_00.png")</f>
        <v/>
      </c>
      <c r="D29" s="22" t="s">
        <v>3095</v>
      </c>
      <c r="E29" s="22" t="s">
        <v>3095</v>
      </c>
      <c r="F29" s="22" t="s">
        <v>3095</v>
      </c>
      <c r="G29" s="22" t="s">
        <v>3095</v>
      </c>
      <c r="H29" s="22" t="s">
        <v>3095</v>
      </c>
      <c r="I29" s="22" t="s">
        <v>3095</v>
      </c>
      <c r="J29" s="22" t="s">
        <v>3095</v>
      </c>
      <c r="K29" s="63" t="s">
        <v>4287</v>
      </c>
      <c r="L29" s="23">
        <v>0.5</v>
      </c>
      <c r="M29" s="22" t="s">
        <v>3097</v>
      </c>
      <c r="N29" s="22" t="s">
        <v>3099</v>
      </c>
      <c r="O29" s="22" t="s">
        <v>45</v>
      </c>
      <c r="P29" s="22" t="s">
        <v>45</v>
      </c>
      <c r="Q29" s="22" t="s">
        <v>45</v>
      </c>
      <c r="R29" s="22" t="s">
        <v>45</v>
      </c>
      <c r="S29" s="22" t="s">
        <v>45</v>
      </c>
      <c r="T29" s="22" t="s">
        <v>2002</v>
      </c>
      <c r="U29" s="22" t="s">
        <v>45</v>
      </c>
      <c r="V29" s="22" t="s">
        <v>45</v>
      </c>
      <c r="W29" s="22" t="s">
        <v>5284</v>
      </c>
      <c r="X29" s="22" t="s">
        <v>3095</v>
      </c>
      <c r="Y29" s="22" t="s">
        <v>3095</v>
      </c>
      <c r="Z29" s="22" t="s">
        <v>3095</v>
      </c>
      <c r="AA29" s="22" t="s">
        <v>3095</v>
      </c>
      <c r="AB29" s="22" t="s">
        <v>3095</v>
      </c>
      <c r="AC29" s="22" t="s">
        <v>3095</v>
      </c>
      <c r="AD29" s="22" t="s">
        <v>3095</v>
      </c>
      <c r="AE29" s="22" t="s">
        <v>3095</v>
      </c>
      <c r="AF29" s="22" t="s">
        <v>3095</v>
      </c>
    </row>
    <row r="30" ht="45.0" customHeight="1">
      <c r="A30" s="55" t="s">
        <v>185</v>
      </c>
      <c r="B30" s="62" t="s">
        <v>3456</v>
      </c>
      <c r="C30" s="22" t="str">
        <f>IMAGE("https://raw.githubusercontent.com/ltdimages/images/refs/heads/main/ClothBottomsPantsWideDogJersey_00.png")</f>
        <v/>
      </c>
      <c r="D30" s="22" t="str">
        <f>IMAGE("https://raw.githubusercontent.com/ltdimages/images/refs/heads/main/ClothBottomsPantsWideDogJersey_01.png")</f>
        <v/>
      </c>
      <c r="E30" s="22" t="str">
        <f>IMAGE("https://raw.githubusercontent.com/ltdimages/images/refs/heads/main/ClothBottomsPantsWideDogJersey_02.png")</f>
        <v/>
      </c>
      <c r="F30" s="22" t="str">
        <f>IMAGE("https://raw.githubusercontent.com/ltdimages/images/refs/heads/main/ClothBottomsPantsWideDogJersey_03.png")</f>
        <v/>
      </c>
      <c r="G30" s="22" t="str">
        <f>IMAGE("https://raw.githubusercontent.com/ltdimages/images/refs/heads/main/ClothBottomsPantsWideDogJersey_04.png")</f>
        <v/>
      </c>
      <c r="H30" s="22" t="str">
        <f>IMAGE("https://raw.githubusercontent.com/ltdimages/images/refs/heads/main/ClothBottomsPantsWideDogJersey_05.png")</f>
        <v/>
      </c>
      <c r="I30" s="22" t="str">
        <f>IMAGE("https://raw.githubusercontent.com/ltdimages/images/refs/heads/main/ClothBottomsPantsWideDogJersey_06.png")</f>
        <v/>
      </c>
      <c r="J30" s="22" t="str">
        <f>IMAGE("https://raw.githubusercontent.com/ltdimages/images/refs/heads/main/ClothBottomsPantsWideDogJersey_07.png")</f>
        <v/>
      </c>
      <c r="K30" s="63" t="s">
        <v>4287</v>
      </c>
      <c r="L30" s="23">
        <v>8.7</v>
      </c>
      <c r="M30" s="22" t="s">
        <v>3097</v>
      </c>
      <c r="N30" s="22" t="s">
        <v>3114</v>
      </c>
      <c r="O30" s="22" t="s">
        <v>45</v>
      </c>
      <c r="P30" s="22" t="s">
        <v>45</v>
      </c>
      <c r="Q30" s="22" t="s">
        <v>45</v>
      </c>
      <c r="R30" s="22" t="s">
        <v>45</v>
      </c>
      <c r="S30" s="22" t="s">
        <v>45</v>
      </c>
      <c r="T30" s="22" t="s">
        <v>2002</v>
      </c>
      <c r="U30" s="22" t="s">
        <v>45</v>
      </c>
      <c r="V30" s="22" t="s">
        <v>45</v>
      </c>
      <c r="W30" s="22" t="s">
        <v>5285</v>
      </c>
      <c r="X30" s="22" t="s">
        <v>3095</v>
      </c>
      <c r="Y30" s="22" t="s">
        <v>3095</v>
      </c>
      <c r="Z30" s="22" t="s">
        <v>3095</v>
      </c>
      <c r="AA30" s="22" t="s">
        <v>3095</v>
      </c>
      <c r="AB30" s="22" t="s">
        <v>3095</v>
      </c>
      <c r="AC30" s="22" t="s">
        <v>3095</v>
      </c>
      <c r="AD30" s="22" t="s">
        <v>3095</v>
      </c>
      <c r="AE30" s="22" t="s">
        <v>3095</v>
      </c>
      <c r="AF30" s="22" t="s">
        <v>3095</v>
      </c>
    </row>
    <row r="31" ht="45.0" customHeight="1">
      <c r="A31" s="55" t="s">
        <v>189</v>
      </c>
      <c r="B31" s="62" t="s">
        <v>5286</v>
      </c>
      <c r="C31" s="22" t="str">
        <f>IMAGE("https://raw.githubusercontent.com/ltdimages/images/refs/heads/main/ClothBottomsBloomersDot_00.png")</f>
        <v/>
      </c>
      <c r="D31" s="22" t="str">
        <f>IMAGE("https://raw.githubusercontent.com/ltdimages/images/refs/heads/main/ClothBottomsBloomersDot_01.png")</f>
        <v/>
      </c>
      <c r="E31" s="22" t="str">
        <f>IMAGE("https://raw.githubusercontent.com/ltdimages/images/refs/heads/main/ClothBottomsBloomersDot_02.png")</f>
        <v/>
      </c>
      <c r="F31" s="22" t="str">
        <f>IMAGE("https://raw.githubusercontent.com/ltdimages/images/refs/heads/main/ClothBottomsBloomersDot_03.png")</f>
        <v/>
      </c>
      <c r="G31" s="22" t="str">
        <f>IMAGE("https://raw.githubusercontent.com/ltdimages/images/refs/heads/main/ClothBottomsBloomersDot_04.png")</f>
        <v/>
      </c>
      <c r="H31" s="22" t="str">
        <f>IMAGE("https://raw.githubusercontent.com/ltdimages/images/refs/heads/main/ClothBottomsBloomersDot_05.png")</f>
        <v/>
      </c>
      <c r="I31" s="22" t="str">
        <f>IMAGE("https://raw.githubusercontent.com/ltdimages/images/refs/heads/main/ClothBottomsBloomersDot_06.png")</f>
        <v/>
      </c>
      <c r="J31" s="22" t="str">
        <f>IMAGE("https://raw.githubusercontent.com/ltdimages/images/refs/heads/main/ClothBottomsBloomersDot_07.png")</f>
        <v/>
      </c>
      <c r="K31" s="63" t="s">
        <v>4287</v>
      </c>
      <c r="L31" s="23">
        <v>10.0</v>
      </c>
      <c r="M31" s="22" t="s">
        <v>3097</v>
      </c>
      <c r="N31" s="22" t="s">
        <v>3099</v>
      </c>
      <c r="O31" s="22" t="s">
        <v>45</v>
      </c>
      <c r="P31" s="22" t="s">
        <v>45</v>
      </c>
      <c r="Q31" s="22" t="s">
        <v>45</v>
      </c>
      <c r="R31" s="22" t="s">
        <v>45</v>
      </c>
      <c r="S31" s="22" t="s">
        <v>45</v>
      </c>
      <c r="T31" s="22" t="s">
        <v>2002</v>
      </c>
      <c r="U31" s="22" t="s">
        <v>45</v>
      </c>
      <c r="V31" s="22" t="s">
        <v>45</v>
      </c>
      <c r="W31" s="22" t="s">
        <v>5287</v>
      </c>
      <c r="X31" s="22" t="s">
        <v>3095</v>
      </c>
      <c r="Y31" s="22" t="s">
        <v>3095</v>
      </c>
      <c r="Z31" s="22" t="s">
        <v>3095</v>
      </c>
      <c r="AA31" s="22" t="s">
        <v>3095</v>
      </c>
      <c r="AB31" s="22" t="s">
        <v>3095</v>
      </c>
      <c r="AC31" s="22" t="s">
        <v>3095</v>
      </c>
      <c r="AD31" s="22" t="s">
        <v>3095</v>
      </c>
      <c r="AE31" s="22" t="s">
        <v>3095</v>
      </c>
      <c r="AF31" s="22" t="s">
        <v>3095</v>
      </c>
    </row>
    <row r="32" ht="45.0" customHeight="1">
      <c r="A32" s="55" t="s">
        <v>194</v>
      </c>
      <c r="B32" s="62" t="s">
        <v>5288</v>
      </c>
      <c r="C32" s="22" t="str">
        <f>IMAGE("https://raw.githubusercontent.com/ltdimages/images/refs/heads/main/ClothBottomsPantsWideDotHalf_00.png")</f>
        <v/>
      </c>
      <c r="D32" s="22" t="str">
        <f>IMAGE("https://raw.githubusercontent.com/ltdimages/images/refs/heads/main/ClothBottomsPantsWideDotHalf_01.png")</f>
        <v/>
      </c>
      <c r="E32" s="22" t="str">
        <f>IMAGE("https://raw.githubusercontent.com/ltdimages/images/refs/heads/main/ClothBottomsPantsWideDotHalf_02.png")</f>
        <v/>
      </c>
      <c r="F32" s="22" t="str">
        <f>IMAGE("https://raw.githubusercontent.com/ltdimages/images/refs/heads/main/ClothBottomsPantsWideDotHalf_03.png")</f>
        <v/>
      </c>
      <c r="G32" s="22" t="str">
        <f>IMAGE("https://raw.githubusercontent.com/ltdimages/images/refs/heads/main/ClothBottomsPantsWideDotHalf_04.png")</f>
        <v/>
      </c>
      <c r="H32" s="22" t="str">
        <f>IMAGE("https://raw.githubusercontent.com/ltdimages/images/refs/heads/main/ClothBottomsPantsWideDotHalf_05.png")</f>
        <v/>
      </c>
      <c r="I32" s="22" t="str">
        <f>IMAGE("https://raw.githubusercontent.com/ltdimages/images/refs/heads/main/ClothBottomsPantsWideDotHalf_06.png")</f>
        <v/>
      </c>
      <c r="J32" s="22" t="str">
        <f>IMAGE("https://raw.githubusercontent.com/ltdimages/images/refs/heads/main/ClothBottomsPantsWideDotHalf_07.png")</f>
        <v/>
      </c>
      <c r="K32" s="63" t="s">
        <v>4287</v>
      </c>
      <c r="L32" s="23">
        <v>9.1</v>
      </c>
      <c r="M32" s="22" t="s">
        <v>3097</v>
      </c>
      <c r="N32" s="22" t="s">
        <v>3099</v>
      </c>
      <c r="O32" s="22" t="s">
        <v>45</v>
      </c>
      <c r="P32" s="22" t="s">
        <v>45</v>
      </c>
      <c r="Q32" s="22" t="s">
        <v>45</v>
      </c>
      <c r="R32" s="22" t="s">
        <v>45</v>
      </c>
      <c r="S32" s="22" t="s">
        <v>45</v>
      </c>
      <c r="T32" s="22" t="s">
        <v>2002</v>
      </c>
      <c r="U32" s="22" t="s">
        <v>45</v>
      </c>
      <c r="V32" s="22" t="s">
        <v>45</v>
      </c>
      <c r="W32" s="22" t="s">
        <v>5289</v>
      </c>
      <c r="X32" s="22" t="s">
        <v>3095</v>
      </c>
      <c r="Y32" s="22" t="s">
        <v>3095</v>
      </c>
      <c r="Z32" s="22" t="s">
        <v>3095</v>
      </c>
      <c r="AA32" s="22" t="s">
        <v>3095</v>
      </c>
      <c r="AB32" s="22" t="s">
        <v>3095</v>
      </c>
      <c r="AC32" s="22" t="s">
        <v>3095</v>
      </c>
      <c r="AD32" s="22" t="s">
        <v>3095</v>
      </c>
      <c r="AE32" s="22" t="s">
        <v>3095</v>
      </c>
      <c r="AF32" s="22" t="s">
        <v>3095</v>
      </c>
    </row>
    <row r="33" ht="45.0" customHeight="1">
      <c r="A33" s="55" t="s">
        <v>198</v>
      </c>
      <c r="B33" s="62" t="s">
        <v>3175</v>
      </c>
      <c r="C33" s="22" t="str">
        <f>IMAGE("https://raw.githubusercontent.com/ltdimages/images/refs/heads/main/ClothBottomsPantsLongDown_00.png")</f>
        <v/>
      </c>
      <c r="D33" s="22" t="str">
        <f>IMAGE("https://raw.githubusercontent.com/ltdimages/images/refs/heads/main/ClothBottomsPantsLongDown_01.png")</f>
        <v/>
      </c>
      <c r="E33" s="22" t="str">
        <f>IMAGE("https://raw.githubusercontent.com/ltdimages/images/refs/heads/main/ClothBottomsPantsLongDown_02.png")</f>
        <v/>
      </c>
      <c r="F33" s="22" t="str">
        <f>IMAGE("https://raw.githubusercontent.com/ltdimages/images/refs/heads/main/ClothBottomsPantsLongDown_03.png")</f>
        <v/>
      </c>
      <c r="G33" s="22" t="str">
        <f>IMAGE("https://raw.githubusercontent.com/ltdimages/images/refs/heads/main/ClothBottomsPantsLongDown_04.png")</f>
        <v/>
      </c>
      <c r="H33" s="22" t="str">
        <f>IMAGE("https://raw.githubusercontent.com/ltdimages/images/refs/heads/main/ClothBottomsPantsLongDown_05.png")</f>
        <v/>
      </c>
      <c r="I33" s="22" t="str">
        <f>IMAGE("https://raw.githubusercontent.com/ltdimages/images/refs/heads/main/ClothBottomsPantsLongDown_06.png")</f>
        <v/>
      </c>
      <c r="J33" s="22" t="str">
        <f>IMAGE("https://raw.githubusercontent.com/ltdimages/images/refs/heads/main/ClothBottomsPantsLongDown_07.png")</f>
        <v/>
      </c>
      <c r="K33" s="63" t="s">
        <v>4287</v>
      </c>
      <c r="L33" s="23">
        <v>12.0</v>
      </c>
      <c r="M33" s="22" t="s">
        <v>3097</v>
      </c>
      <c r="N33" s="22" t="s">
        <v>3114</v>
      </c>
      <c r="O33" s="22" t="s">
        <v>45</v>
      </c>
      <c r="P33" s="22" t="s">
        <v>45</v>
      </c>
      <c r="Q33" s="22" t="s">
        <v>45</v>
      </c>
      <c r="R33" s="22" t="s">
        <v>45</v>
      </c>
      <c r="S33" s="22" t="s">
        <v>45</v>
      </c>
      <c r="T33" s="22" t="s">
        <v>2002</v>
      </c>
      <c r="U33" s="22" t="s">
        <v>45</v>
      </c>
      <c r="V33" s="22" t="s">
        <v>45</v>
      </c>
      <c r="W33" s="22" t="s">
        <v>5290</v>
      </c>
      <c r="X33" s="22" t="s">
        <v>3095</v>
      </c>
      <c r="Y33" s="22" t="s">
        <v>3095</v>
      </c>
      <c r="Z33" s="22" t="s">
        <v>3095</v>
      </c>
      <c r="AA33" s="22" t="s">
        <v>3095</v>
      </c>
      <c r="AB33" s="22" t="s">
        <v>3095</v>
      </c>
      <c r="AC33" s="22" t="s">
        <v>3095</v>
      </c>
      <c r="AD33" s="22" t="s">
        <v>3095</v>
      </c>
      <c r="AE33" s="22" t="s">
        <v>3095</v>
      </c>
      <c r="AF33" s="22" t="s">
        <v>3095</v>
      </c>
    </row>
    <row r="34" ht="45.0" customHeight="1">
      <c r="A34" s="55" t="s">
        <v>202</v>
      </c>
      <c r="B34" s="62" t="s">
        <v>5291</v>
      </c>
      <c r="C34" s="22" t="str">
        <f>IMAGE("https://raw.githubusercontent.com/ltdimages/images/refs/heads/main/ClothBottomsPantsWideElephant_00.png")</f>
        <v/>
      </c>
      <c r="D34" s="22" t="str">
        <f>IMAGE("https://raw.githubusercontent.com/ltdimages/images/refs/heads/main/ClothBottomsPantsWideElephant_01.png")</f>
        <v/>
      </c>
      <c r="E34" s="22" t="str">
        <f>IMAGE("https://raw.githubusercontent.com/ltdimages/images/refs/heads/main/ClothBottomsPantsWideElephant_02.png")</f>
        <v/>
      </c>
      <c r="F34" s="22" t="str">
        <f>IMAGE("https://raw.githubusercontent.com/ltdimages/images/refs/heads/main/ClothBottomsPantsWideElephant_03.png")</f>
        <v/>
      </c>
      <c r="G34" s="22" t="str">
        <f>IMAGE("https://raw.githubusercontent.com/ltdimages/images/refs/heads/main/ClothBottomsPantsWideElephant_04.png")</f>
        <v/>
      </c>
      <c r="H34" s="22" t="str">
        <f>IMAGE("https://raw.githubusercontent.com/ltdimages/images/refs/heads/main/ClothBottomsPantsWideElephant_05.png")</f>
        <v/>
      </c>
      <c r="I34" s="22" t="str">
        <f>IMAGE("https://raw.githubusercontent.com/ltdimages/images/refs/heads/main/ClothBottomsPantsWideElephant_06.png")</f>
        <v/>
      </c>
      <c r="J34" s="22" t="str">
        <f>IMAGE("https://raw.githubusercontent.com/ltdimages/images/refs/heads/main/ClothBottomsPantsWideElephant_07.png")</f>
        <v/>
      </c>
      <c r="K34" s="63" t="s">
        <v>4287</v>
      </c>
      <c r="L34" s="23">
        <v>13.0</v>
      </c>
      <c r="M34" s="22" t="s">
        <v>3097</v>
      </c>
      <c r="N34" s="22" t="s">
        <v>3123</v>
      </c>
      <c r="O34" s="22" t="s">
        <v>45</v>
      </c>
      <c r="P34" s="22" t="s">
        <v>45</v>
      </c>
      <c r="Q34" s="22" t="s">
        <v>45</v>
      </c>
      <c r="R34" s="22" t="s">
        <v>45</v>
      </c>
      <c r="S34" s="22" t="s">
        <v>45</v>
      </c>
      <c r="T34" s="22" t="s">
        <v>2002</v>
      </c>
      <c r="U34" s="22" t="s">
        <v>45</v>
      </c>
      <c r="V34" s="22" t="s">
        <v>45</v>
      </c>
      <c r="W34" s="22" t="s">
        <v>5292</v>
      </c>
      <c r="X34" s="22" t="s">
        <v>3095</v>
      </c>
      <c r="Y34" s="22" t="s">
        <v>3095</v>
      </c>
      <c r="Z34" s="22" t="s">
        <v>3095</v>
      </c>
      <c r="AA34" s="22" t="s">
        <v>3095</v>
      </c>
      <c r="AB34" s="22" t="s">
        <v>3095</v>
      </c>
      <c r="AC34" s="22" t="s">
        <v>3095</v>
      </c>
      <c r="AD34" s="22" t="s">
        <v>3095</v>
      </c>
      <c r="AE34" s="22" t="s">
        <v>3095</v>
      </c>
      <c r="AF34" s="22" t="s">
        <v>3095</v>
      </c>
    </row>
    <row r="35" ht="45.0" customHeight="1">
      <c r="A35" s="55" t="s">
        <v>207</v>
      </c>
      <c r="B35" s="62" t="s">
        <v>5293</v>
      </c>
      <c r="C35" s="22" t="str">
        <f>IMAGE("https://raw.githubusercontent.com/ltdimages/images/refs/heads/main/ClothBottomsPantsWideFlower_00.png")</f>
        <v/>
      </c>
      <c r="D35" s="22" t="str">
        <f>IMAGE("https://raw.githubusercontent.com/ltdimages/images/refs/heads/main/ClothBottomsPantsWideFlower_01.png")</f>
        <v/>
      </c>
      <c r="E35" s="22" t="str">
        <f>IMAGE("https://raw.githubusercontent.com/ltdimages/images/refs/heads/main/ClothBottomsPantsWideFlower_02.png")</f>
        <v/>
      </c>
      <c r="F35" s="22" t="str">
        <f>IMAGE("https://raw.githubusercontent.com/ltdimages/images/refs/heads/main/ClothBottomsPantsWideFlower_03.png")</f>
        <v/>
      </c>
      <c r="G35" s="22" t="str">
        <f>IMAGE("https://raw.githubusercontent.com/ltdimages/images/refs/heads/main/ClothBottomsPantsWideFlower_04.png")</f>
        <v/>
      </c>
      <c r="H35" s="22" t="str">
        <f>IMAGE("https://raw.githubusercontent.com/ltdimages/images/refs/heads/main/ClothBottomsPantsWideFlower_05.png")</f>
        <v/>
      </c>
      <c r="I35" s="22" t="str">
        <f>IMAGE("https://raw.githubusercontent.com/ltdimages/images/refs/heads/main/ClothBottomsPantsWideFlower_06.png")</f>
        <v/>
      </c>
      <c r="J35" s="22" t="str">
        <f>IMAGE("https://raw.githubusercontent.com/ltdimages/images/refs/heads/main/ClothBottomsPantsWideFlower_07.png")</f>
        <v/>
      </c>
      <c r="K35" s="63" t="s">
        <v>4287</v>
      </c>
      <c r="L35" s="23">
        <v>13.0</v>
      </c>
      <c r="M35" s="22" t="s">
        <v>3097</v>
      </c>
      <c r="N35" s="22" t="s">
        <v>3099</v>
      </c>
      <c r="O35" s="22" t="s">
        <v>45</v>
      </c>
      <c r="P35" s="22" t="s">
        <v>45</v>
      </c>
      <c r="Q35" s="22" t="s">
        <v>45</v>
      </c>
      <c r="R35" s="22" t="s">
        <v>45</v>
      </c>
      <c r="S35" s="22" t="s">
        <v>45</v>
      </c>
      <c r="T35" s="22" t="s">
        <v>2002</v>
      </c>
      <c r="U35" s="22" t="s">
        <v>45</v>
      </c>
      <c r="V35" s="22" t="s">
        <v>45</v>
      </c>
      <c r="W35" s="22" t="s">
        <v>5294</v>
      </c>
      <c r="X35" s="22" t="s">
        <v>3095</v>
      </c>
      <c r="Y35" s="22" t="s">
        <v>3095</v>
      </c>
      <c r="Z35" s="22" t="s">
        <v>3095</v>
      </c>
      <c r="AA35" s="22" t="s">
        <v>3095</v>
      </c>
      <c r="AB35" s="22" t="s">
        <v>3095</v>
      </c>
      <c r="AC35" s="22" t="s">
        <v>3095</v>
      </c>
      <c r="AD35" s="22" t="s">
        <v>3095</v>
      </c>
      <c r="AE35" s="22" t="s">
        <v>3095</v>
      </c>
      <c r="AF35" s="22" t="s">
        <v>3095</v>
      </c>
    </row>
    <row r="36" ht="45.0" customHeight="1">
      <c r="A36" s="55" t="s">
        <v>211</v>
      </c>
      <c r="B36" s="62" t="s">
        <v>4296</v>
      </c>
      <c r="C36" s="22" t="str">
        <f>IMAGE("https://raw.githubusercontent.com/ltdimages/images/refs/heads/main/ClothBottomsPantsWideGaucho_00.png")</f>
        <v/>
      </c>
      <c r="D36" s="22" t="str">
        <f>IMAGE("https://raw.githubusercontent.com/ltdimages/images/refs/heads/main/ClothBottomsPantsWideGaucho_01.png")</f>
        <v/>
      </c>
      <c r="E36" s="22" t="str">
        <f>IMAGE("https://raw.githubusercontent.com/ltdimages/images/refs/heads/main/ClothBottomsPantsWideGaucho_02.png")</f>
        <v/>
      </c>
      <c r="F36" s="22" t="str">
        <f>IMAGE("https://raw.githubusercontent.com/ltdimages/images/refs/heads/main/ClothBottomsPantsWideGaucho_03.png")</f>
        <v/>
      </c>
      <c r="G36" s="22" t="str">
        <f>IMAGE("https://raw.githubusercontent.com/ltdimages/images/refs/heads/main/ClothBottomsPantsWideGaucho_04.png")</f>
        <v/>
      </c>
      <c r="H36" s="22" t="str">
        <f>IMAGE("https://raw.githubusercontent.com/ltdimages/images/refs/heads/main/ClothBottomsPantsWideGaucho_05.png")</f>
        <v/>
      </c>
      <c r="I36" s="22" t="str">
        <f>IMAGE("https://raw.githubusercontent.com/ltdimages/images/refs/heads/main/ClothBottomsPantsWideGaucho_06.png")</f>
        <v/>
      </c>
      <c r="J36" s="22" t="str">
        <f>IMAGE("https://raw.githubusercontent.com/ltdimages/images/refs/heads/main/ClothBottomsPantsWideGaucho_07.png")</f>
        <v/>
      </c>
      <c r="K36" s="63" t="s">
        <v>4287</v>
      </c>
      <c r="L36" s="23">
        <v>12.0</v>
      </c>
      <c r="M36" s="22" t="s">
        <v>3097</v>
      </c>
      <c r="N36" s="22" t="s">
        <v>3099</v>
      </c>
      <c r="O36" s="22" t="s">
        <v>45</v>
      </c>
      <c r="P36" s="22" t="s">
        <v>45</v>
      </c>
      <c r="Q36" s="22" t="s">
        <v>45</v>
      </c>
      <c r="R36" s="22" t="s">
        <v>45</v>
      </c>
      <c r="S36" s="22" t="s">
        <v>45</v>
      </c>
      <c r="T36" s="22" t="s">
        <v>2002</v>
      </c>
      <c r="U36" s="22" t="s">
        <v>45</v>
      </c>
      <c r="V36" s="22" t="s">
        <v>45</v>
      </c>
      <c r="W36" s="22" t="s">
        <v>5295</v>
      </c>
      <c r="X36" s="22" t="s">
        <v>3095</v>
      </c>
      <c r="Y36" s="22" t="s">
        <v>3095</v>
      </c>
      <c r="Z36" s="22" t="s">
        <v>3095</v>
      </c>
      <c r="AA36" s="22" t="s">
        <v>3095</v>
      </c>
      <c r="AB36" s="22" t="s">
        <v>3095</v>
      </c>
      <c r="AC36" s="22" t="s">
        <v>3095</v>
      </c>
      <c r="AD36" s="22" t="s">
        <v>3095</v>
      </c>
      <c r="AE36" s="22" t="s">
        <v>3095</v>
      </c>
      <c r="AF36" s="22" t="s">
        <v>3095</v>
      </c>
    </row>
    <row r="37" ht="45.0" customHeight="1">
      <c r="A37" s="55" t="s">
        <v>215</v>
      </c>
      <c r="B37" s="62" t="s">
        <v>3543</v>
      </c>
      <c r="C37" s="22" t="str">
        <f>IMAGE("https://raw.githubusercontent.com/ltdimages/images/refs/heads/main/ClothBottomsPantsWideOutdoor_00.png")</f>
        <v/>
      </c>
      <c r="D37" s="22" t="str">
        <f>IMAGE("https://raw.githubusercontent.com/ltdimages/images/refs/heads/main/ClothBottomsPantsWideOutdoor_01.png")</f>
        <v/>
      </c>
      <c r="E37" s="22" t="str">
        <f>IMAGE("https://raw.githubusercontent.com/ltdimages/images/refs/heads/main/ClothBottomsPantsWideOutdoor_02.png")</f>
        <v/>
      </c>
      <c r="F37" s="22" t="str">
        <f>IMAGE("https://raw.githubusercontent.com/ltdimages/images/refs/heads/main/ClothBottomsPantsWideOutdoor_03.png")</f>
        <v/>
      </c>
      <c r="G37" s="22" t="str">
        <f>IMAGE("https://raw.githubusercontent.com/ltdimages/images/refs/heads/main/ClothBottomsPantsWideOutdoor_04.png")</f>
        <v/>
      </c>
      <c r="H37" s="22" t="str">
        <f>IMAGE("https://raw.githubusercontent.com/ltdimages/images/refs/heads/main/ClothBottomsPantsWideOutdoor_05.png")</f>
        <v/>
      </c>
      <c r="I37" s="22" t="str">
        <f>IMAGE("https://raw.githubusercontent.com/ltdimages/images/refs/heads/main/ClothBottomsPantsWideOutdoor_06.png")</f>
        <v/>
      </c>
      <c r="J37" s="22" t="str">
        <f>IMAGE("https://raw.githubusercontent.com/ltdimages/images/refs/heads/main/ClothBottomsPantsWideOutdoor_07.png")</f>
        <v/>
      </c>
      <c r="K37" s="63" t="s">
        <v>4287</v>
      </c>
      <c r="L37" s="23">
        <v>9.0</v>
      </c>
      <c r="M37" s="22" t="s">
        <v>3097</v>
      </c>
      <c r="N37" s="22" t="s">
        <v>3123</v>
      </c>
      <c r="O37" s="22" t="s">
        <v>45</v>
      </c>
      <c r="P37" s="22" t="s">
        <v>45</v>
      </c>
      <c r="Q37" s="22" t="s">
        <v>45</v>
      </c>
      <c r="R37" s="22" t="s">
        <v>45</v>
      </c>
      <c r="S37" s="22" t="s">
        <v>45</v>
      </c>
      <c r="T37" s="22" t="s">
        <v>2002</v>
      </c>
      <c r="U37" s="22" t="s">
        <v>45</v>
      </c>
      <c r="V37" s="22" t="s">
        <v>45</v>
      </c>
      <c r="W37" s="22" t="s">
        <v>5296</v>
      </c>
      <c r="X37" s="22" t="s">
        <v>3095</v>
      </c>
      <c r="Y37" s="22" t="s">
        <v>3095</v>
      </c>
      <c r="Z37" s="22" t="s">
        <v>3095</v>
      </c>
      <c r="AA37" s="22" t="s">
        <v>3095</v>
      </c>
      <c r="AB37" s="22" t="s">
        <v>3095</v>
      </c>
      <c r="AC37" s="22" t="s">
        <v>3095</v>
      </c>
      <c r="AD37" s="22" t="s">
        <v>3095</v>
      </c>
      <c r="AE37" s="22" t="s">
        <v>3095</v>
      </c>
      <c r="AF37" s="22" t="s">
        <v>3095</v>
      </c>
    </row>
    <row r="38" ht="45.0" customHeight="1">
      <c r="A38" s="55" t="s">
        <v>220</v>
      </c>
      <c r="B38" s="62" t="s">
        <v>5297</v>
      </c>
      <c r="C38" s="22" t="str">
        <f>IMAGE("https://raw.githubusercontent.com/ltdimages/images/refs/heads/main/ClothBottomsPantsLongMonpe_00.png")</f>
        <v/>
      </c>
      <c r="D38" s="22" t="str">
        <f>IMAGE("https://raw.githubusercontent.com/ltdimages/images/refs/heads/main/ClothBottomsPantsLongMonpe_01.png")</f>
        <v/>
      </c>
      <c r="E38" s="22" t="str">
        <f>IMAGE("https://raw.githubusercontent.com/ltdimages/images/refs/heads/main/ClothBottomsPantsLongMonpe_02.png")</f>
        <v/>
      </c>
      <c r="F38" s="22" t="str">
        <f>IMAGE("https://raw.githubusercontent.com/ltdimages/images/refs/heads/main/ClothBottomsPantsLongMonpe_03.png")</f>
        <v/>
      </c>
      <c r="G38" s="22" t="str">
        <f>IMAGE("https://raw.githubusercontent.com/ltdimages/images/refs/heads/main/ClothBottomsPantsLongMonpe_04.png")</f>
        <v/>
      </c>
      <c r="H38" s="22" t="str">
        <f>IMAGE("https://raw.githubusercontent.com/ltdimages/images/refs/heads/main/ClothBottomsPantsLongMonpe_05.png")</f>
        <v/>
      </c>
      <c r="I38" s="22" t="s">
        <v>3095</v>
      </c>
      <c r="J38" s="22" t="s">
        <v>3095</v>
      </c>
      <c r="K38" s="63" t="s">
        <v>4287</v>
      </c>
      <c r="L38" s="23">
        <v>8.5</v>
      </c>
      <c r="M38" s="22" t="s">
        <v>3097</v>
      </c>
      <c r="N38" s="22" t="s">
        <v>3099</v>
      </c>
      <c r="O38" s="22" t="s">
        <v>45</v>
      </c>
      <c r="P38" s="22" t="s">
        <v>45</v>
      </c>
      <c r="Q38" s="22" t="s">
        <v>45</v>
      </c>
      <c r="R38" s="22" t="s">
        <v>45</v>
      </c>
      <c r="S38" s="22" t="s">
        <v>45</v>
      </c>
      <c r="T38" s="22" t="s">
        <v>2002</v>
      </c>
      <c r="U38" s="22" t="s">
        <v>45</v>
      </c>
      <c r="V38" s="22" t="s">
        <v>45</v>
      </c>
      <c r="W38" s="22" t="s">
        <v>5298</v>
      </c>
      <c r="X38" s="22" t="s">
        <v>3095</v>
      </c>
      <c r="Y38" s="22" t="s">
        <v>3095</v>
      </c>
      <c r="Z38" s="22" t="s">
        <v>3095</v>
      </c>
      <c r="AA38" s="22" t="s">
        <v>3095</v>
      </c>
      <c r="AB38" s="22" t="s">
        <v>3095</v>
      </c>
      <c r="AC38" s="22" t="s">
        <v>3095</v>
      </c>
      <c r="AD38" s="22" t="s">
        <v>3095</v>
      </c>
      <c r="AE38" s="22" t="s">
        <v>3095</v>
      </c>
      <c r="AF38" s="22" t="s">
        <v>3095</v>
      </c>
    </row>
    <row r="39" ht="45.0" customHeight="1">
      <c r="A39" s="55" t="s">
        <v>224</v>
      </c>
      <c r="B39" s="62" t="s">
        <v>5299</v>
      </c>
      <c r="C39" s="22" t="str">
        <f>IMAGE("https://raw.githubusercontent.com/ltdimages/images/refs/heads/main/ClothBottomsPantsWideJacquard_00.png")</f>
        <v/>
      </c>
      <c r="D39" s="22" t="str">
        <f>IMAGE("https://raw.githubusercontent.com/ltdimages/images/refs/heads/main/ClothBottomsPantsWideJacquard_01.png")</f>
        <v/>
      </c>
      <c r="E39" s="22" t="str">
        <f>IMAGE("https://raw.githubusercontent.com/ltdimages/images/refs/heads/main/ClothBottomsPantsWideJacquard_02.png")</f>
        <v/>
      </c>
      <c r="F39" s="22" t="str">
        <f>IMAGE("https://raw.githubusercontent.com/ltdimages/images/refs/heads/main/ClothBottomsPantsWideJacquard_03.png")</f>
        <v/>
      </c>
      <c r="G39" s="22" t="str">
        <f>IMAGE("https://raw.githubusercontent.com/ltdimages/images/refs/heads/main/ClothBottomsPantsWideJacquard_04.png")</f>
        <v/>
      </c>
      <c r="H39" s="22" t="str">
        <f>IMAGE("https://raw.githubusercontent.com/ltdimages/images/refs/heads/main/ClothBottomsPantsWideJacquard_05.png")</f>
        <v/>
      </c>
      <c r="I39" s="22" t="s">
        <v>3095</v>
      </c>
      <c r="J39" s="22" t="s">
        <v>3095</v>
      </c>
      <c r="K39" s="63" t="s">
        <v>4287</v>
      </c>
      <c r="L39" s="23">
        <v>9.0</v>
      </c>
      <c r="M39" s="22" t="s">
        <v>3097</v>
      </c>
      <c r="N39" s="22" t="s">
        <v>3123</v>
      </c>
      <c r="O39" s="22" t="s">
        <v>45</v>
      </c>
      <c r="P39" s="22" t="s">
        <v>45</v>
      </c>
      <c r="Q39" s="22" t="s">
        <v>45</v>
      </c>
      <c r="R39" s="22" t="s">
        <v>45</v>
      </c>
      <c r="S39" s="22" t="s">
        <v>45</v>
      </c>
      <c r="T39" s="22" t="s">
        <v>2002</v>
      </c>
      <c r="U39" s="22" t="s">
        <v>45</v>
      </c>
      <c r="V39" s="22" t="s">
        <v>45</v>
      </c>
      <c r="W39" s="22" t="s">
        <v>5300</v>
      </c>
      <c r="X39" s="22" t="s">
        <v>3095</v>
      </c>
      <c r="Y39" s="22" t="s">
        <v>3095</v>
      </c>
      <c r="Z39" s="22" t="s">
        <v>3095</v>
      </c>
      <c r="AA39" s="22" t="s">
        <v>3095</v>
      </c>
      <c r="AB39" s="22" t="s">
        <v>3095</v>
      </c>
      <c r="AC39" s="22" t="s">
        <v>3095</v>
      </c>
      <c r="AD39" s="22" t="s">
        <v>3095</v>
      </c>
      <c r="AE39" s="22" t="s">
        <v>3095</v>
      </c>
      <c r="AF39" s="22" t="s">
        <v>3095</v>
      </c>
    </row>
    <row r="40" ht="45.0" customHeight="1">
      <c r="A40" s="55" t="s">
        <v>229</v>
      </c>
      <c r="B40" s="62" t="s">
        <v>3935</v>
      </c>
      <c r="C40" s="22" t="str">
        <f>IMAGE("https://raw.githubusercontent.com/ltdimages/images/refs/heads/main/ClothBottomsPantsLongWagara_00.png")</f>
        <v/>
      </c>
      <c r="D40" s="22" t="str">
        <f>IMAGE("https://raw.githubusercontent.com/ltdimages/images/refs/heads/main/ClothBottomsPantsLongWagara_01.png")</f>
        <v/>
      </c>
      <c r="E40" s="22" t="str">
        <f>IMAGE("https://raw.githubusercontent.com/ltdimages/images/refs/heads/main/ClothBottomsPantsLongWagara_02.png")</f>
        <v/>
      </c>
      <c r="F40" s="22" t="str">
        <f>IMAGE("https://raw.githubusercontent.com/ltdimages/images/refs/heads/main/ClothBottomsPantsLongWagara_03.png")</f>
        <v/>
      </c>
      <c r="G40" s="22" t="str">
        <f>IMAGE("https://raw.githubusercontent.com/ltdimages/images/refs/heads/main/ClothBottomsPantsLongWagara_04.png")</f>
        <v/>
      </c>
      <c r="H40" s="22" t="str">
        <f>IMAGE("https://raw.githubusercontent.com/ltdimages/images/refs/heads/main/ClothBottomsPantsLongWagara_05.png")</f>
        <v/>
      </c>
      <c r="I40" s="22" t="s">
        <v>3095</v>
      </c>
      <c r="J40" s="22" t="s">
        <v>3095</v>
      </c>
      <c r="K40" s="63" t="s">
        <v>4287</v>
      </c>
      <c r="L40" s="23">
        <v>15.0</v>
      </c>
      <c r="M40" s="22" t="s">
        <v>3097</v>
      </c>
      <c r="N40" s="22" t="s">
        <v>3099</v>
      </c>
      <c r="O40" s="22" t="s">
        <v>45</v>
      </c>
      <c r="P40" s="22" t="s">
        <v>45</v>
      </c>
      <c r="Q40" s="22" t="s">
        <v>45</v>
      </c>
      <c r="R40" s="22" t="s">
        <v>45</v>
      </c>
      <c r="S40" s="22" t="s">
        <v>45</v>
      </c>
      <c r="T40" s="22" t="s">
        <v>2002</v>
      </c>
      <c r="U40" s="22" t="s">
        <v>45</v>
      </c>
      <c r="V40" s="22" t="s">
        <v>45</v>
      </c>
      <c r="W40" s="22" t="s">
        <v>5301</v>
      </c>
      <c r="X40" s="22" t="s">
        <v>3095</v>
      </c>
      <c r="Y40" s="22" t="s">
        <v>3095</v>
      </c>
      <c r="Z40" s="22" t="s">
        <v>3095</v>
      </c>
      <c r="AA40" s="22" t="s">
        <v>3095</v>
      </c>
      <c r="AB40" s="22" t="s">
        <v>3095</v>
      </c>
      <c r="AC40" s="22" t="s">
        <v>3095</v>
      </c>
      <c r="AD40" s="22" t="s">
        <v>3095</v>
      </c>
      <c r="AE40" s="22" t="s">
        <v>3095</v>
      </c>
      <c r="AF40" s="22" t="s">
        <v>3095</v>
      </c>
    </row>
    <row r="41" ht="45.0" customHeight="1">
      <c r="A41" s="55" t="s">
        <v>233</v>
      </c>
      <c r="B41" s="62" t="s">
        <v>3155</v>
      </c>
      <c r="C41" s="22" t="str">
        <f>IMAGE("https://raw.githubusercontent.com/ltdimages/images/refs/heads/main/ClothBottomsPantsLongDenim_00.png")</f>
        <v/>
      </c>
      <c r="D41" s="22" t="str">
        <f>IMAGE("https://raw.githubusercontent.com/ltdimages/images/refs/heads/main/ClothBottomsPantsLongDenim_01.png")</f>
        <v/>
      </c>
      <c r="E41" s="22" t="str">
        <f>IMAGE("https://raw.githubusercontent.com/ltdimages/images/refs/heads/main/ClothBottomsPantsLongDenim_02.png")</f>
        <v/>
      </c>
      <c r="F41" s="22" t="str">
        <f>IMAGE("https://raw.githubusercontent.com/ltdimages/images/refs/heads/main/ClothBottomsPantsLongDenim_03.png")</f>
        <v/>
      </c>
      <c r="G41" s="22" t="s">
        <v>3095</v>
      </c>
      <c r="H41" s="22" t="s">
        <v>3095</v>
      </c>
      <c r="I41" s="22" t="s">
        <v>3095</v>
      </c>
      <c r="J41" s="22" t="s">
        <v>3095</v>
      </c>
      <c r="K41" s="63" t="s">
        <v>4287</v>
      </c>
      <c r="L41" s="23">
        <v>9.2</v>
      </c>
      <c r="M41" s="22" t="s">
        <v>3097</v>
      </c>
      <c r="N41" s="22" t="s">
        <v>3099</v>
      </c>
      <c r="O41" s="22" t="s">
        <v>45</v>
      </c>
      <c r="P41" s="22" t="s">
        <v>45</v>
      </c>
      <c r="Q41" s="22" t="s">
        <v>45</v>
      </c>
      <c r="R41" s="22" t="s">
        <v>45</v>
      </c>
      <c r="S41" s="22" t="s">
        <v>45</v>
      </c>
      <c r="T41" s="22" t="s">
        <v>2002</v>
      </c>
      <c r="U41" s="22" t="s">
        <v>45</v>
      </c>
      <c r="V41" s="22" t="s">
        <v>45</v>
      </c>
      <c r="W41" s="22" t="s">
        <v>5302</v>
      </c>
      <c r="X41" s="22" t="s">
        <v>3095</v>
      </c>
      <c r="Y41" s="22" t="s">
        <v>3095</v>
      </c>
      <c r="Z41" s="22" t="s">
        <v>3095</v>
      </c>
      <c r="AA41" s="22" t="s">
        <v>3095</v>
      </c>
      <c r="AB41" s="22" t="s">
        <v>3095</v>
      </c>
      <c r="AC41" s="22" t="s">
        <v>3095</v>
      </c>
      <c r="AD41" s="22" t="s">
        <v>3095</v>
      </c>
      <c r="AE41" s="22" t="s">
        <v>3095</v>
      </c>
      <c r="AF41" s="22" t="s">
        <v>3095</v>
      </c>
    </row>
    <row r="42" ht="45.0" customHeight="1">
      <c r="A42" s="55" t="s">
        <v>237</v>
      </c>
      <c r="B42" s="62" t="s">
        <v>3661</v>
      </c>
      <c r="C42" s="22" t="str">
        <f>IMAGE("https://raw.githubusercontent.com/ltdimages/images/refs/heads/main/ClothBottomsPantsWideDenimHalf_00.png")</f>
        <v/>
      </c>
      <c r="D42" s="22" t="str">
        <f>IMAGE("https://raw.githubusercontent.com/ltdimages/images/refs/heads/main/ClothBottomsPantsWideDenimHalf_01.png")</f>
        <v/>
      </c>
      <c r="E42" s="22" t="str">
        <f>IMAGE("https://raw.githubusercontent.com/ltdimages/images/refs/heads/main/ClothBottomsPantsWideDenimHalf_02.png")</f>
        <v/>
      </c>
      <c r="F42" s="22" t="str">
        <f>IMAGE("https://raw.githubusercontent.com/ltdimages/images/refs/heads/main/ClothBottomsPantsWideDenimHalf_03.png")</f>
        <v/>
      </c>
      <c r="G42" s="22" t="s">
        <v>3095</v>
      </c>
      <c r="H42" s="22" t="s">
        <v>3095</v>
      </c>
      <c r="I42" s="22" t="s">
        <v>3095</v>
      </c>
      <c r="J42" s="22" t="s">
        <v>3095</v>
      </c>
      <c r="K42" s="63" t="s">
        <v>4287</v>
      </c>
      <c r="L42" s="23">
        <v>9.0</v>
      </c>
      <c r="M42" s="22" t="s">
        <v>3097</v>
      </c>
      <c r="N42" s="22" t="s">
        <v>3123</v>
      </c>
      <c r="O42" s="22" t="s">
        <v>45</v>
      </c>
      <c r="P42" s="22" t="s">
        <v>45</v>
      </c>
      <c r="Q42" s="22" t="s">
        <v>45</v>
      </c>
      <c r="R42" s="22" t="s">
        <v>45</v>
      </c>
      <c r="S42" s="22" t="s">
        <v>45</v>
      </c>
      <c r="T42" s="22" t="s">
        <v>2002</v>
      </c>
      <c r="U42" s="22" t="s">
        <v>45</v>
      </c>
      <c r="V42" s="22" t="s">
        <v>45</v>
      </c>
      <c r="W42" s="22" t="s">
        <v>5303</v>
      </c>
      <c r="X42" s="22" t="s">
        <v>3095</v>
      </c>
      <c r="Y42" s="22" t="s">
        <v>3095</v>
      </c>
      <c r="Z42" s="22" t="s">
        <v>3095</v>
      </c>
      <c r="AA42" s="22" t="s">
        <v>3095</v>
      </c>
      <c r="AB42" s="22" t="s">
        <v>3095</v>
      </c>
      <c r="AC42" s="22" t="s">
        <v>3095</v>
      </c>
      <c r="AD42" s="22" t="s">
        <v>3095</v>
      </c>
      <c r="AE42" s="22" t="s">
        <v>3095</v>
      </c>
      <c r="AF42" s="22" t="s">
        <v>3095</v>
      </c>
    </row>
    <row r="43" ht="45.0" customHeight="1">
      <c r="A43" s="55" t="s">
        <v>241</v>
      </c>
      <c r="B43" s="62" t="s">
        <v>5304</v>
      </c>
      <c r="C43" s="22" t="str">
        <f>IMAGE("https://raw.githubusercontent.com/ltdimages/images/refs/heads/main/ClothBottomsPantsLongPatch_00.png")</f>
        <v/>
      </c>
      <c r="D43" s="22" t="str">
        <f>IMAGE("https://raw.githubusercontent.com/ltdimages/images/refs/heads/main/ClothBottomsPantsLongPatch_01.png")</f>
        <v/>
      </c>
      <c r="E43" s="22" t="str">
        <f>IMAGE("https://raw.githubusercontent.com/ltdimages/images/refs/heads/main/ClothBottomsPantsLongPatch_02.png")</f>
        <v/>
      </c>
      <c r="F43" s="22" t="str">
        <f>IMAGE("https://raw.githubusercontent.com/ltdimages/images/refs/heads/main/ClothBottomsPantsLongPatch_03.png")</f>
        <v/>
      </c>
      <c r="G43" s="22" t="str">
        <f>IMAGE("https://raw.githubusercontent.com/ltdimages/images/refs/heads/main/ClothBottomsPantsLongPatch_04.png")</f>
        <v/>
      </c>
      <c r="H43" s="22" t="str">
        <f>IMAGE("https://raw.githubusercontent.com/ltdimages/images/refs/heads/main/ClothBottomsPantsLongPatch_05.png")</f>
        <v/>
      </c>
      <c r="I43" s="22" t="s">
        <v>3095</v>
      </c>
      <c r="J43" s="22" t="s">
        <v>3095</v>
      </c>
      <c r="K43" s="63" t="s">
        <v>4287</v>
      </c>
      <c r="L43" s="23">
        <v>11.0</v>
      </c>
      <c r="M43" s="22" t="s">
        <v>3097</v>
      </c>
      <c r="N43" s="22" t="s">
        <v>3099</v>
      </c>
      <c r="O43" s="22" t="s">
        <v>45</v>
      </c>
      <c r="P43" s="22" t="s">
        <v>45</v>
      </c>
      <c r="Q43" s="22" t="s">
        <v>45</v>
      </c>
      <c r="R43" s="22" t="s">
        <v>45</v>
      </c>
      <c r="S43" s="22" t="s">
        <v>45</v>
      </c>
      <c r="T43" s="22" t="s">
        <v>2002</v>
      </c>
      <c r="U43" s="22" t="s">
        <v>45</v>
      </c>
      <c r="V43" s="22" t="s">
        <v>45</v>
      </c>
      <c r="W43" s="22" t="s">
        <v>5305</v>
      </c>
      <c r="X43" s="22" t="s">
        <v>3095</v>
      </c>
      <c r="Y43" s="22" t="s">
        <v>3095</v>
      </c>
      <c r="Z43" s="22" t="s">
        <v>3095</v>
      </c>
      <c r="AA43" s="22" t="s">
        <v>3095</v>
      </c>
      <c r="AB43" s="22" t="s">
        <v>3095</v>
      </c>
      <c r="AC43" s="22" t="s">
        <v>3095</v>
      </c>
      <c r="AD43" s="22" t="s">
        <v>3095</v>
      </c>
      <c r="AE43" s="22" t="s">
        <v>3095</v>
      </c>
      <c r="AF43" s="22" t="s">
        <v>3095</v>
      </c>
    </row>
    <row r="44" ht="45.0" customHeight="1">
      <c r="A44" s="55" t="s">
        <v>245</v>
      </c>
      <c r="B44" s="62" t="s">
        <v>3466</v>
      </c>
      <c r="C44" s="22" t="str">
        <f>IMAGE("https://raw.githubusercontent.com/ltdimages/images/refs/heads/main/ClothBottomsPantsWideKnit_00.png")</f>
        <v/>
      </c>
      <c r="D44" s="22" t="str">
        <f>IMAGE("https://raw.githubusercontent.com/ltdimages/images/refs/heads/main/ClothBottomsPantsWideKnit_01.png")</f>
        <v/>
      </c>
      <c r="E44" s="22" t="str">
        <f>IMAGE("https://raw.githubusercontent.com/ltdimages/images/refs/heads/main/ClothBottomsPantsWideKnit_02.png")</f>
        <v/>
      </c>
      <c r="F44" s="22" t="str">
        <f>IMAGE("https://raw.githubusercontent.com/ltdimages/images/refs/heads/main/ClothBottomsPantsWideKnit_03.png")</f>
        <v/>
      </c>
      <c r="G44" s="22" t="str">
        <f>IMAGE("https://raw.githubusercontent.com/ltdimages/images/refs/heads/main/ClothBottomsPantsWideKnit_04.png")</f>
        <v/>
      </c>
      <c r="H44" s="22" t="str">
        <f>IMAGE("https://raw.githubusercontent.com/ltdimages/images/refs/heads/main/ClothBottomsPantsWideKnit_05.png")</f>
        <v/>
      </c>
      <c r="I44" s="22" t="s">
        <v>3095</v>
      </c>
      <c r="J44" s="22" t="s">
        <v>3095</v>
      </c>
      <c r="K44" s="63" t="s">
        <v>4287</v>
      </c>
      <c r="L44" s="23">
        <v>10.0</v>
      </c>
      <c r="M44" s="22" t="s">
        <v>3097</v>
      </c>
      <c r="N44" s="22" t="s">
        <v>3114</v>
      </c>
      <c r="O44" s="22" t="s">
        <v>45</v>
      </c>
      <c r="P44" s="22" t="s">
        <v>45</v>
      </c>
      <c r="Q44" s="22" t="s">
        <v>45</v>
      </c>
      <c r="R44" s="22" t="s">
        <v>45</v>
      </c>
      <c r="S44" s="22" t="s">
        <v>45</v>
      </c>
      <c r="T44" s="22" t="s">
        <v>2002</v>
      </c>
      <c r="U44" s="22" t="s">
        <v>45</v>
      </c>
      <c r="V44" s="22" t="s">
        <v>45</v>
      </c>
      <c r="W44" s="22" t="s">
        <v>5306</v>
      </c>
      <c r="X44" s="22" t="s">
        <v>3095</v>
      </c>
      <c r="Y44" s="22" t="s">
        <v>3095</v>
      </c>
      <c r="Z44" s="22" t="s">
        <v>3095</v>
      </c>
      <c r="AA44" s="22" t="s">
        <v>3095</v>
      </c>
      <c r="AB44" s="22" t="s">
        <v>3095</v>
      </c>
      <c r="AC44" s="22" t="s">
        <v>3095</v>
      </c>
      <c r="AD44" s="22" t="s">
        <v>3095</v>
      </c>
      <c r="AE44" s="22" t="s">
        <v>3095</v>
      </c>
      <c r="AF44" s="22" t="s">
        <v>3095</v>
      </c>
    </row>
    <row r="45" ht="45.0" customHeight="1">
      <c r="A45" s="55" t="s">
        <v>249</v>
      </c>
      <c r="B45" s="62" t="s">
        <v>5307</v>
      </c>
      <c r="C45" s="22" t="str">
        <f>IMAGE("https://raw.githubusercontent.com/ltdimages/images/refs/heads/main/ClothBottomsPantsLongRock_00.png")</f>
        <v/>
      </c>
      <c r="D45" s="22" t="str">
        <f>IMAGE("https://raw.githubusercontent.com/ltdimages/images/refs/heads/main/ClothBottomsPantsLongRock_01.png")</f>
        <v/>
      </c>
      <c r="E45" s="22" t="str">
        <f>IMAGE("https://raw.githubusercontent.com/ltdimages/images/refs/heads/main/ClothBottomsPantsLongRock_02.png")</f>
        <v/>
      </c>
      <c r="F45" s="22" t="str">
        <f>IMAGE("https://raw.githubusercontent.com/ltdimages/images/refs/heads/main/ClothBottomsPantsLongRock_03.png")</f>
        <v/>
      </c>
      <c r="G45" s="22" t="str">
        <f>IMAGE("https://raw.githubusercontent.com/ltdimages/images/refs/heads/main/ClothBottomsPantsLongRock_04.png")</f>
        <v/>
      </c>
      <c r="H45" s="22" t="str">
        <f>IMAGE("https://raw.githubusercontent.com/ltdimages/images/refs/heads/main/ClothBottomsPantsLongRock_05.png")</f>
        <v/>
      </c>
      <c r="I45" s="22" t="s">
        <v>3095</v>
      </c>
      <c r="J45" s="22" t="s">
        <v>3095</v>
      </c>
      <c r="K45" s="63" t="s">
        <v>4287</v>
      </c>
      <c r="L45" s="23">
        <v>12.0</v>
      </c>
      <c r="M45" s="22" t="s">
        <v>3097</v>
      </c>
      <c r="N45" s="22" t="s">
        <v>3099</v>
      </c>
      <c r="O45" s="22" t="s">
        <v>45</v>
      </c>
      <c r="P45" s="22" t="s">
        <v>45</v>
      </c>
      <c r="Q45" s="22" t="s">
        <v>45</v>
      </c>
      <c r="R45" s="22" t="s">
        <v>45</v>
      </c>
      <c r="S45" s="22" t="s">
        <v>45</v>
      </c>
      <c r="T45" s="22" t="s">
        <v>2002</v>
      </c>
      <c r="U45" s="22" t="s">
        <v>45</v>
      </c>
      <c r="V45" s="22" t="s">
        <v>45</v>
      </c>
      <c r="W45" s="22" t="s">
        <v>5308</v>
      </c>
      <c r="X45" s="22" t="s">
        <v>3095</v>
      </c>
      <c r="Y45" s="22" t="s">
        <v>3095</v>
      </c>
      <c r="Z45" s="22" t="s">
        <v>3095</v>
      </c>
      <c r="AA45" s="22" t="s">
        <v>3095</v>
      </c>
      <c r="AB45" s="22" t="s">
        <v>3095</v>
      </c>
      <c r="AC45" s="22" t="s">
        <v>3095</v>
      </c>
      <c r="AD45" s="22" t="s">
        <v>3095</v>
      </c>
      <c r="AE45" s="22" t="s">
        <v>3095</v>
      </c>
      <c r="AF45" s="22" t="s">
        <v>3095</v>
      </c>
    </row>
    <row r="46" ht="45.0" customHeight="1">
      <c r="A46" s="55" t="s">
        <v>253</v>
      </c>
      <c r="B46" s="62" t="s">
        <v>5309</v>
      </c>
      <c r="C46" s="22" t="str">
        <f>IMAGE("https://raw.githubusercontent.com/ltdimages/images/refs/heads/main/ClothBottomsPantsWideLeather_00.png")</f>
        <v/>
      </c>
      <c r="D46" s="22" t="str">
        <f>IMAGE("https://raw.githubusercontent.com/ltdimages/images/refs/heads/main/ClothBottomsPantsWideLeather_01.png")</f>
        <v/>
      </c>
      <c r="E46" s="22" t="str">
        <f>IMAGE("https://raw.githubusercontent.com/ltdimages/images/refs/heads/main/ClothBottomsPantsWideLeather_02.png")</f>
        <v/>
      </c>
      <c r="F46" s="22" t="str">
        <f>IMAGE("https://raw.githubusercontent.com/ltdimages/images/refs/heads/main/ClothBottomsPantsWideLeather_03.png")</f>
        <v/>
      </c>
      <c r="G46" s="22" t="s">
        <v>3095</v>
      </c>
      <c r="H46" s="22" t="s">
        <v>3095</v>
      </c>
      <c r="I46" s="22" t="s">
        <v>3095</v>
      </c>
      <c r="J46" s="22" t="s">
        <v>3095</v>
      </c>
      <c r="K46" s="63" t="s">
        <v>4287</v>
      </c>
      <c r="L46" s="23">
        <v>11.0</v>
      </c>
      <c r="M46" s="22" t="s">
        <v>3097</v>
      </c>
      <c r="N46" s="22" t="s">
        <v>3099</v>
      </c>
      <c r="O46" s="22" t="s">
        <v>45</v>
      </c>
      <c r="P46" s="22" t="s">
        <v>45</v>
      </c>
      <c r="Q46" s="22" t="s">
        <v>45</v>
      </c>
      <c r="R46" s="22" t="s">
        <v>45</v>
      </c>
      <c r="S46" s="22" t="s">
        <v>45</v>
      </c>
      <c r="T46" s="22" t="s">
        <v>2002</v>
      </c>
      <c r="U46" s="22" t="s">
        <v>45</v>
      </c>
      <c r="V46" s="22" t="s">
        <v>45</v>
      </c>
      <c r="W46" s="22" t="s">
        <v>5310</v>
      </c>
      <c r="X46" s="22" t="s">
        <v>3095</v>
      </c>
      <c r="Y46" s="22" t="s">
        <v>3095</v>
      </c>
      <c r="Z46" s="22" t="s">
        <v>3095</v>
      </c>
      <c r="AA46" s="22" t="s">
        <v>3095</v>
      </c>
      <c r="AB46" s="22" t="s">
        <v>3095</v>
      </c>
      <c r="AC46" s="22" t="s">
        <v>3095</v>
      </c>
      <c r="AD46" s="22" t="s">
        <v>3095</v>
      </c>
      <c r="AE46" s="22" t="s">
        <v>3095</v>
      </c>
      <c r="AF46" s="22" t="s">
        <v>3095</v>
      </c>
    </row>
    <row r="47" ht="45.0" customHeight="1">
      <c r="A47" s="55" t="s">
        <v>257</v>
      </c>
      <c r="B47" s="62" t="s">
        <v>5311</v>
      </c>
      <c r="C47" s="22" t="str">
        <f>IMAGE("https://raw.githubusercontent.com/ltdimages/images/refs/heads/main/ClothBottomsPantsWideLeopard_00.png")</f>
        <v/>
      </c>
      <c r="D47" s="22" t="str">
        <f>IMAGE("https://raw.githubusercontent.com/ltdimages/images/refs/heads/main/ClothBottomsPantsWideLeopard_01.png")</f>
        <v/>
      </c>
      <c r="E47" s="22" t="str">
        <f>IMAGE("https://raw.githubusercontent.com/ltdimages/images/refs/heads/main/ClothBottomsPantsWideLeopard_02.png")</f>
        <v/>
      </c>
      <c r="F47" s="22" t="str">
        <f>IMAGE("https://raw.githubusercontent.com/ltdimages/images/refs/heads/main/ClothBottomsPantsWideLeopard_03.png")</f>
        <v/>
      </c>
      <c r="G47" s="22" t="str">
        <f>IMAGE("https://raw.githubusercontent.com/ltdimages/images/refs/heads/main/ClothBottomsPantsWideLeopard_04.png")</f>
        <v/>
      </c>
      <c r="H47" s="22" t="str">
        <f>IMAGE("https://raw.githubusercontent.com/ltdimages/images/refs/heads/main/ClothBottomsPantsWideLeopard_05.png")</f>
        <v/>
      </c>
      <c r="I47" s="22" t="s">
        <v>3095</v>
      </c>
      <c r="J47" s="22" t="s">
        <v>3095</v>
      </c>
      <c r="K47" s="63" t="s">
        <v>4287</v>
      </c>
      <c r="L47" s="23">
        <v>12.0</v>
      </c>
      <c r="M47" s="22" t="s">
        <v>3097</v>
      </c>
      <c r="N47" s="22" t="s">
        <v>3099</v>
      </c>
      <c r="O47" s="22" t="s">
        <v>45</v>
      </c>
      <c r="P47" s="22" t="s">
        <v>45</v>
      </c>
      <c r="Q47" s="22" t="s">
        <v>45</v>
      </c>
      <c r="R47" s="22" t="s">
        <v>45</v>
      </c>
      <c r="S47" s="22" t="s">
        <v>45</v>
      </c>
      <c r="T47" s="22" t="s">
        <v>2002</v>
      </c>
      <c r="U47" s="22" t="s">
        <v>45</v>
      </c>
      <c r="V47" s="22" t="s">
        <v>45</v>
      </c>
      <c r="W47" s="22" t="s">
        <v>5312</v>
      </c>
      <c r="X47" s="22" t="s">
        <v>3095</v>
      </c>
      <c r="Y47" s="22" t="s">
        <v>3095</v>
      </c>
      <c r="Z47" s="22" t="s">
        <v>3095</v>
      </c>
      <c r="AA47" s="22" t="s">
        <v>3095</v>
      </c>
      <c r="AB47" s="22" t="s">
        <v>3095</v>
      </c>
      <c r="AC47" s="22" t="s">
        <v>3095</v>
      </c>
      <c r="AD47" s="22" t="s">
        <v>3095</v>
      </c>
      <c r="AE47" s="22" t="s">
        <v>3095</v>
      </c>
      <c r="AF47" s="22" t="s">
        <v>3095</v>
      </c>
    </row>
    <row r="48" ht="45.0" customHeight="1">
      <c r="A48" s="55" t="s">
        <v>261</v>
      </c>
      <c r="B48" s="62" t="s">
        <v>5313</v>
      </c>
      <c r="C48" s="22" t="str">
        <f>IMAGE("https://raw.githubusercontent.com/ltdimages/images/refs/heads/main/ClothBottomsPantsWideKneeJersey_00.png")</f>
        <v/>
      </c>
      <c r="D48" s="22" t="str">
        <f>IMAGE("https://raw.githubusercontent.com/ltdimages/images/refs/heads/main/ClothBottomsPantsWideKneeJersey_01.png")</f>
        <v/>
      </c>
      <c r="E48" s="22" t="str">
        <f>IMAGE("https://raw.githubusercontent.com/ltdimages/images/refs/heads/main/ClothBottomsPantsWideKneeJersey_02.png")</f>
        <v/>
      </c>
      <c r="F48" s="22" t="str">
        <f>IMAGE("https://raw.githubusercontent.com/ltdimages/images/refs/heads/main/ClothBottomsPantsWideKneeJersey_03.png")</f>
        <v/>
      </c>
      <c r="G48" s="22" t="str">
        <f>IMAGE("https://raw.githubusercontent.com/ltdimages/images/refs/heads/main/ClothBottomsPantsWideKneeJersey_04.png")</f>
        <v/>
      </c>
      <c r="H48" s="22" t="str">
        <f>IMAGE("https://raw.githubusercontent.com/ltdimages/images/refs/heads/main/ClothBottomsPantsWideKneeJersey_05.png")</f>
        <v/>
      </c>
      <c r="I48" s="22" t="str">
        <f>IMAGE("https://raw.githubusercontent.com/ltdimages/images/refs/heads/main/ClothBottomsPantsWideKneeJersey_06.png")</f>
        <v/>
      </c>
      <c r="J48" s="22" t="str">
        <f>IMAGE("https://raw.githubusercontent.com/ltdimages/images/refs/heads/main/ClothBottomsPantsWideKneeJersey_07.png")</f>
        <v/>
      </c>
      <c r="K48" s="63" t="s">
        <v>4287</v>
      </c>
      <c r="L48" s="23">
        <v>8.9</v>
      </c>
      <c r="M48" s="22" t="s">
        <v>3097</v>
      </c>
      <c r="N48" s="22" t="s">
        <v>3099</v>
      </c>
      <c r="O48" s="22" t="s">
        <v>45</v>
      </c>
      <c r="P48" s="22" t="s">
        <v>45</v>
      </c>
      <c r="Q48" s="22" t="s">
        <v>45</v>
      </c>
      <c r="R48" s="22" t="s">
        <v>45</v>
      </c>
      <c r="S48" s="22" t="s">
        <v>45</v>
      </c>
      <c r="T48" s="22" t="s">
        <v>2002</v>
      </c>
      <c r="U48" s="22" t="s">
        <v>45</v>
      </c>
      <c r="V48" s="22" t="s">
        <v>45</v>
      </c>
      <c r="W48" s="22" t="s">
        <v>5314</v>
      </c>
      <c r="X48" s="22" t="s">
        <v>3095</v>
      </c>
      <c r="Y48" s="22" t="s">
        <v>3095</v>
      </c>
      <c r="Z48" s="22" t="s">
        <v>3095</v>
      </c>
      <c r="AA48" s="22" t="s">
        <v>3095</v>
      </c>
      <c r="AB48" s="22" t="s">
        <v>3095</v>
      </c>
      <c r="AC48" s="22" t="s">
        <v>3095</v>
      </c>
      <c r="AD48" s="22" t="s">
        <v>3095</v>
      </c>
      <c r="AE48" s="22" t="s">
        <v>3095</v>
      </c>
      <c r="AF48" s="22" t="s">
        <v>3095</v>
      </c>
    </row>
    <row r="49" ht="45.0" customHeight="1">
      <c r="A49" s="55" t="s">
        <v>265</v>
      </c>
      <c r="B49" s="62" t="s">
        <v>5315</v>
      </c>
      <c r="C49" s="22" t="str">
        <f>IMAGE("https://raw.githubusercontent.com/ltdimages/images/refs/heads/main/ClothBottomsPantsLongMawashi_00.png")</f>
        <v/>
      </c>
      <c r="D49" s="22" t="str">
        <f>IMAGE("https://raw.githubusercontent.com/ltdimages/images/refs/heads/main/ClothBottomsPantsLongMawashi_01.png")</f>
        <v/>
      </c>
      <c r="E49" s="22" t="str">
        <f>IMAGE("https://raw.githubusercontent.com/ltdimages/images/refs/heads/main/ClothBottomsPantsLongMawashi_02.png")</f>
        <v/>
      </c>
      <c r="F49" s="22" t="str">
        <f>IMAGE("https://raw.githubusercontent.com/ltdimages/images/refs/heads/main/ClothBottomsPantsLongMawashi_03.png")</f>
        <v/>
      </c>
      <c r="G49" s="22" t="s">
        <v>3095</v>
      </c>
      <c r="H49" s="22" t="s">
        <v>3095</v>
      </c>
      <c r="I49" s="22" t="s">
        <v>3095</v>
      </c>
      <c r="J49" s="22" t="s">
        <v>3095</v>
      </c>
      <c r="K49" s="63" t="s">
        <v>4287</v>
      </c>
      <c r="L49" s="23">
        <v>10.0</v>
      </c>
      <c r="M49" s="22" t="s">
        <v>3097</v>
      </c>
      <c r="N49" s="22" t="s">
        <v>3099</v>
      </c>
      <c r="O49" s="22" t="s">
        <v>45</v>
      </c>
      <c r="P49" s="22" t="s">
        <v>45</v>
      </c>
      <c r="Q49" s="22" t="s">
        <v>45</v>
      </c>
      <c r="R49" s="22" t="s">
        <v>49</v>
      </c>
      <c r="S49" s="22" t="s">
        <v>45</v>
      </c>
      <c r="T49" s="22" t="s">
        <v>2002</v>
      </c>
      <c r="U49" s="22" t="s">
        <v>45</v>
      </c>
      <c r="V49" s="22" t="s">
        <v>45</v>
      </c>
      <c r="W49" s="22" t="s">
        <v>5316</v>
      </c>
      <c r="X49" s="22" t="s">
        <v>3095</v>
      </c>
      <c r="Y49" s="22" t="s">
        <v>3095</v>
      </c>
      <c r="Z49" s="22" t="s">
        <v>3095</v>
      </c>
      <c r="AA49" s="22" t="s">
        <v>3095</v>
      </c>
      <c r="AB49" s="22" t="s">
        <v>3095</v>
      </c>
      <c r="AC49" s="22" t="s">
        <v>3095</v>
      </c>
      <c r="AD49" s="22" t="s">
        <v>3095</v>
      </c>
      <c r="AE49" s="22" t="s">
        <v>3095</v>
      </c>
      <c r="AF49" s="22" t="s">
        <v>3095</v>
      </c>
    </row>
    <row r="50" ht="45.0" customHeight="1">
      <c r="A50" s="55" t="s">
        <v>269</v>
      </c>
      <c r="B50" s="62" t="s">
        <v>5317</v>
      </c>
      <c r="C50" s="22" t="str">
        <f>IMAGE("https://raw.githubusercontent.com/ltdimages/images/refs/heads/main/ClothBottomsPantsWideMetallic_00.png")</f>
        <v/>
      </c>
      <c r="D50" s="22" t="str">
        <f>IMAGE("https://raw.githubusercontent.com/ltdimages/images/refs/heads/main/ClothBottomsPantsWideMetallic_01.png")</f>
        <v/>
      </c>
      <c r="E50" s="22" t="str">
        <f>IMAGE("https://raw.githubusercontent.com/ltdimages/images/refs/heads/main/ClothBottomsPantsWideMetallic_02.png")</f>
        <v/>
      </c>
      <c r="F50" s="22" t="str">
        <f>IMAGE("https://raw.githubusercontent.com/ltdimages/images/refs/heads/main/ClothBottomsPantsWideMetallic_03.png")</f>
        <v/>
      </c>
      <c r="G50" s="22" t="str">
        <f>IMAGE("https://raw.githubusercontent.com/ltdimages/images/refs/heads/main/ClothBottomsPantsWideMetallic_04.png")</f>
        <v/>
      </c>
      <c r="H50" s="22" t="str">
        <f>IMAGE("https://raw.githubusercontent.com/ltdimages/images/refs/heads/main/ClothBottomsPantsWideMetallic_05.png")</f>
        <v/>
      </c>
      <c r="I50" s="22" t="str">
        <f>IMAGE("https://raw.githubusercontent.com/ltdimages/images/refs/heads/main/ClothBottomsPantsWideMetallic_06.png")</f>
        <v/>
      </c>
      <c r="J50" s="22" t="str">
        <f>IMAGE("https://raw.githubusercontent.com/ltdimages/images/refs/heads/main/ClothBottomsPantsWideMetallic_07.png")</f>
        <v/>
      </c>
      <c r="K50" s="63" t="s">
        <v>4287</v>
      </c>
      <c r="L50" s="23">
        <v>14.5</v>
      </c>
      <c r="M50" s="22" t="s">
        <v>3097</v>
      </c>
      <c r="N50" s="22" t="s">
        <v>3099</v>
      </c>
      <c r="O50" s="22" t="s">
        <v>45</v>
      </c>
      <c r="P50" s="22" t="s">
        <v>45</v>
      </c>
      <c r="Q50" s="22" t="s">
        <v>45</v>
      </c>
      <c r="R50" s="22" t="s">
        <v>45</v>
      </c>
      <c r="S50" s="22" t="s">
        <v>45</v>
      </c>
      <c r="T50" s="22" t="s">
        <v>2002</v>
      </c>
      <c r="U50" s="22" t="s">
        <v>45</v>
      </c>
      <c r="V50" s="22" t="s">
        <v>45</v>
      </c>
      <c r="W50" s="22" t="s">
        <v>5318</v>
      </c>
      <c r="X50" s="22" t="s">
        <v>3095</v>
      </c>
      <c r="Y50" s="22" t="s">
        <v>3095</v>
      </c>
      <c r="Z50" s="22" t="s">
        <v>3095</v>
      </c>
      <c r="AA50" s="22" t="s">
        <v>3095</v>
      </c>
      <c r="AB50" s="22" t="s">
        <v>3095</v>
      </c>
      <c r="AC50" s="22" t="s">
        <v>3095</v>
      </c>
      <c r="AD50" s="22" t="s">
        <v>3095</v>
      </c>
      <c r="AE50" s="22" t="s">
        <v>3095</v>
      </c>
      <c r="AF50" s="22" t="s">
        <v>3095</v>
      </c>
    </row>
    <row r="51" ht="45.0" customHeight="1">
      <c r="A51" s="55" t="s">
        <v>273</v>
      </c>
      <c r="B51" s="62" t="s">
        <v>5319</v>
      </c>
      <c r="C51" s="22" t="str">
        <f>IMAGE("https://raw.githubusercontent.com/ltdimages/images/refs/heads/main/ClothBottomsPantsWideMulticolor_00.png")</f>
        <v/>
      </c>
      <c r="D51" s="22" t="str">
        <f>IMAGE("https://raw.githubusercontent.com/ltdimages/images/refs/heads/main/ClothBottomsPantsWideMulticolor_01.png")</f>
        <v/>
      </c>
      <c r="E51" s="22" t="str">
        <f>IMAGE("https://raw.githubusercontent.com/ltdimages/images/refs/heads/main/ClothBottomsPantsWideMulticolor_02.png")</f>
        <v/>
      </c>
      <c r="F51" s="22" t="str">
        <f>IMAGE("https://raw.githubusercontent.com/ltdimages/images/refs/heads/main/ClothBottomsPantsWideMulticolor_03.png")</f>
        <v/>
      </c>
      <c r="G51" s="22" t="str">
        <f>IMAGE("https://raw.githubusercontent.com/ltdimages/images/refs/heads/main/ClothBottomsPantsWideMulticolor_04.png")</f>
        <v/>
      </c>
      <c r="H51" s="22" t="str">
        <f>IMAGE("https://raw.githubusercontent.com/ltdimages/images/refs/heads/main/ClothBottomsPantsWideMulticolor_05.png")</f>
        <v/>
      </c>
      <c r="I51" s="22" t="str">
        <f>IMAGE("https://raw.githubusercontent.com/ltdimages/images/refs/heads/main/ClothBottomsPantsWideMulticolor_06.png")</f>
        <v/>
      </c>
      <c r="J51" s="22" t="str">
        <f>IMAGE("https://raw.githubusercontent.com/ltdimages/images/refs/heads/main/ClothBottomsPantsWideMulticolor_07.png")</f>
        <v/>
      </c>
      <c r="K51" s="63" t="s">
        <v>4287</v>
      </c>
      <c r="L51" s="23">
        <v>8.3</v>
      </c>
      <c r="M51" s="22" t="s">
        <v>3097</v>
      </c>
      <c r="N51" s="22" t="s">
        <v>3123</v>
      </c>
      <c r="O51" s="22" t="s">
        <v>45</v>
      </c>
      <c r="P51" s="22" t="s">
        <v>45</v>
      </c>
      <c r="Q51" s="22" t="s">
        <v>45</v>
      </c>
      <c r="R51" s="22" t="s">
        <v>45</v>
      </c>
      <c r="S51" s="22" t="s">
        <v>45</v>
      </c>
      <c r="T51" s="22" t="s">
        <v>2002</v>
      </c>
      <c r="U51" s="22" t="s">
        <v>45</v>
      </c>
      <c r="V51" s="22" t="s">
        <v>45</v>
      </c>
      <c r="W51" s="22" t="s">
        <v>5320</v>
      </c>
      <c r="X51" s="22" t="s">
        <v>3095</v>
      </c>
      <c r="Y51" s="22" t="s">
        <v>3095</v>
      </c>
      <c r="Z51" s="22" t="s">
        <v>3095</v>
      </c>
      <c r="AA51" s="22" t="s">
        <v>3095</v>
      </c>
      <c r="AB51" s="22" t="s">
        <v>3095</v>
      </c>
      <c r="AC51" s="22" t="s">
        <v>3095</v>
      </c>
      <c r="AD51" s="22" t="s">
        <v>3095</v>
      </c>
      <c r="AE51" s="22" t="s">
        <v>3095</v>
      </c>
      <c r="AF51" s="22" t="s">
        <v>3095</v>
      </c>
    </row>
    <row r="52" ht="45.0" customHeight="1">
      <c r="A52" s="55" t="s">
        <v>277</v>
      </c>
      <c r="B52" s="62" t="s">
        <v>4001</v>
      </c>
      <c r="C52" s="22" t="str">
        <f>IMAGE("https://raw.githubusercontent.com/ltdimages/images/refs/heads/main/ClothBottomsPantsWideMultiStripe_00.png")</f>
        <v/>
      </c>
      <c r="D52" s="22" t="str">
        <f>IMAGE("https://raw.githubusercontent.com/ltdimages/images/refs/heads/main/ClothBottomsPantsWideMultiStripe_01.png")</f>
        <v/>
      </c>
      <c r="E52" s="22" t="str">
        <f>IMAGE("https://raw.githubusercontent.com/ltdimages/images/refs/heads/main/ClothBottomsPantsWideMultiStripe_02.png")</f>
        <v/>
      </c>
      <c r="F52" s="22" t="str">
        <f>IMAGE("https://raw.githubusercontent.com/ltdimages/images/refs/heads/main/ClothBottomsPantsWideMultiStripe_03.png")</f>
        <v/>
      </c>
      <c r="G52" s="22" t="str">
        <f>IMAGE("https://raw.githubusercontent.com/ltdimages/images/refs/heads/main/ClothBottomsPantsWideMultiStripe_04.png")</f>
        <v/>
      </c>
      <c r="H52" s="22" t="str">
        <f>IMAGE("https://raw.githubusercontent.com/ltdimages/images/refs/heads/main/ClothBottomsPantsWideMultiStripe_05.png")</f>
        <v/>
      </c>
      <c r="I52" s="22" t="s">
        <v>3095</v>
      </c>
      <c r="J52" s="22" t="s">
        <v>3095</v>
      </c>
      <c r="K52" s="63" t="s">
        <v>4287</v>
      </c>
      <c r="L52" s="23">
        <v>8.9</v>
      </c>
      <c r="M52" s="22" t="s">
        <v>3097</v>
      </c>
      <c r="N52" s="22" t="s">
        <v>3099</v>
      </c>
      <c r="O52" s="22" t="s">
        <v>45</v>
      </c>
      <c r="P52" s="22" t="s">
        <v>45</v>
      </c>
      <c r="Q52" s="22" t="s">
        <v>45</v>
      </c>
      <c r="R52" s="22" t="s">
        <v>45</v>
      </c>
      <c r="S52" s="22" t="s">
        <v>45</v>
      </c>
      <c r="T52" s="22" t="s">
        <v>2002</v>
      </c>
      <c r="U52" s="22" t="s">
        <v>45</v>
      </c>
      <c r="V52" s="22" t="s">
        <v>45</v>
      </c>
      <c r="W52" s="22" t="s">
        <v>5321</v>
      </c>
      <c r="X52" s="22" t="s">
        <v>3095</v>
      </c>
      <c r="Y52" s="22" t="s">
        <v>3095</v>
      </c>
      <c r="Z52" s="22" t="s">
        <v>3095</v>
      </c>
      <c r="AA52" s="22" t="s">
        <v>3095</v>
      </c>
      <c r="AB52" s="22" t="s">
        <v>3095</v>
      </c>
      <c r="AC52" s="22" t="s">
        <v>3095</v>
      </c>
      <c r="AD52" s="22" t="s">
        <v>3095</v>
      </c>
      <c r="AE52" s="22" t="s">
        <v>3095</v>
      </c>
      <c r="AF52" s="22" t="s">
        <v>3095</v>
      </c>
    </row>
    <row r="53" ht="45.0" customHeight="1">
      <c r="A53" s="55" t="s">
        <v>281</v>
      </c>
      <c r="B53" s="62" t="s">
        <v>3140</v>
      </c>
      <c r="C53" s="22" t="str">
        <f>IMAGE("https://raw.githubusercontent.com/ltdimages/images/refs/heads/main/ClothBottomsPantsWidePainter_00.png")</f>
        <v/>
      </c>
      <c r="D53" s="22" t="str">
        <f>IMAGE("https://raw.githubusercontent.com/ltdimages/images/refs/heads/main/ClothBottomsPantsWidePainter_01.png")</f>
        <v/>
      </c>
      <c r="E53" s="22" t="str">
        <f>IMAGE("https://raw.githubusercontent.com/ltdimages/images/refs/heads/main/ClothBottomsPantsWidePainter_02.png")</f>
        <v/>
      </c>
      <c r="F53" s="22" t="str">
        <f>IMAGE("https://raw.githubusercontent.com/ltdimages/images/refs/heads/main/ClothBottomsPantsWidePainter_03.png")</f>
        <v/>
      </c>
      <c r="G53" s="22" t="s">
        <v>3095</v>
      </c>
      <c r="H53" s="22" t="s">
        <v>3095</v>
      </c>
      <c r="I53" s="22" t="s">
        <v>3095</v>
      </c>
      <c r="J53" s="22" t="s">
        <v>3095</v>
      </c>
      <c r="K53" s="63" t="s">
        <v>4287</v>
      </c>
      <c r="L53" s="23">
        <v>9.2</v>
      </c>
      <c r="M53" s="22" t="s">
        <v>3097</v>
      </c>
      <c r="N53" s="22" t="s">
        <v>3099</v>
      </c>
      <c r="O53" s="22" t="s">
        <v>45</v>
      </c>
      <c r="P53" s="22" t="s">
        <v>45</v>
      </c>
      <c r="Q53" s="22" t="s">
        <v>45</v>
      </c>
      <c r="R53" s="22" t="s">
        <v>45</v>
      </c>
      <c r="S53" s="22" t="s">
        <v>45</v>
      </c>
      <c r="T53" s="22" t="s">
        <v>2002</v>
      </c>
      <c r="U53" s="22" t="s">
        <v>45</v>
      </c>
      <c r="V53" s="22" t="s">
        <v>45</v>
      </c>
      <c r="W53" s="22" t="s">
        <v>5322</v>
      </c>
      <c r="X53" s="22" t="s">
        <v>3095</v>
      </c>
      <c r="Y53" s="22" t="s">
        <v>3095</v>
      </c>
      <c r="Z53" s="22" t="s">
        <v>3095</v>
      </c>
      <c r="AA53" s="22" t="s">
        <v>3095</v>
      </c>
      <c r="AB53" s="22" t="s">
        <v>3095</v>
      </c>
      <c r="AC53" s="22" t="s">
        <v>3095</v>
      </c>
      <c r="AD53" s="22" t="s">
        <v>3095</v>
      </c>
      <c r="AE53" s="22" t="s">
        <v>3095</v>
      </c>
      <c r="AF53" s="22" t="s">
        <v>3095</v>
      </c>
    </row>
    <row r="54" ht="45.0" customHeight="1">
      <c r="A54" s="55" t="s">
        <v>285</v>
      </c>
      <c r="B54" s="62" t="s">
        <v>3575</v>
      </c>
      <c r="C54" s="22" t="str">
        <f>IMAGE("https://raw.githubusercontent.com/ltdimages/images/refs/heads/main/ClothBottomsPantsWidePajama_00.png")</f>
        <v/>
      </c>
      <c r="D54" s="22" t="str">
        <f>IMAGE("https://raw.githubusercontent.com/ltdimages/images/refs/heads/main/ClothBottomsPantsWidePajama_01.png")</f>
        <v/>
      </c>
      <c r="E54" s="22" t="str">
        <f>IMAGE("https://raw.githubusercontent.com/ltdimages/images/refs/heads/main/ClothBottomsPantsWidePajama_02.png")</f>
        <v/>
      </c>
      <c r="F54" s="22" t="str">
        <f>IMAGE("https://raw.githubusercontent.com/ltdimages/images/refs/heads/main/ClothBottomsPantsWidePajama_03.png")</f>
        <v/>
      </c>
      <c r="G54" s="22" t="str">
        <f>IMAGE("https://raw.githubusercontent.com/ltdimages/images/refs/heads/main/ClothBottomsPantsWidePajama_04.png")</f>
        <v/>
      </c>
      <c r="H54" s="22" t="str">
        <f>IMAGE("https://raw.githubusercontent.com/ltdimages/images/refs/heads/main/ClothBottomsPantsWidePajama_05.png")</f>
        <v/>
      </c>
      <c r="I54" s="22" t="str">
        <f>IMAGE("https://raw.githubusercontent.com/ltdimages/images/refs/heads/main/ClothBottomsPantsWidePajama_06.png")</f>
        <v/>
      </c>
      <c r="J54" s="22" t="str">
        <f>IMAGE("https://raw.githubusercontent.com/ltdimages/images/refs/heads/main/ClothBottomsPantsWidePajama_07.png")</f>
        <v/>
      </c>
      <c r="K54" s="63" t="s">
        <v>4287</v>
      </c>
      <c r="L54" s="23">
        <v>9.0</v>
      </c>
      <c r="M54" s="22" t="s">
        <v>3097</v>
      </c>
      <c r="N54" s="22" t="s">
        <v>3099</v>
      </c>
      <c r="O54" s="22" t="s">
        <v>45</v>
      </c>
      <c r="P54" s="22" t="s">
        <v>45</v>
      </c>
      <c r="Q54" s="22" t="s">
        <v>45</v>
      </c>
      <c r="R54" s="22" t="s">
        <v>45</v>
      </c>
      <c r="S54" s="22" t="s">
        <v>45</v>
      </c>
      <c r="T54" s="22" t="s">
        <v>2002</v>
      </c>
      <c r="U54" s="22" t="s">
        <v>45</v>
      </c>
      <c r="V54" s="22" t="s">
        <v>45</v>
      </c>
      <c r="W54" s="22" t="s">
        <v>5323</v>
      </c>
      <c r="X54" s="22" t="s">
        <v>3095</v>
      </c>
      <c r="Y54" s="22" t="s">
        <v>3095</v>
      </c>
      <c r="Z54" s="22" t="s">
        <v>3095</v>
      </c>
      <c r="AA54" s="22" t="s">
        <v>3095</v>
      </c>
      <c r="AB54" s="22" t="s">
        <v>3095</v>
      </c>
      <c r="AC54" s="22" t="s">
        <v>3095</v>
      </c>
      <c r="AD54" s="22" t="s">
        <v>3095</v>
      </c>
      <c r="AE54" s="22" t="s">
        <v>3095</v>
      </c>
      <c r="AF54" s="22" t="s">
        <v>3095</v>
      </c>
    </row>
    <row r="55" ht="45.0" customHeight="1">
      <c r="A55" s="55" t="s">
        <v>289</v>
      </c>
      <c r="B55" s="62" t="s">
        <v>5324</v>
      </c>
      <c r="C55" s="22" t="str">
        <f>IMAGE("https://raw.githubusercontent.com/ltdimages/images/refs/heads/main/ClothBottomsPantsWidePalmTree_00.png")</f>
        <v/>
      </c>
      <c r="D55" s="22" t="str">
        <f>IMAGE("https://raw.githubusercontent.com/ltdimages/images/refs/heads/main/ClothBottomsPantsWidePalmTree_01.png")</f>
        <v/>
      </c>
      <c r="E55" s="22" t="str">
        <f>IMAGE("https://raw.githubusercontent.com/ltdimages/images/refs/heads/main/ClothBottomsPantsWidePalmTree_02.png")</f>
        <v/>
      </c>
      <c r="F55" s="22" t="str">
        <f>IMAGE("https://raw.githubusercontent.com/ltdimages/images/refs/heads/main/ClothBottomsPantsWidePalmTree_03.png")</f>
        <v/>
      </c>
      <c r="G55" s="22" t="str">
        <f>IMAGE("https://raw.githubusercontent.com/ltdimages/images/refs/heads/main/ClothBottomsPantsWidePalmTree_04.png")</f>
        <v/>
      </c>
      <c r="H55" s="22" t="str">
        <f>IMAGE("https://raw.githubusercontent.com/ltdimages/images/refs/heads/main/ClothBottomsPantsWidePalmTree_05.png")</f>
        <v/>
      </c>
      <c r="I55" s="22" t="s">
        <v>3095</v>
      </c>
      <c r="J55" s="22" t="s">
        <v>3095</v>
      </c>
      <c r="K55" s="63" t="s">
        <v>4287</v>
      </c>
      <c r="L55" s="23">
        <v>10.0</v>
      </c>
      <c r="M55" s="22" t="s">
        <v>3097</v>
      </c>
      <c r="N55" s="22" t="s">
        <v>3123</v>
      </c>
      <c r="O55" s="22" t="s">
        <v>45</v>
      </c>
      <c r="P55" s="22" t="s">
        <v>45</v>
      </c>
      <c r="Q55" s="22" t="s">
        <v>45</v>
      </c>
      <c r="R55" s="22" t="s">
        <v>45</v>
      </c>
      <c r="S55" s="22" t="s">
        <v>45</v>
      </c>
      <c r="T55" s="22" t="s">
        <v>2002</v>
      </c>
      <c r="U55" s="22" t="s">
        <v>45</v>
      </c>
      <c r="V55" s="22" t="s">
        <v>45</v>
      </c>
      <c r="W55" s="22" t="s">
        <v>5325</v>
      </c>
      <c r="X55" s="22" t="s">
        <v>3095</v>
      </c>
      <c r="Y55" s="22" t="s">
        <v>3095</v>
      </c>
      <c r="Z55" s="22" t="s">
        <v>3095</v>
      </c>
      <c r="AA55" s="22" t="s">
        <v>3095</v>
      </c>
      <c r="AB55" s="22" t="s">
        <v>3095</v>
      </c>
      <c r="AC55" s="22" t="s">
        <v>3095</v>
      </c>
      <c r="AD55" s="22" t="s">
        <v>3095</v>
      </c>
      <c r="AE55" s="22" t="s">
        <v>3095</v>
      </c>
      <c r="AF55" s="22" t="s">
        <v>3095</v>
      </c>
    </row>
    <row r="56" ht="45.0" customHeight="1">
      <c r="A56" s="55" t="s">
        <v>293</v>
      </c>
      <c r="B56" s="62" t="s">
        <v>5326</v>
      </c>
      <c r="C56" s="22" t="str">
        <f>IMAGE("https://raw.githubusercontent.com/ltdimages/images/refs/heads/main/ClothBottomsPantsWidePatch_00.png")</f>
        <v/>
      </c>
      <c r="D56" s="22" t="str">
        <f>IMAGE("https://raw.githubusercontent.com/ltdimages/images/refs/heads/main/ClothBottomsPantsWidePatch_01.png")</f>
        <v/>
      </c>
      <c r="E56" s="22" t="str">
        <f>IMAGE("https://raw.githubusercontent.com/ltdimages/images/refs/heads/main/ClothBottomsPantsWidePatch_02.png")</f>
        <v/>
      </c>
      <c r="F56" s="22" t="str">
        <f>IMAGE("https://raw.githubusercontent.com/ltdimages/images/refs/heads/main/ClothBottomsPantsWidePatch_03.png")</f>
        <v/>
      </c>
      <c r="G56" s="22" t="str">
        <f>IMAGE("https://raw.githubusercontent.com/ltdimages/images/refs/heads/main/ClothBottomsPantsWidePatch_04.png")</f>
        <v/>
      </c>
      <c r="H56" s="22" t="str">
        <f>IMAGE("https://raw.githubusercontent.com/ltdimages/images/refs/heads/main/ClothBottomsPantsWidePatch_05.png")</f>
        <v/>
      </c>
      <c r="I56" s="22" t="s">
        <v>3095</v>
      </c>
      <c r="J56" s="22" t="s">
        <v>3095</v>
      </c>
      <c r="K56" s="63" t="s">
        <v>4287</v>
      </c>
      <c r="L56" s="23">
        <v>11.0</v>
      </c>
      <c r="M56" s="22" t="s">
        <v>3097</v>
      </c>
      <c r="N56" s="22" t="s">
        <v>3099</v>
      </c>
      <c r="O56" s="22" t="s">
        <v>45</v>
      </c>
      <c r="P56" s="22" t="s">
        <v>45</v>
      </c>
      <c r="Q56" s="22" t="s">
        <v>45</v>
      </c>
      <c r="R56" s="22" t="s">
        <v>45</v>
      </c>
      <c r="S56" s="22" t="s">
        <v>45</v>
      </c>
      <c r="T56" s="22" t="s">
        <v>2002</v>
      </c>
      <c r="U56" s="22" t="s">
        <v>45</v>
      </c>
      <c r="V56" s="22" t="s">
        <v>45</v>
      </c>
      <c r="W56" s="22" t="s">
        <v>5327</v>
      </c>
      <c r="X56" s="22" t="s">
        <v>3095</v>
      </c>
      <c r="Y56" s="22" t="s">
        <v>3095</v>
      </c>
      <c r="Z56" s="22" t="s">
        <v>3095</v>
      </c>
      <c r="AA56" s="22" t="s">
        <v>3095</v>
      </c>
      <c r="AB56" s="22" t="s">
        <v>3095</v>
      </c>
      <c r="AC56" s="22" t="s">
        <v>3095</v>
      </c>
      <c r="AD56" s="22" t="s">
        <v>3095</v>
      </c>
      <c r="AE56" s="22" t="s">
        <v>3095</v>
      </c>
      <c r="AF56" s="22" t="s">
        <v>3095</v>
      </c>
    </row>
    <row r="57" ht="45.0" customHeight="1">
      <c r="A57" s="55" t="s">
        <v>297</v>
      </c>
      <c r="B57" s="62" t="s">
        <v>5328</v>
      </c>
      <c r="C57" s="22" t="str">
        <f>IMAGE("https://raw.githubusercontent.com/ltdimages/images/refs/heads/main/ClothBottomsBloomersPumpkin_00.png")</f>
        <v/>
      </c>
      <c r="D57" s="22" t="str">
        <f>IMAGE("https://raw.githubusercontent.com/ltdimages/images/refs/heads/main/ClothBottomsBloomersPumpkin_01.png")</f>
        <v/>
      </c>
      <c r="E57" s="22" t="str">
        <f>IMAGE("https://raw.githubusercontent.com/ltdimages/images/refs/heads/main/ClothBottomsBloomersPumpkin_02.png")</f>
        <v/>
      </c>
      <c r="F57" s="22" t="str">
        <f>IMAGE("https://raw.githubusercontent.com/ltdimages/images/refs/heads/main/ClothBottomsBloomersPumpkin_03.png")</f>
        <v/>
      </c>
      <c r="G57" s="22" t="str">
        <f>IMAGE("https://raw.githubusercontent.com/ltdimages/images/refs/heads/main/ClothBottomsBloomersPumpkin_04.png")</f>
        <v/>
      </c>
      <c r="H57" s="22" t="str">
        <f>IMAGE("https://raw.githubusercontent.com/ltdimages/images/refs/heads/main/ClothBottomsBloomersPumpkin_05.png")</f>
        <v/>
      </c>
      <c r="I57" s="22" t="str">
        <f>IMAGE("https://raw.githubusercontent.com/ltdimages/images/refs/heads/main/ClothBottomsBloomersPumpkin_06.png")</f>
        <v/>
      </c>
      <c r="J57" s="22" t="str">
        <f>IMAGE("https://raw.githubusercontent.com/ltdimages/images/refs/heads/main/ClothBottomsBloomersPumpkin_07.png")</f>
        <v/>
      </c>
      <c r="K57" s="63" t="s">
        <v>4287</v>
      </c>
      <c r="L57" s="23">
        <v>9.0</v>
      </c>
      <c r="M57" s="22" t="s">
        <v>3097</v>
      </c>
      <c r="N57" s="22" t="s">
        <v>3099</v>
      </c>
      <c r="O57" s="22" t="s">
        <v>45</v>
      </c>
      <c r="P57" s="22" t="s">
        <v>45</v>
      </c>
      <c r="Q57" s="22" t="s">
        <v>45</v>
      </c>
      <c r="R57" s="22" t="s">
        <v>45</v>
      </c>
      <c r="S57" s="22" t="s">
        <v>45</v>
      </c>
      <c r="T57" s="22" t="s">
        <v>2002</v>
      </c>
      <c r="U57" s="22" t="s">
        <v>45</v>
      </c>
      <c r="V57" s="22" t="s">
        <v>45</v>
      </c>
      <c r="W57" s="22" t="s">
        <v>5329</v>
      </c>
      <c r="X57" s="22" t="s">
        <v>3095</v>
      </c>
      <c r="Y57" s="22" t="s">
        <v>3095</v>
      </c>
      <c r="Z57" s="22" t="s">
        <v>3095</v>
      </c>
      <c r="AA57" s="22" t="s">
        <v>3095</v>
      </c>
      <c r="AB57" s="22" t="s">
        <v>3095</v>
      </c>
      <c r="AC57" s="22" t="s">
        <v>3095</v>
      </c>
      <c r="AD57" s="22" t="s">
        <v>3095</v>
      </c>
      <c r="AE57" s="22" t="s">
        <v>3095</v>
      </c>
      <c r="AF57" s="22" t="s">
        <v>3095</v>
      </c>
    </row>
    <row r="58" ht="45.0" customHeight="1">
      <c r="A58" s="55" t="s">
        <v>301</v>
      </c>
      <c r="B58" s="62" t="s">
        <v>5330</v>
      </c>
      <c r="C58" s="22" t="str">
        <f>IMAGE("https://raw.githubusercontent.com/ltdimages/images/refs/heads/main/ClothBottomsPantsWideDenimPrinted_00.png")</f>
        <v/>
      </c>
      <c r="D58" s="22" t="str">
        <f>IMAGE("https://raw.githubusercontent.com/ltdimages/images/refs/heads/main/ClothBottomsPantsWideDenimPrinted_01.png")</f>
        <v/>
      </c>
      <c r="E58" s="22" t="str">
        <f>IMAGE("https://raw.githubusercontent.com/ltdimages/images/refs/heads/main/ClothBottomsPantsWideDenimPrinted_02.png")</f>
        <v/>
      </c>
      <c r="F58" s="22" t="str">
        <f>IMAGE("https://raw.githubusercontent.com/ltdimages/images/refs/heads/main/ClothBottomsPantsWideDenimPrinted_03.png")</f>
        <v/>
      </c>
      <c r="G58" s="22" t="s">
        <v>3095</v>
      </c>
      <c r="H58" s="22" t="s">
        <v>3095</v>
      </c>
      <c r="I58" s="22" t="s">
        <v>3095</v>
      </c>
      <c r="J58" s="22" t="s">
        <v>3095</v>
      </c>
      <c r="K58" s="63" t="s">
        <v>4287</v>
      </c>
      <c r="L58" s="23">
        <v>11.0</v>
      </c>
      <c r="M58" s="22" t="s">
        <v>3097</v>
      </c>
      <c r="N58" s="22" t="s">
        <v>3099</v>
      </c>
      <c r="O58" s="22" t="s">
        <v>45</v>
      </c>
      <c r="P58" s="22" t="s">
        <v>45</v>
      </c>
      <c r="Q58" s="22" t="s">
        <v>45</v>
      </c>
      <c r="R58" s="22" t="s">
        <v>45</v>
      </c>
      <c r="S58" s="22" t="s">
        <v>45</v>
      </c>
      <c r="T58" s="22" t="s">
        <v>2002</v>
      </c>
      <c r="U58" s="22" t="s">
        <v>45</v>
      </c>
      <c r="V58" s="22" t="s">
        <v>45</v>
      </c>
      <c r="W58" s="22" t="s">
        <v>5331</v>
      </c>
      <c r="X58" s="22" t="s">
        <v>3095</v>
      </c>
      <c r="Y58" s="22" t="s">
        <v>3095</v>
      </c>
      <c r="Z58" s="22" t="s">
        <v>3095</v>
      </c>
      <c r="AA58" s="22" t="s">
        <v>3095</v>
      </c>
      <c r="AB58" s="22" t="s">
        <v>3095</v>
      </c>
      <c r="AC58" s="22" t="s">
        <v>3095</v>
      </c>
      <c r="AD58" s="22" t="s">
        <v>3095</v>
      </c>
      <c r="AE58" s="22" t="s">
        <v>3095</v>
      </c>
      <c r="AF58" s="22" t="s">
        <v>3095</v>
      </c>
    </row>
    <row r="59" ht="45.0" customHeight="1">
      <c r="A59" s="55" t="s">
        <v>305</v>
      </c>
      <c r="B59" s="62" t="s">
        <v>3879</v>
      </c>
      <c r="C59" s="22" t="str">
        <f>IMAGE("https://raw.githubusercontent.com/ltdimages/images/refs/heads/main/ClothBottomsPantsLongRagged_00.png")</f>
        <v/>
      </c>
      <c r="D59" s="22" t="str">
        <f>IMAGE("https://raw.githubusercontent.com/ltdimages/images/refs/heads/main/ClothBottomsPantsLongRagged_01.png")</f>
        <v/>
      </c>
      <c r="E59" s="22" t="str">
        <f>IMAGE("https://raw.githubusercontent.com/ltdimages/images/refs/heads/main/ClothBottomsPantsLongRagged_02.png")</f>
        <v/>
      </c>
      <c r="F59" s="22" t="s">
        <v>3095</v>
      </c>
      <c r="G59" s="22" t="s">
        <v>3095</v>
      </c>
      <c r="H59" s="22" t="s">
        <v>3095</v>
      </c>
      <c r="I59" s="22" t="s">
        <v>3095</v>
      </c>
      <c r="J59" s="22" t="s">
        <v>3095</v>
      </c>
      <c r="K59" s="63" t="s">
        <v>4287</v>
      </c>
      <c r="L59" s="23">
        <v>2.0</v>
      </c>
      <c r="M59" s="22" t="s">
        <v>3097</v>
      </c>
      <c r="N59" s="22" t="s">
        <v>3099</v>
      </c>
      <c r="O59" s="22" t="s">
        <v>45</v>
      </c>
      <c r="P59" s="22" t="s">
        <v>49</v>
      </c>
      <c r="Q59" s="22" t="s">
        <v>45</v>
      </c>
      <c r="R59" s="22" t="s">
        <v>45</v>
      </c>
      <c r="S59" s="22" t="s">
        <v>45</v>
      </c>
      <c r="T59" s="22" t="s">
        <v>2002</v>
      </c>
      <c r="U59" s="22" t="s">
        <v>45</v>
      </c>
      <c r="V59" s="22" t="s">
        <v>45</v>
      </c>
      <c r="W59" s="22" t="s">
        <v>5332</v>
      </c>
      <c r="X59" s="22" t="s">
        <v>3095</v>
      </c>
      <c r="Y59" s="22" t="s">
        <v>3095</v>
      </c>
      <c r="Z59" s="22" t="s">
        <v>3095</v>
      </c>
      <c r="AA59" s="22" t="s">
        <v>3095</v>
      </c>
      <c r="AB59" s="22" t="s">
        <v>3095</v>
      </c>
      <c r="AC59" s="22" t="s">
        <v>3095</v>
      </c>
      <c r="AD59" s="22" t="s">
        <v>3095</v>
      </c>
      <c r="AE59" s="22" t="s">
        <v>3095</v>
      </c>
      <c r="AF59" s="22" t="s">
        <v>3095</v>
      </c>
    </row>
    <row r="60" ht="45.0" customHeight="1">
      <c r="A60" s="55" t="s">
        <v>309</v>
      </c>
      <c r="B60" s="62" t="s">
        <v>3254</v>
      </c>
      <c r="C60" s="22" t="str">
        <f>IMAGE("https://raw.githubusercontent.com/ltdimages/images/refs/heads/main/ClothBottomsPantsLongDenimDamaged_00.png")</f>
        <v/>
      </c>
      <c r="D60" s="22" t="str">
        <f>IMAGE("https://raw.githubusercontent.com/ltdimages/images/refs/heads/main/ClothBottomsPantsLongDenimDamaged_01.png")</f>
        <v/>
      </c>
      <c r="E60" s="22" t="str">
        <f>IMAGE("https://raw.githubusercontent.com/ltdimages/images/refs/heads/main/ClothBottomsPantsLongDenimDamaged_02.png")</f>
        <v/>
      </c>
      <c r="F60" s="22" t="str">
        <f>IMAGE("https://raw.githubusercontent.com/ltdimages/images/refs/heads/main/ClothBottomsPantsLongDenimDamaged_03.png")</f>
        <v/>
      </c>
      <c r="G60" s="22" t="s">
        <v>3095</v>
      </c>
      <c r="H60" s="22" t="s">
        <v>3095</v>
      </c>
      <c r="I60" s="22" t="s">
        <v>3095</v>
      </c>
      <c r="J60" s="22" t="s">
        <v>3095</v>
      </c>
      <c r="K60" s="63" t="s">
        <v>4287</v>
      </c>
      <c r="L60" s="23">
        <v>9.5</v>
      </c>
      <c r="M60" s="22" t="s">
        <v>3097</v>
      </c>
      <c r="N60" s="22" t="s">
        <v>3099</v>
      </c>
      <c r="O60" s="22" t="s">
        <v>45</v>
      </c>
      <c r="P60" s="22" t="s">
        <v>45</v>
      </c>
      <c r="Q60" s="22" t="s">
        <v>45</v>
      </c>
      <c r="R60" s="22" t="s">
        <v>45</v>
      </c>
      <c r="S60" s="22" t="s">
        <v>45</v>
      </c>
      <c r="T60" s="22" t="s">
        <v>2002</v>
      </c>
      <c r="U60" s="22" t="s">
        <v>45</v>
      </c>
      <c r="V60" s="22" t="s">
        <v>45</v>
      </c>
      <c r="W60" s="22" t="s">
        <v>5333</v>
      </c>
      <c r="X60" s="22" t="s">
        <v>3095</v>
      </c>
      <c r="Y60" s="22" t="s">
        <v>3095</v>
      </c>
      <c r="Z60" s="22" t="s">
        <v>3095</v>
      </c>
      <c r="AA60" s="22" t="s">
        <v>3095</v>
      </c>
      <c r="AB60" s="22" t="s">
        <v>3095</v>
      </c>
      <c r="AC60" s="22" t="s">
        <v>3095</v>
      </c>
      <c r="AD60" s="22" t="s">
        <v>3095</v>
      </c>
      <c r="AE60" s="22" t="s">
        <v>3095</v>
      </c>
      <c r="AF60" s="22" t="s">
        <v>3095</v>
      </c>
    </row>
    <row r="61" ht="45.0" customHeight="1">
      <c r="A61" s="55" t="s">
        <v>313</v>
      </c>
      <c r="B61" s="62" t="s">
        <v>3906</v>
      </c>
      <c r="C61" s="22" t="str">
        <f>IMAGE("https://raw.githubusercontent.com/ltdimages/images/refs/heads/main/ClothBottomsPantsWideCowboy_00.png")</f>
        <v/>
      </c>
      <c r="D61" s="22" t="str">
        <f>IMAGE("https://raw.githubusercontent.com/ltdimages/images/refs/heads/main/ClothBottomsPantsWideCowboy_01.png")</f>
        <v/>
      </c>
      <c r="E61" s="22" t="str">
        <f>IMAGE("https://raw.githubusercontent.com/ltdimages/images/refs/heads/main/ClothBottomsPantsWideCowboy_02.png")</f>
        <v/>
      </c>
      <c r="F61" s="22" t="s">
        <v>3095</v>
      </c>
      <c r="G61" s="22" t="s">
        <v>3095</v>
      </c>
      <c r="H61" s="22" t="s">
        <v>3095</v>
      </c>
      <c r="I61" s="22" t="s">
        <v>3095</v>
      </c>
      <c r="J61" s="22" t="s">
        <v>3095</v>
      </c>
      <c r="K61" s="63" t="s">
        <v>4287</v>
      </c>
      <c r="L61" s="23">
        <v>14.0</v>
      </c>
      <c r="M61" s="22" t="s">
        <v>3097</v>
      </c>
      <c r="N61" s="22" t="s">
        <v>3099</v>
      </c>
      <c r="O61" s="22" t="s">
        <v>45</v>
      </c>
      <c r="P61" s="22" t="s">
        <v>45</v>
      </c>
      <c r="Q61" s="22" t="s">
        <v>45</v>
      </c>
      <c r="R61" s="22" t="s">
        <v>49</v>
      </c>
      <c r="S61" s="22" t="s">
        <v>45</v>
      </c>
      <c r="T61" s="22" t="s">
        <v>2002</v>
      </c>
      <c r="U61" s="22" t="s">
        <v>45</v>
      </c>
      <c r="V61" s="22" t="s">
        <v>45</v>
      </c>
      <c r="W61" s="22" t="s">
        <v>5334</v>
      </c>
      <c r="X61" s="22" t="s">
        <v>3095</v>
      </c>
      <c r="Y61" s="22" t="s">
        <v>3095</v>
      </c>
      <c r="Z61" s="22" t="s">
        <v>3095</v>
      </c>
      <c r="AA61" s="22" t="s">
        <v>3095</v>
      </c>
      <c r="AB61" s="22" t="s">
        <v>3095</v>
      </c>
      <c r="AC61" s="22" t="s">
        <v>3095</v>
      </c>
      <c r="AD61" s="22" t="s">
        <v>3095</v>
      </c>
      <c r="AE61" s="22" t="s">
        <v>3095</v>
      </c>
      <c r="AF61" s="22" t="s">
        <v>3095</v>
      </c>
    </row>
    <row r="62" ht="45.0" customHeight="1">
      <c r="A62" s="55" t="s">
        <v>317</v>
      </c>
      <c r="B62" s="62" t="s">
        <v>3676</v>
      </c>
      <c r="C62" s="22" t="str">
        <f>IMAGE("https://raw.githubusercontent.com/ltdimages/images/refs/heads/main/ClothBottomsPantsLongRunning_00.png")</f>
        <v/>
      </c>
      <c r="D62" s="22" t="str">
        <f>IMAGE("https://raw.githubusercontent.com/ltdimages/images/refs/heads/main/ClothBottomsPantsLongRunning_01.png")</f>
        <v/>
      </c>
      <c r="E62" s="22" t="str">
        <f>IMAGE("https://raw.githubusercontent.com/ltdimages/images/refs/heads/main/ClothBottomsPantsLongRunning_02.png")</f>
        <v/>
      </c>
      <c r="F62" s="22" t="str">
        <f>IMAGE("https://raw.githubusercontent.com/ltdimages/images/refs/heads/main/ClothBottomsPantsLongRunning_03.png")</f>
        <v/>
      </c>
      <c r="G62" s="22" t="str">
        <f>IMAGE("https://raw.githubusercontent.com/ltdimages/images/refs/heads/main/ClothBottomsPantsLongRunning_04.png")</f>
        <v/>
      </c>
      <c r="H62" s="22" t="str">
        <f>IMAGE("https://raw.githubusercontent.com/ltdimages/images/refs/heads/main/ClothBottomsPantsLongRunning_05.png")</f>
        <v/>
      </c>
      <c r="I62" s="22" t="str">
        <f>IMAGE("https://raw.githubusercontent.com/ltdimages/images/refs/heads/main/ClothBottomsPantsLongRunning_06.png")</f>
        <v/>
      </c>
      <c r="J62" s="22" t="str">
        <f>IMAGE("https://raw.githubusercontent.com/ltdimages/images/refs/heads/main/ClothBottomsPantsLongRunning_07.png")</f>
        <v/>
      </c>
      <c r="K62" s="63" t="s">
        <v>4287</v>
      </c>
      <c r="L62" s="23">
        <v>11.2</v>
      </c>
      <c r="M62" s="22" t="s">
        <v>3097</v>
      </c>
      <c r="N62" s="22" t="s">
        <v>3099</v>
      </c>
      <c r="O62" s="22" t="s">
        <v>45</v>
      </c>
      <c r="P62" s="22" t="s">
        <v>45</v>
      </c>
      <c r="Q62" s="22" t="s">
        <v>45</v>
      </c>
      <c r="R62" s="22" t="s">
        <v>45</v>
      </c>
      <c r="S62" s="22" t="s">
        <v>45</v>
      </c>
      <c r="T62" s="22" t="s">
        <v>2002</v>
      </c>
      <c r="U62" s="22" t="s">
        <v>45</v>
      </c>
      <c r="V62" s="22" t="s">
        <v>45</v>
      </c>
      <c r="W62" s="22" t="s">
        <v>5335</v>
      </c>
      <c r="X62" s="22" t="s">
        <v>3095</v>
      </c>
      <c r="Y62" s="22" t="s">
        <v>3095</v>
      </c>
      <c r="Z62" s="22" t="s">
        <v>3095</v>
      </c>
      <c r="AA62" s="22" t="s">
        <v>3095</v>
      </c>
      <c r="AB62" s="22" t="s">
        <v>3095</v>
      </c>
      <c r="AC62" s="22" t="s">
        <v>3095</v>
      </c>
      <c r="AD62" s="22" t="s">
        <v>3095</v>
      </c>
      <c r="AE62" s="22" t="s">
        <v>3095</v>
      </c>
      <c r="AF62" s="22" t="s">
        <v>3095</v>
      </c>
    </row>
    <row r="63" ht="45.0" customHeight="1">
      <c r="A63" s="55" t="s">
        <v>321</v>
      </c>
      <c r="B63" s="62" t="s">
        <v>3942</v>
      </c>
      <c r="C63" s="22" t="str">
        <f>IMAGE("https://raw.githubusercontent.com/ltdimages/images/refs/heads/main/ClothBottomsPantsLongSanta_00.png")</f>
        <v/>
      </c>
      <c r="D63" s="22" t="s">
        <v>3095</v>
      </c>
      <c r="E63" s="22" t="s">
        <v>3095</v>
      </c>
      <c r="F63" s="22" t="s">
        <v>3095</v>
      </c>
      <c r="G63" s="22" t="s">
        <v>3095</v>
      </c>
      <c r="H63" s="22" t="s">
        <v>3095</v>
      </c>
      <c r="I63" s="22" t="s">
        <v>3095</v>
      </c>
      <c r="J63" s="22" t="s">
        <v>3095</v>
      </c>
      <c r="K63" s="63" t="s">
        <v>4287</v>
      </c>
      <c r="L63" s="23">
        <v>9.6</v>
      </c>
      <c r="M63" s="22" t="s">
        <v>3097</v>
      </c>
      <c r="N63" s="22" t="s">
        <v>3114</v>
      </c>
      <c r="O63" s="22" t="s">
        <v>45</v>
      </c>
      <c r="P63" s="22" t="s">
        <v>45</v>
      </c>
      <c r="Q63" s="22" t="s">
        <v>45</v>
      </c>
      <c r="R63" s="22" t="s">
        <v>49</v>
      </c>
      <c r="S63" s="22" t="s">
        <v>45</v>
      </c>
      <c r="T63" s="22" t="s">
        <v>2002</v>
      </c>
      <c r="U63" s="22" t="s">
        <v>45</v>
      </c>
      <c r="V63" s="22" t="s">
        <v>45</v>
      </c>
      <c r="W63" s="22" t="s">
        <v>5336</v>
      </c>
      <c r="X63" s="22" t="s">
        <v>3095</v>
      </c>
      <c r="Y63" s="22" t="s">
        <v>3095</v>
      </c>
      <c r="Z63" s="22" t="s">
        <v>3095</v>
      </c>
      <c r="AA63" s="22" t="s">
        <v>3095</v>
      </c>
      <c r="AB63" s="22" t="s">
        <v>3095</v>
      </c>
      <c r="AC63" s="22" t="s">
        <v>3095</v>
      </c>
      <c r="AD63" s="22" t="s">
        <v>3095</v>
      </c>
      <c r="AE63" s="22" t="s">
        <v>3095</v>
      </c>
      <c r="AF63" s="22" t="s">
        <v>3095</v>
      </c>
    </row>
    <row r="64" ht="45.0" customHeight="1">
      <c r="A64" s="55" t="s">
        <v>325</v>
      </c>
      <c r="B64" s="62" t="s">
        <v>3264</v>
      </c>
      <c r="C64" s="22" t="str">
        <f>IMAGE("https://raw.githubusercontent.com/ltdimages/images/refs/heads/main/ClothBottomsPantsLongSchool_00.png")</f>
        <v/>
      </c>
      <c r="D64" s="22" t="str">
        <f>IMAGE("https://raw.githubusercontent.com/ltdimages/images/refs/heads/main/ClothBottomsPantsLongSchool_01.png")</f>
        <v/>
      </c>
      <c r="E64" s="22" t="str">
        <f>IMAGE("https://raw.githubusercontent.com/ltdimages/images/refs/heads/main/ClothBottomsPantsLongSchool_02.png")</f>
        <v/>
      </c>
      <c r="F64" s="22" t="str">
        <f>IMAGE("https://raw.githubusercontent.com/ltdimages/images/refs/heads/main/ClothBottomsPantsLongSchool_03.png")</f>
        <v/>
      </c>
      <c r="G64" s="22" t="str">
        <f>IMAGE("https://raw.githubusercontent.com/ltdimages/images/refs/heads/main/ClothBottomsPantsLongSchool_04.png")</f>
        <v/>
      </c>
      <c r="H64" s="22" t="str">
        <f>IMAGE("https://raw.githubusercontent.com/ltdimages/images/refs/heads/main/ClothBottomsPantsLongSchool_05.png")</f>
        <v/>
      </c>
      <c r="I64" s="22" t="s">
        <v>3095</v>
      </c>
      <c r="J64" s="22" t="s">
        <v>3095</v>
      </c>
      <c r="K64" s="63" t="s">
        <v>4287</v>
      </c>
      <c r="L64" s="23">
        <v>9.8</v>
      </c>
      <c r="M64" s="22" t="s">
        <v>3097</v>
      </c>
      <c r="N64" s="22" t="s">
        <v>3099</v>
      </c>
      <c r="O64" s="22" t="s">
        <v>45</v>
      </c>
      <c r="P64" s="22" t="s">
        <v>45</v>
      </c>
      <c r="Q64" s="22" t="s">
        <v>45</v>
      </c>
      <c r="R64" s="22" t="s">
        <v>45</v>
      </c>
      <c r="S64" s="22" t="s">
        <v>45</v>
      </c>
      <c r="T64" s="22" t="s">
        <v>2002</v>
      </c>
      <c r="U64" s="22" t="s">
        <v>45</v>
      </c>
      <c r="V64" s="22" t="s">
        <v>45</v>
      </c>
      <c r="W64" s="22" t="s">
        <v>5337</v>
      </c>
      <c r="X64" s="22" t="s">
        <v>3095</v>
      </c>
      <c r="Y64" s="22" t="s">
        <v>3095</v>
      </c>
      <c r="Z64" s="22" t="s">
        <v>3095</v>
      </c>
      <c r="AA64" s="22" t="s">
        <v>3095</v>
      </c>
      <c r="AB64" s="22" t="s">
        <v>3095</v>
      </c>
      <c r="AC64" s="22" t="s">
        <v>3095</v>
      </c>
      <c r="AD64" s="22" t="s">
        <v>3095</v>
      </c>
      <c r="AE64" s="22" t="s">
        <v>3095</v>
      </c>
      <c r="AF64" s="22" t="s">
        <v>3095</v>
      </c>
    </row>
    <row r="65" ht="45.0" customHeight="1">
      <c r="A65" s="55" t="s">
        <v>329</v>
      </c>
      <c r="B65" s="62" t="s">
        <v>3476</v>
      </c>
      <c r="C65" s="22" t="str">
        <f>IMAGE("https://raw.githubusercontent.com/ltdimages/images/refs/heads/main/ClothBottomsPantsLongShort_00.png")</f>
        <v/>
      </c>
      <c r="D65" s="22" t="str">
        <f>IMAGE("https://raw.githubusercontent.com/ltdimages/images/refs/heads/main/ClothBottomsPantsLongShort_01.png")</f>
        <v/>
      </c>
      <c r="E65" s="22" t="str">
        <f>IMAGE("https://raw.githubusercontent.com/ltdimages/images/refs/heads/main/ClothBottomsPantsLongShort_02.png")</f>
        <v/>
      </c>
      <c r="F65" s="22" t="str">
        <f>IMAGE("https://raw.githubusercontent.com/ltdimages/images/refs/heads/main/ClothBottomsPantsLongShort_03.png")</f>
        <v/>
      </c>
      <c r="G65" s="22" t="str">
        <f>IMAGE("https://raw.githubusercontent.com/ltdimages/images/refs/heads/main/ClothBottomsPantsLongShort_04.png")</f>
        <v/>
      </c>
      <c r="H65" s="22" t="str">
        <f>IMAGE("https://raw.githubusercontent.com/ltdimages/images/refs/heads/main/ClothBottomsPantsLongShort_05.png")</f>
        <v/>
      </c>
      <c r="I65" s="22" t="str">
        <f>IMAGE("https://raw.githubusercontent.com/ltdimages/images/refs/heads/main/ClothBottomsPantsLongShort_06.png")</f>
        <v/>
      </c>
      <c r="J65" s="22" t="str">
        <f>IMAGE("https://raw.githubusercontent.com/ltdimages/images/refs/heads/main/ClothBottomsPantsLongShort_07.png")</f>
        <v/>
      </c>
      <c r="K65" s="63" t="s">
        <v>4287</v>
      </c>
      <c r="L65" s="23">
        <v>9.0</v>
      </c>
      <c r="M65" s="22" t="s">
        <v>3097</v>
      </c>
      <c r="N65" s="22" t="s">
        <v>3123</v>
      </c>
      <c r="O65" s="22" t="s">
        <v>45</v>
      </c>
      <c r="P65" s="22" t="s">
        <v>45</v>
      </c>
      <c r="Q65" s="22" t="s">
        <v>45</v>
      </c>
      <c r="R65" s="22" t="s">
        <v>45</v>
      </c>
      <c r="S65" s="22" t="s">
        <v>45</v>
      </c>
      <c r="T65" s="22" t="s">
        <v>2002</v>
      </c>
      <c r="U65" s="22" t="s">
        <v>45</v>
      </c>
      <c r="V65" s="22" t="s">
        <v>45</v>
      </c>
      <c r="W65" s="22" t="s">
        <v>5338</v>
      </c>
      <c r="X65" s="22" t="s">
        <v>3095</v>
      </c>
      <c r="Y65" s="22" t="s">
        <v>3095</v>
      </c>
      <c r="Z65" s="22" t="s">
        <v>3095</v>
      </c>
      <c r="AA65" s="22" t="s">
        <v>3095</v>
      </c>
      <c r="AB65" s="22" t="s">
        <v>3095</v>
      </c>
      <c r="AC65" s="22" t="s">
        <v>3095</v>
      </c>
      <c r="AD65" s="22" t="s">
        <v>3095</v>
      </c>
      <c r="AE65" s="22" t="s">
        <v>3095</v>
      </c>
      <c r="AF65" s="22" t="s">
        <v>3095</v>
      </c>
    </row>
    <row r="66" ht="45.0" customHeight="1">
      <c r="A66" s="55" t="s">
        <v>333</v>
      </c>
      <c r="B66" s="62" t="s">
        <v>3125</v>
      </c>
      <c r="C66" s="22" t="str">
        <f>IMAGE("https://raw.githubusercontent.com/ltdimages/images/refs/heads/main/ClothBottomsPantsLongHot_00.png")</f>
        <v/>
      </c>
      <c r="D66" s="22" t="str">
        <f>IMAGE("https://raw.githubusercontent.com/ltdimages/images/refs/heads/main/ClothBottomsPantsLongHot_01.png")</f>
        <v/>
      </c>
      <c r="E66" s="22" t="str">
        <f>IMAGE("https://raw.githubusercontent.com/ltdimages/images/refs/heads/main/ClothBottomsPantsLongHot_02.png")</f>
        <v/>
      </c>
      <c r="F66" s="22" t="str">
        <f>IMAGE("https://raw.githubusercontent.com/ltdimages/images/refs/heads/main/ClothBottomsPantsLongHot_03.png")</f>
        <v/>
      </c>
      <c r="G66" s="22" t="str">
        <f>IMAGE("https://raw.githubusercontent.com/ltdimages/images/refs/heads/main/ClothBottomsPantsLongHot_04.png")</f>
        <v/>
      </c>
      <c r="H66" s="22" t="str">
        <f>IMAGE("https://raw.githubusercontent.com/ltdimages/images/refs/heads/main/ClothBottomsPantsLongHot_05.png")</f>
        <v/>
      </c>
      <c r="I66" s="22" t="str">
        <f>IMAGE("https://raw.githubusercontent.com/ltdimages/images/refs/heads/main/ClothBottomsPantsLongHot_06.png")</f>
        <v/>
      </c>
      <c r="J66" s="22" t="str">
        <f>IMAGE("https://raw.githubusercontent.com/ltdimages/images/refs/heads/main/ClothBottomsPantsLongHot_07.png")</f>
        <v/>
      </c>
      <c r="K66" s="63" t="s">
        <v>4287</v>
      </c>
      <c r="L66" s="23">
        <v>8.0</v>
      </c>
      <c r="M66" s="22" t="s">
        <v>3097</v>
      </c>
      <c r="N66" s="22" t="s">
        <v>3099</v>
      </c>
      <c r="O66" s="22" t="s">
        <v>45</v>
      </c>
      <c r="P66" s="22" t="s">
        <v>45</v>
      </c>
      <c r="Q66" s="22" t="s">
        <v>45</v>
      </c>
      <c r="R66" s="22" t="s">
        <v>45</v>
      </c>
      <c r="S66" s="22" t="s">
        <v>45</v>
      </c>
      <c r="T66" s="22" t="s">
        <v>2002</v>
      </c>
      <c r="U66" s="22" t="s">
        <v>45</v>
      </c>
      <c r="V66" s="22" t="s">
        <v>45</v>
      </c>
      <c r="W66" s="22" t="s">
        <v>5339</v>
      </c>
      <c r="X66" s="22" t="s">
        <v>3095</v>
      </c>
      <c r="Y66" s="22" t="s">
        <v>3095</v>
      </c>
      <c r="Z66" s="22" t="s">
        <v>3095</v>
      </c>
      <c r="AA66" s="22" t="s">
        <v>3095</v>
      </c>
      <c r="AB66" s="22" t="s">
        <v>3095</v>
      </c>
      <c r="AC66" s="22" t="s">
        <v>3095</v>
      </c>
      <c r="AD66" s="22" t="s">
        <v>3095</v>
      </c>
      <c r="AE66" s="22" t="s">
        <v>3095</v>
      </c>
      <c r="AF66" s="22" t="s">
        <v>3095</v>
      </c>
    </row>
    <row r="67" ht="45.0" customHeight="1">
      <c r="A67" s="55" t="s">
        <v>337</v>
      </c>
      <c r="B67" s="62" t="s">
        <v>3984</v>
      </c>
      <c r="C67" s="22" t="str">
        <f>IMAGE("https://raw.githubusercontent.com/ltdimages/images/refs/heads/main/ClothBottomsPantsWideSki_00.png")</f>
        <v/>
      </c>
      <c r="D67" s="22" t="str">
        <f>IMAGE("https://raw.githubusercontent.com/ltdimages/images/refs/heads/main/ClothBottomsPantsWideSki_01.png")</f>
        <v/>
      </c>
      <c r="E67" s="22" t="str">
        <f>IMAGE("https://raw.githubusercontent.com/ltdimages/images/refs/heads/main/ClothBottomsPantsWideSki_02.png")</f>
        <v/>
      </c>
      <c r="F67" s="22" t="str">
        <f>IMAGE("https://raw.githubusercontent.com/ltdimages/images/refs/heads/main/ClothBottomsPantsWideSki_03.png")</f>
        <v/>
      </c>
      <c r="G67" s="22" t="str">
        <f>IMAGE("https://raw.githubusercontent.com/ltdimages/images/refs/heads/main/ClothBottomsPantsWideSki_04.png")</f>
        <v/>
      </c>
      <c r="H67" s="22" t="str">
        <f>IMAGE("https://raw.githubusercontent.com/ltdimages/images/refs/heads/main/ClothBottomsPantsWideSki_05.png")</f>
        <v/>
      </c>
      <c r="I67" s="22" t="s">
        <v>3095</v>
      </c>
      <c r="J67" s="22" t="s">
        <v>3095</v>
      </c>
      <c r="K67" s="63" t="s">
        <v>4287</v>
      </c>
      <c r="L67" s="23">
        <v>9.3</v>
      </c>
      <c r="M67" s="22" t="s">
        <v>3097</v>
      </c>
      <c r="N67" s="22" t="s">
        <v>3114</v>
      </c>
      <c r="O67" s="22" t="s">
        <v>45</v>
      </c>
      <c r="P67" s="22" t="s">
        <v>45</v>
      </c>
      <c r="Q67" s="22" t="s">
        <v>45</v>
      </c>
      <c r="R67" s="22" t="s">
        <v>45</v>
      </c>
      <c r="S67" s="22" t="s">
        <v>45</v>
      </c>
      <c r="T67" s="22" t="s">
        <v>2002</v>
      </c>
      <c r="U67" s="22" t="s">
        <v>45</v>
      </c>
      <c r="V67" s="22" t="s">
        <v>45</v>
      </c>
      <c r="W67" s="22" t="s">
        <v>5340</v>
      </c>
      <c r="X67" s="22" t="s">
        <v>3095</v>
      </c>
      <c r="Y67" s="22" t="s">
        <v>3095</v>
      </c>
      <c r="Z67" s="22" t="s">
        <v>3095</v>
      </c>
      <c r="AA67" s="22" t="s">
        <v>3095</v>
      </c>
      <c r="AB67" s="22" t="s">
        <v>3095</v>
      </c>
      <c r="AC67" s="22" t="s">
        <v>3095</v>
      </c>
      <c r="AD67" s="22" t="s">
        <v>3095</v>
      </c>
      <c r="AE67" s="22" t="s">
        <v>3095</v>
      </c>
      <c r="AF67" s="22" t="s">
        <v>3095</v>
      </c>
    </row>
    <row r="68" ht="45.0" customHeight="1">
      <c r="A68" s="55" t="s">
        <v>341</v>
      </c>
      <c r="B68" s="62" t="s">
        <v>3277</v>
      </c>
      <c r="C68" s="22" t="str">
        <f>IMAGE("https://raw.githubusercontent.com/ltdimages/images/refs/heads/main/ClothBottomsPantsLongSlacks_00.png")</f>
        <v/>
      </c>
      <c r="D68" s="22" t="str">
        <f>IMAGE("https://raw.githubusercontent.com/ltdimages/images/refs/heads/main/ClothBottomsPantsLongSlacks_01.png")</f>
        <v/>
      </c>
      <c r="E68" s="22" t="str">
        <f>IMAGE("https://raw.githubusercontent.com/ltdimages/images/refs/heads/main/ClothBottomsPantsLongSlacks_02.png")</f>
        <v/>
      </c>
      <c r="F68" s="22" t="str">
        <f>IMAGE("https://raw.githubusercontent.com/ltdimages/images/refs/heads/main/ClothBottomsPantsLongSlacks_03.png")</f>
        <v/>
      </c>
      <c r="G68" s="22" t="str">
        <f>IMAGE("https://raw.githubusercontent.com/ltdimages/images/refs/heads/main/ClothBottomsPantsLongSlacks_04.png")</f>
        <v/>
      </c>
      <c r="H68" s="22" t="str">
        <f>IMAGE("https://raw.githubusercontent.com/ltdimages/images/refs/heads/main/ClothBottomsPantsLongSlacks_05.png")</f>
        <v/>
      </c>
      <c r="I68" s="22" t="s">
        <v>3095</v>
      </c>
      <c r="J68" s="22" t="s">
        <v>3095</v>
      </c>
      <c r="K68" s="63" t="s">
        <v>4287</v>
      </c>
      <c r="L68" s="23">
        <v>8.0</v>
      </c>
      <c r="M68" s="22" t="s">
        <v>3097</v>
      </c>
      <c r="N68" s="22" t="s">
        <v>3099</v>
      </c>
      <c r="O68" s="22" t="s">
        <v>45</v>
      </c>
      <c r="P68" s="22" t="s">
        <v>45</v>
      </c>
      <c r="Q68" s="22" t="s">
        <v>45</v>
      </c>
      <c r="R68" s="22" t="s">
        <v>45</v>
      </c>
      <c r="S68" s="22" t="s">
        <v>45</v>
      </c>
      <c r="T68" s="22" t="s">
        <v>2002</v>
      </c>
      <c r="U68" s="22" t="s">
        <v>45</v>
      </c>
      <c r="V68" s="22" t="s">
        <v>45</v>
      </c>
      <c r="W68" s="22" t="s">
        <v>5341</v>
      </c>
      <c r="X68" s="22" t="s">
        <v>3095</v>
      </c>
      <c r="Y68" s="22" t="s">
        <v>3095</v>
      </c>
      <c r="Z68" s="22" t="s">
        <v>3095</v>
      </c>
      <c r="AA68" s="22" t="s">
        <v>3095</v>
      </c>
      <c r="AB68" s="22" t="s">
        <v>3095</v>
      </c>
      <c r="AC68" s="22" t="s">
        <v>3095</v>
      </c>
      <c r="AD68" s="22" t="s">
        <v>3095</v>
      </c>
      <c r="AE68" s="22" t="s">
        <v>3095</v>
      </c>
      <c r="AF68" s="22" t="s">
        <v>3095</v>
      </c>
    </row>
    <row r="69" ht="45.0" customHeight="1">
      <c r="A69" s="55" t="s">
        <v>345</v>
      </c>
      <c r="B69" s="62" t="s">
        <v>3996</v>
      </c>
      <c r="C69" s="22" t="str">
        <f>IMAGE("https://raw.githubusercontent.com/ltdimages/images/refs/heads/main/ClothBottomsPantsLongCyber_00.png")</f>
        <v/>
      </c>
      <c r="D69" s="22" t="str">
        <f>IMAGE("https://raw.githubusercontent.com/ltdimages/images/refs/heads/main/ClothBottomsPantsLongCyber_01.png")</f>
        <v/>
      </c>
      <c r="E69" s="22" t="str">
        <f>IMAGE("https://raw.githubusercontent.com/ltdimages/images/refs/heads/main/ClothBottomsPantsLongCyber_02.png")</f>
        <v/>
      </c>
      <c r="F69" s="22" t="str">
        <f>IMAGE("https://raw.githubusercontent.com/ltdimages/images/refs/heads/main/ClothBottomsPantsLongCyber_03.png")</f>
        <v/>
      </c>
      <c r="G69" s="22" t="str">
        <f>IMAGE("https://raw.githubusercontent.com/ltdimages/images/refs/heads/main/ClothBottomsPantsLongCyber_04.png")</f>
        <v/>
      </c>
      <c r="H69" s="22" t="str">
        <f>IMAGE("https://raw.githubusercontent.com/ltdimages/images/refs/heads/main/ClothBottomsPantsLongCyber_05.png")</f>
        <v/>
      </c>
      <c r="I69" s="22" t="s">
        <v>3095</v>
      </c>
      <c r="J69" s="22" t="s">
        <v>3095</v>
      </c>
      <c r="K69" s="63" t="s">
        <v>4287</v>
      </c>
      <c r="L69" s="23">
        <v>20.0</v>
      </c>
      <c r="M69" s="22" t="s">
        <v>3097</v>
      </c>
      <c r="N69" s="22" t="s">
        <v>3099</v>
      </c>
      <c r="O69" s="22" t="s">
        <v>45</v>
      </c>
      <c r="P69" s="22" t="s">
        <v>45</v>
      </c>
      <c r="Q69" s="22" t="s">
        <v>45</v>
      </c>
      <c r="R69" s="22" t="s">
        <v>45</v>
      </c>
      <c r="S69" s="22" t="s">
        <v>45</v>
      </c>
      <c r="T69" s="22" t="s">
        <v>2002</v>
      </c>
      <c r="U69" s="22" t="s">
        <v>45</v>
      </c>
      <c r="V69" s="22" t="s">
        <v>45</v>
      </c>
      <c r="W69" s="22" t="s">
        <v>5342</v>
      </c>
      <c r="X69" s="22" t="s">
        <v>3095</v>
      </c>
      <c r="Y69" s="22" t="s">
        <v>3095</v>
      </c>
      <c r="Z69" s="22" t="s">
        <v>3095</v>
      </c>
      <c r="AA69" s="22" t="s">
        <v>3095</v>
      </c>
      <c r="AB69" s="22" t="s">
        <v>3095</v>
      </c>
      <c r="AC69" s="22" t="s">
        <v>3095</v>
      </c>
      <c r="AD69" s="22" t="s">
        <v>3095</v>
      </c>
      <c r="AE69" s="22" t="s">
        <v>3095</v>
      </c>
      <c r="AF69" s="22" t="s">
        <v>3095</v>
      </c>
    </row>
    <row r="70" ht="45.0" customHeight="1">
      <c r="A70" s="55" t="s">
        <v>349</v>
      </c>
      <c r="B70" s="62" t="s">
        <v>3116</v>
      </c>
      <c r="C70" s="22" t="str">
        <f>IMAGE("https://raw.githubusercontent.com/ltdimages/images/refs/heads/main/ClothBottomsPantsWideSlit_00.png")</f>
        <v/>
      </c>
      <c r="D70" s="22" t="str">
        <f>IMAGE("https://raw.githubusercontent.com/ltdimages/images/refs/heads/main/ClothBottomsPantsWideSlit_01.png")</f>
        <v/>
      </c>
      <c r="E70" s="22" t="str">
        <f>IMAGE("https://raw.githubusercontent.com/ltdimages/images/refs/heads/main/ClothBottomsPantsWideSlit_02.png")</f>
        <v/>
      </c>
      <c r="F70" s="22" t="str">
        <f>IMAGE("https://raw.githubusercontent.com/ltdimages/images/refs/heads/main/ClothBottomsPantsWideSlit_03.png")</f>
        <v/>
      </c>
      <c r="G70" s="22" t="str">
        <f>IMAGE("https://raw.githubusercontent.com/ltdimages/images/refs/heads/main/ClothBottomsPantsWideSlit_04.png")</f>
        <v/>
      </c>
      <c r="H70" s="22" t="str">
        <f>IMAGE("https://raw.githubusercontent.com/ltdimages/images/refs/heads/main/ClothBottomsPantsWideSlit_05.png")</f>
        <v/>
      </c>
      <c r="I70" s="22" t="str">
        <f>IMAGE("https://raw.githubusercontent.com/ltdimages/images/refs/heads/main/ClothBottomsPantsWideSlit_06.png")</f>
        <v/>
      </c>
      <c r="J70" s="22" t="str">
        <f>IMAGE("https://raw.githubusercontent.com/ltdimages/images/refs/heads/main/ClothBottomsPantsWideSlit_07.png")</f>
        <v/>
      </c>
      <c r="K70" s="63" t="s">
        <v>4287</v>
      </c>
      <c r="L70" s="23">
        <v>12.5</v>
      </c>
      <c r="M70" s="22" t="s">
        <v>3097</v>
      </c>
      <c r="N70" s="22" t="s">
        <v>3099</v>
      </c>
      <c r="O70" s="22" t="s">
        <v>45</v>
      </c>
      <c r="P70" s="22" t="s">
        <v>45</v>
      </c>
      <c r="Q70" s="22" t="s">
        <v>45</v>
      </c>
      <c r="R70" s="22" t="s">
        <v>45</v>
      </c>
      <c r="S70" s="22" t="s">
        <v>45</v>
      </c>
      <c r="T70" s="22" t="s">
        <v>2002</v>
      </c>
      <c r="U70" s="22" t="s">
        <v>45</v>
      </c>
      <c r="V70" s="22" t="s">
        <v>45</v>
      </c>
      <c r="W70" s="22" t="s">
        <v>5343</v>
      </c>
      <c r="X70" s="22" t="s">
        <v>3095</v>
      </c>
      <c r="Y70" s="22" t="s">
        <v>3095</v>
      </c>
      <c r="Z70" s="22" t="s">
        <v>3095</v>
      </c>
      <c r="AA70" s="22" t="s">
        <v>3095</v>
      </c>
      <c r="AB70" s="22" t="s">
        <v>3095</v>
      </c>
      <c r="AC70" s="22" t="s">
        <v>3095</v>
      </c>
      <c r="AD70" s="22" t="s">
        <v>3095</v>
      </c>
      <c r="AE70" s="22" t="s">
        <v>3095</v>
      </c>
      <c r="AF70" s="22" t="s">
        <v>3095</v>
      </c>
    </row>
    <row r="71" ht="45.0" customHeight="1">
      <c r="A71" s="55" t="s">
        <v>354</v>
      </c>
      <c r="B71" s="62" t="s">
        <v>4020</v>
      </c>
      <c r="C71" s="22" t="str">
        <f>IMAGE("https://raw.githubusercontent.com/ltdimages/images/refs/heads/main/ClothBottomsPantsWideSoccor_00.png")</f>
        <v/>
      </c>
      <c r="D71" s="22" t="str">
        <f>IMAGE("https://raw.githubusercontent.com/ltdimages/images/refs/heads/main/ClothBottomsPantsWideSoccor_01.png")</f>
        <v/>
      </c>
      <c r="E71" s="22" t="str">
        <f>IMAGE("https://raw.githubusercontent.com/ltdimages/images/refs/heads/main/ClothBottomsPantsWideSoccor_02.png")</f>
        <v/>
      </c>
      <c r="F71" s="22" t="str">
        <f>IMAGE("https://raw.githubusercontent.com/ltdimages/images/refs/heads/main/ClothBottomsPantsWideSoccor_03.png")</f>
        <v/>
      </c>
      <c r="G71" s="22" t="str">
        <f>IMAGE("https://raw.githubusercontent.com/ltdimages/images/refs/heads/main/ClothBottomsPantsWideSoccor_04.png")</f>
        <v/>
      </c>
      <c r="H71" s="22" t="str">
        <f>IMAGE("https://raw.githubusercontent.com/ltdimages/images/refs/heads/main/ClothBottomsPantsWideSoccor_05.png")</f>
        <v/>
      </c>
      <c r="I71" s="22" t="str">
        <f>IMAGE("https://raw.githubusercontent.com/ltdimages/images/refs/heads/main/ClothBottomsPantsWideSoccor_06.png")</f>
        <v/>
      </c>
      <c r="J71" s="22" t="str">
        <f>IMAGE("https://raw.githubusercontent.com/ltdimages/images/refs/heads/main/ClothBottomsPantsWideSoccor_07.png")</f>
        <v/>
      </c>
      <c r="K71" s="63" t="s">
        <v>4287</v>
      </c>
      <c r="L71" s="23">
        <v>9.2</v>
      </c>
      <c r="M71" s="22" t="s">
        <v>3097</v>
      </c>
      <c r="N71" s="22" t="s">
        <v>3099</v>
      </c>
      <c r="O71" s="22" t="s">
        <v>45</v>
      </c>
      <c r="P71" s="22" t="s">
        <v>45</v>
      </c>
      <c r="Q71" s="22" t="s">
        <v>45</v>
      </c>
      <c r="R71" s="22" t="s">
        <v>45</v>
      </c>
      <c r="S71" s="22" t="s">
        <v>45</v>
      </c>
      <c r="T71" s="22" t="s">
        <v>2002</v>
      </c>
      <c r="U71" s="22" t="s">
        <v>45</v>
      </c>
      <c r="V71" s="22" t="s">
        <v>45</v>
      </c>
      <c r="W71" s="22" t="s">
        <v>5344</v>
      </c>
      <c r="X71" s="22" t="s">
        <v>3095</v>
      </c>
      <c r="Y71" s="22" t="s">
        <v>3095</v>
      </c>
      <c r="Z71" s="22" t="s">
        <v>3095</v>
      </c>
      <c r="AA71" s="22" t="s">
        <v>3095</v>
      </c>
      <c r="AB71" s="22" t="s">
        <v>3095</v>
      </c>
      <c r="AC71" s="22" t="s">
        <v>3095</v>
      </c>
      <c r="AD71" s="22" t="s">
        <v>3095</v>
      </c>
      <c r="AE71" s="22" t="s">
        <v>3095</v>
      </c>
      <c r="AF71" s="22" t="s">
        <v>3095</v>
      </c>
    </row>
    <row r="72" ht="45.0" customHeight="1">
      <c r="A72" s="55" t="s">
        <v>358</v>
      </c>
      <c r="B72" s="62" t="s">
        <v>3381</v>
      </c>
      <c r="C72" s="22" t="str">
        <f>IMAGE("https://raw.githubusercontent.com/ltdimages/images/refs/heads/main/ClothBottomsPantsWideSpace_00.png")</f>
        <v/>
      </c>
      <c r="D72" s="22" t="str">
        <f>IMAGE("https://raw.githubusercontent.com/ltdimages/images/refs/heads/main/ClothBottomsPantsWideSpace_01.png")</f>
        <v/>
      </c>
      <c r="E72" s="22" t="str">
        <f>IMAGE("https://raw.githubusercontent.com/ltdimages/images/refs/heads/main/ClothBottomsPantsWideSpace_02.png")</f>
        <v/>
      </c>
      <c r="F72" s="22" t="str">
        <f>IMAGE("https://raw.githubusercontent.com/ltdimages/images/refs/heads/main/ClothBottomsPantsWideSpace_03.png")</f>
        <v/>
      </c>
      <c r="G72" s="22" t="str">
        <f>IMAGE("https://raw.githubusercontent.com/ltdimages/images/refs/heads/main/ClothBottomsPantsWideSpace_04.png")</f>
        <v/>
      </c>
      <c r="H72" s="22" t="str">
        <f>IMAGE("https://raw.githubusercontent.com/ltdimages/images/refs/heads/main/ClothBottomsPantsWideSpace_05.png")</f>
        <v/>
      </c>
      <c r="I72" s="22" t="s">
        <v>3095</v>
      </c>
      <c r="J72" s="22" t="s">
        <v>3095</v>
      </c>
      <c r="K72" s="63" t="s">
        <v>4287</v>
      </c>
      <c r="L72" s="23">
        <v>15.0</v>
      </c>
      <c r="M72" s="22" t="s">
        <v>3097</v>
      </c>
      <c r="N72" s="22" t="s">
        <v>3099</v>
      </c>
      <c r="O72" s="22" t="s">
        <v>45</v>
      </c>
      <c r="P72" s="22" t="s">
        <v>45</v>
      </c>
      <c r="Q72" s="22" t="s">
        <v>45</v>
      </c>
      <c r="R72" s="22" t="s">
        <v>45</v>
      </c>
      <c r="S72" s="22" t="s">
        <v>45</v>
      </c>
      <c r="T72" s="22" t="s">
        <v>2002</v>
      </c>
      <c r="U72" s="22" t="s">
        <v>45</v>
      </c>
      <c r="V72" s="22" t="s">
        <v>45</v>
      </c>
      <c r="W72" s="22" t="s">
        <v>5345</v>
      </c>
      <c r="X72" s="22" t="s">
        <v>3095</v>
      </c>
      <c r="Y72" s="22" t="s">
        <v>3095</v>
      </c>
      <c r="Z72" s="22" t="s">
        <v>3095</v>
      </c>
      <c r="AA72" s="22" t="s">
        <v>3095</v>
      </c>
      <c r="AB72" s="22" t="s">
        <v>3095</v>
      </c>
      <c r="AC72" s="22" t="s">
        <v>3095</v>
      </c>
      <c r="AD72" s="22" t="s">
        <v>3095</v>
      </c>
      <c r="AE72" s="22" t="s">
        <v>3095</v>
      </c>
      <c r="AF72" s="22" t="s">
        <v>3095</v>
      </c>
    </row>
    <row r="73" ht="45.0" customHeight="1">
      <c r="A73" s="55" t="s">
        <v>362</v>
      </c>
      <c r="B73" s="62" t="s">
        <v>5346</v>
      </c>
      <c r="C73" s="22" t="str">
        <f>IMAGE("https://raw.githubusercontent.com/ltdimages/images/refs/heads/main/ClothBottomsSkirtMiniStraw_00.png")</f>
        <v/>
      </c>
      <c r="D73" s="22" t="str">
        <f>IMAGE("https://raw.githubusercontent.com/ltdimages/images/refs/heads/main/ClothBottomsSkirtMiniStraw_01.png")</f>
        <v/>
      </c>
      <c r="E73" s="22" t="s">
        <v>3095</v>
      </c>
      <c r="F73" s="22" t="s">
        <v>3095</v>
      </c>
      <c r="G73" s="22" t="s">
        <v>3095</v>
      </c>
      <c r="H73" s="22" t="s">
        <v>3095</v>
      </c>
      <c r="I73" s="22" t="s">
        <v>3095</v>
      </c>
      <c r="J73" s="22" t="s">
        <v>3095</v>
      </c>
      <c r="K73" s="63" t="s">
        <v>4287</v>
      </c>
      <c r="L73" s="23">
        <v>5.0</v>
      </c>
      <c r="M73" s="22" t="s">
        <v>3097</v>
      </c>
      <c r="N73" s="22" t="s">
        <v>3123</v>
      </c>
      <c r="O73" s="22" t="s">
        <v>45</v>
      </c>
      <c r="P73" s="22" t="s">
        <v>45</v>
      </c>
      <c r="Q73" s="22" t="s">
        <v>45</v>
      </c>
      <c r="R73" s="22" t="s">
        <v>49</v>
      </c>
      <c r="S73" s="22" t="s">
        <v>45</v>
      </c>
      <c r="T73" s="22" t="s">
        <v>2002</v>
      </c>
      <c r="U73" s="22" t="s">
        <v>45</v>
      </c>
      <c r="V73" s="22" t="s">
        <v>45</v>
      </c>
      <c r="W73" s="22" t="s">
        <v>5347</v>
      </c>
      <c r="X73" s="22" t="s">
        <v>3095</v>
      </c>
      <c r="Y73" s="22" t="s">
        <v>3095</v>
      </c>
      <c r="Z73" s="22" t="s">
        <v>3095</v>
      </c>
      <c r="AA73" s="22" t="s">
        <v>3095</v>
      </c>
      <c r="AB73" s="22" t="s">
        <v>3095</v>
      </c>
      <c r="AC73" s="22" t="s">
        <v>3095</v>
      </c>
      <c r="AD73" s="22" t="s">
        <v>3095</v>
      </c>
      <c r="AE73" s="22" t="s">
        <v>3095</v>
      </c>
      <c r="AF73" s="22" t="s">
        <v>3095</v>
      </c>
    </row>
    <row r="74" ht="45.0" customHeight="1">
      <c r="A74" s="55" t="s">
        <v>367</v>
      </c>
      <c r="B74" s="62" t="s">
        <v>4430</v>
      </c>
      <c r="C74" s="22" t="str">
        <f>IMAGE("https://raw.githubusercontent.com/ltdimages/images/refs/heads/main/ClothBottomsPantsLongRoomWear_00.png")</f>
        <v/>
      </c>
      <c r="D74" s="22" t="str">
        <f>IMAGE("https://raw.githubusercontent.com/ltdimages/images/refs/heads/main/ClothBottomsPantsLongRoomWear_01.png")</f>
        <v/>
      </c>
      <c r="E74" s="22" t="str">
        <f>IMAGE("https://raw.githubusercontent.com/ltdimages/images/refs/heads/main/ClothBottomsPantsLongRoomWear_02.png")</f>
        <v/>
      </c>
      <c r="F74" s="22" t="str">
        <f>IMAGE("https://raw.githubusercontent.com/ltdimages/images/refs/heads/main/ClothBottomsPantsLongRoomWear_03.png")</f>
        <v/>
      </c>
      <c r="G74" s="22" t="str">
        <f>IMAGE("https://raw.githubusercontent.com/ltdimages/images/refs/heads/main/ClothBottomsPantsLongRoomWear_04.png")</f>
        <v/>
      </c>
      <c r="H74" s="22" t="str">
        <f>IMAGE("https://raw.githubusercontent.com/ltdimages/images/refs/heads/main/ClothBottomsPantsLongRoomWear_05.png")</f>
        <v/>
      </c>
      <c r="I74" s="22" t="s">
        <v>3095</v>
      </c>
      <c r="J74" s="22" t="s">
        <v>3095</v>
      </c>
      <c r="K74" s="63" t="s">
        <v>4287</v>
      </c>
      <c r="L74" s="23">
        <v>8.4</v>
      </c>
      <c r="M74" s="22" t="s">
        <v>3097</v>
      </c>
      <c r="N74" s="22" t="s">
        <v>3099</v>
      </c>
      <c r="O74" s="22" t="s">
        <v>45</v>
      </c>
      <c r="P74" s="22" t="s">
        <v>45</v>
      </c>
      <c r="Q74" s="22" t="s">
        <v>45</v>
      </c>
      <c r="R74" s="22" t="s">
        <v>45</v>
      </c>
      <c r="S74" s="22" t="s">
        <v>45</v>
      </c>
      <c r="T74" s="22" t="s">
        <v>2002</v>
      </c>
      <c r="U74" s="22" t="s">
        <v>45</v>
      </c>
      <c r="V74" s="22" t="s">
        <v>45</v>
      </c>
      <c r="W74" s="22" t="s">
        <v>5348</v>
      </c>
      <c r="X74" s="22" t="s">
        <v>3095</v>
      </c>
      <c r="Y74" s="22" t="s">
        <v>3095</v>
      </c>
      <c r="Z74" s="22" t="s">
        <v>3095</v>
      </c>
      <c r="AA74" s="22" t="s">
        <v>3095</v>
      </c>
      <c r="AB74" s="22" t="s">
        <v>3095</v>
      </c>
      <c r="AC74" s="22" t="s">
        <v>3095</v>
      </c>
      <c r="AD74" s="22" t="s">
        <v>3095</v>
      </c>
      <c r="AE74" s="22" t="s">
        <v>3095</v>
      </c>
      <c r="AF74" s="22" t="s">
        <v>3095</v>
      </c>
    </row>
    <row r="75" ht="45.0" customHeight="1">
      <c r="A75" s="55" t="s">
        <v>371</v>
      </c>
      <c r="B75" s="62" t="s">
        <v>4006</v>
      </c>
      <c r="C75" s="22" t="str">
        <f>IMAGE("https://raw.githubusercontent.com/ltdimages/images/refs/heads/main/ClothBottomsPantsLongStripe_00.png")</f>
        <v/>
      </c>
      <c r="D75" s="22" t="str">
        <f>IMAGE("https://raw.githubusercontent.com/ltdimages/images/refs/heads/main/ClothBottomsPantsLongStripe_01.png")</f>
        <v/>
      </c>
      <c r="E75" s="22" t="str">
        <f>IMAGE("https://raw.githubusercontent.com/ltdimages/images/refs/heads/main/ClothBottomsPantsLongStripe_02.png")</f>
        <v/>
      </c>
      <c r="F75" s="22" t="str">
        <f>IMAGE("https://raw.githubusercontent.com/ltdimages/images/refs/heads/main/ClothBottomsPantsLongStripe_03.png")</f>
        <v/>
      </c>
      <c r="G75" s="22" t="str">
        <f>IMAGE("https://raw.githubusercontent.com/ltdimages/images/refs/heads/main/ClothBottomsPantsLongStripe_04.png")</f>
        <v/>
      </c>
      <c r="H75" s="22" t="s">
        <v>3095</v>
      </c>
      <c r="I75" s="22" t="s">
        <v>3095</v>
      </c>
      <c r="J75" s="22" t="s">
        <v>3095</v>
      </c>
      <c r="K75" s="63" t="s">
        <v>4287</v>
      </c>
      <c r="L75" s="23">
        <v>8.3</v>
      </c>
      <c r="M75" s="22" t="s">
        <v>3097</v>
      </c>
      <c r="N75" s="22" t="s">
        <v>3099</v>
      </c>
      <c r="O75" s="22" t="s">
        <v>45</v>
      </c>
      <c r="P75" s="22" t="s">
        <v>45</v>
      </c>
      <c r="Q75" s="22" t="s">
        <v>45</v>
      </c>
      <c r="R75" s="22" t="s">
        <v>45</v>
      </c>
      <c r="S75" s="22" t="s">
        <v>45</v>
      </c>
      <c r="T75" s="22" t="s">
        <v>2002</v>
      </c>
      <c r="U75" s="22" t="s">
        <v>45</v>
      </c>
      <c r="V75" s="22" t="s">
        <v>45</v>
      </c>
      <c r="W75" s="22" t="s">
        <v>5349</v>
      </c>
      <c r="X75" s="22" t="s">
        <v>3095</v>
      </c>
      <c r="Y75" s="22" t="s">
        <v>3095</v>
      </c>
      <c r="Z75" s="22" t="s">
        <v>3095</v>
      </c>
      <c r="AA75" s="22" t="s">
        <v>3095</v>
      </c>
      <c r="AB75" s="22" t="s">
        <v>3095</v>
      </c>
      <c r="AC75" s="22" t="s">
        <v>3095</v>
      </c>
      <c r="AD75" s="22" t="s">
        <v>3095</v>
      </c>
      <c r="AE75" s="22" t="s">
        <v>3095</v>
      </c>
      <c r="AF75" s="22" t="s">
        <v>3095</v>
      </c>
    </row>
    <row r="76" ht="45.0" customHeight="1">
      <c r="A76" s="55" t="s">
        <v>375</v>
      </c>
      <c r="B76" s="62" t="s">
        <v>3548</v>
      </c>
      <c r="C76" s="22" t="str">
        <f>IMAGE("https://raw.githubusercontent.com/ltdimages/images/refs/heads/main/ClothBottomsPantsLongSuede_00.png")</f>
        <v/>
      </c>
      <c r="D76" s="22" t="str">
        <f>IMAGE("https://raw.githubusercontent.com/ltdimages/images/refs/heads/main/ClothBottomsPantsLongSuede_01.png")</f>
        <v/>
      </c>
      <c r="E76" s="22" t="str">
        <f>IMAGE("https://raw.githubusercontent.com/ltdimages/images/refs/heads/main/ClothBottomsPantsLongSuede_02.png")</f>
        <v/>
      </c>
      <c r="F76" s="22" t="str">
        <f>IMAGE("https://raw.githubusercontent.com/ltdimages/images/refs/heads/main/ClothBottomsPantsLongSuede_03.png")</f>
        <v/>
      </c>
      <c r="G76" s="22" t="str">
        <f>IMAGE("https://raw.githubusercontent.com/ltdimages/images/refs/heads/main/ClothBottomsPantsLongSuede_04.png")</f>
        <v/>
      </c>
      <c r="H76" s="22" t="str">
        <f>IMAGE("https://raw.githubusercontent.com/ltdimages/images/refs/heads/main/ClothBottomsPantsLongSuede_05.png")</f>
        <v/>
      </c>
      <c r="I76" s="22" t="s">
        <v>3095</v>
      </c>
      <c r="J76" s="22" t="s">
        <v>3095</v>
      </c>
      <c r="K76" s="63" t="s">
        <v>4287</v>
      </c>
      <c r="L76" s="23">
        <v>14.0</v>
      </c>
      <c r="M76" s="22" t="s">
        <v>3097</v>
      </c>
      <c r="N76" s="22" t="s">
        <v>3114</v>
      </c>
      <c r="O76" s="22" t="s">
        <v>45</v>
      </c>
      <c r="P76" s="22" t="s">
        <v>45</v>
      </c>
      <c r="Q76" s="22" t="s">
        <v>45</v>
      </c>
      <c r="R76" s="22" t="s">
        <v>45</v>
      </c>
      <c r="S76" s="22" t="s">
        <v>45</v>
      </c>
      <c r="T76" s="22" t="s">
        <v>2002</v>
      </c>
      <c r="U76" s="22" t="s">
        <v>45</v>
      </c>
      <c r="V76" s="22" t="s">
        <v>45</v>
      </c>
      <c r="W76" s="22" t="s">
        <v>5350</v>
      </c>
      <c r="X76" s="22" t="s">
        <v>3095</v>
      </c>
      <c r="Y76" s="22" t="s">
        <v>3095</v>
      </c>
      <c r="Z76" s="22" t="s">
        <v>3095</v>
      </c>
      <c r="AA76" s="22" t="s">
        <v>3095</v>
      </c>
      <c r="AB76" s="22" t="s">
        <v>3095</v>
      </c>
      <c r="AC76" s="22" t="s">
        <v>3095</v>
      </c>
      <c r="AD76" s="22" t="s">
        <v>3095</v>
      </c>
      <c r="AE76" s="22" t="s">
        <v>3095</v>
      </c>
      <c r="AF76" s="22" t="s">
        <v>3095</v>
      </c>
    </row>
    <row r="77" ht="45.0" customHeight="1">
      <c r="A77" s="55" t="s">
        <v>380</v>
      </c>
      <c r="B77" s="62" t="s">
        <v>3359</v>
      </c>
      <c r="C77" s="22" t="str">
        <f>IMAGE("https://raw.githubusercontent.com/ltdimages/images/refs/heads/main/ClothBottomsPantsLongSweatPants_00.png")</f>
        <v/>
      </c>
      <c r="D77" s="22" t="str">
        <f>IMAGE("https://raw.githubusercontent.com/ltdimages/images/refs/heads/main/ClothBottomsPantsLongSweatPants_01.png")</f>
        <v/>
      </c>
      <c r="E77" s="22" t="str">
        <f>IMAGE("https://raw.githubusercontent.com/ltdimages/images/refs/heads/main/ClothBottomsPantsLongSweatPants_02.png")</f>
        <v/>
      </c>
      <c r="F77" s="22" t="str">
        <f>IMAGE("https://raw.githubusercontent.com/ltdimages/images/refs/heads/main/ClothBottomsPantsLongSweatPants_03.png")</f>
        <v/>
      </c>
      <c r="G77" s="22" t="str">
        <f>IMAGE("https://raw.githubusercontent.com/ltdimages/images/refs/heads/main/ClothBottomsPantsLongSweatPants_04.png")</f>
        <v/>
      </c>
      <c r="H77" s="22" t="str">
        <f>IMAGE("https://raw.githubusercontent.com/ltdimages/images/refs/heads/main/ClothBottomsPantsLongSweatPants_05.png")</f>
        <v/>
      </c>
      <c r="I77" s="22" t="str">
        <f>IMAGE("https://raw.githubusercontent.com/ltdimages/images/refs/heads/main/ClothBottomsPantsLongSweatPants_06.png")</f>
        <v/>
      </c>
      <c r="J77" s="22" t="str">
        <f>IMAGE("https://raw.githubusercontent.com/ltdimages/images/refs/heads/main/ClothBottomsPantsLongSweatPants_07.png")</f>
        <v/>
      </c>
      <c r="K77" s="63" t="s">
        <v>4287</v>
      </c>
      <c r="L77" s="23">
        <v>8.2</v>
      </c>
      <c r="M77" s="22" t="s">
        <v>3097</v>
      </c>
      <c r="N77" s="22" t="s">
        <v>3099</v>
      </c>
      <c r="O77" s="22" t="s">
        <v>45</v>
      </c>
      <c r="P77" s="22" t="s">
        <v>45</v>
      </c>
      <c r="Q77" s="22" t="s">
        <v>45</v>
      </c>
      <c r="R77" s="22" t="s">
        <v>45</v>
      </c>
      <c r="S77" s="22" t="s">
        <v>45</v>
      </c>
      <c r="T77" s="22" t="s">
        <v>2002</v>
      </c>
      <c r="U77" s="22" t="s">
        <v>45</v>
      </c>
      <c r="V77" s="22" t="s">
        <v>45</v>
      </c>
      <c r="W77" s="22" t="s">
        <v>5351</v>
      </c>
      <c r="X77" s="22" t="s">
        <v>3095</v>
      </c>
      <c r="Y77" s="22" t="s">
        <v>3095</v>
      </c>
      <c r="Z77" s="22" t="s">
        <v>3095</v>
      </c>
      <c r="AA77" s="22" t="s">
        <v>3095</v>
      </c>
      <c r="AB77" s="22" t="s">
        <v>3095</v>
      </c>
      <c r="AC77" s="22" t="s">
        <v>3095</v>
      </c>
      <c r="AD77" s="22" t="s">
        <v>3095</v>
      </c>
      <c r="AE77" s="22" t="s">
        <v>3095</v>
      </c>
      <c r="AF77" s="22" t="s">
        <v>3095</v>
      </c>
    </row>
    <row r="78" ht="45.0" customHeight="1">
      <c r="A78" s="55" t="s">
        <v>384</v>
      </c>
      <c r="B78" s="62" t="s">
        <v>4094</v>
      </c>
      <c r="C78" s="22" t="str">
        <f>IMAGE("https://raw.githubusercontent.com/ltdimages/images/refs/heads/main/ClothBottomsSwim_00.png")</f>
        <v/>
      </c>
      <c r="D78" s="22" t="str">
        <f>IMAGE("https://raw.githubusercontent.com/ltdimages/images/refs/heads/main/ClothBottomsSwim_01.png")</f>
        <v/>
      </c>
      <c r="E78" s="22" t="str">
        <f>IMAGE("https://raw.githubusercontent.com/ltdimages/images/refs/heads/main/ClothBottomsSwim_02.png")</f>
        <v/>
      </c>
      <c r="F78" s="22" t="str">
        <f>IMAGE("https://raw.githubusercontent.com/ltdimages/images/refs/heads/main/ClothBottomsSwim_03.png")</f>
        <v/>
      </c>
      <c r="G78" s="22" t="str">
        <f>IMAGE("https://raw.githubusercontent.com/ltdimages/images/refs/heads/main/ClothBottomsSwim_04.png")</f>
        <v/>
      </c>
      <c r="H78" s="22" t="str">
        <f>IMAGE("https://raw.githubusercontent.com/ltdimages/images/refs/heads/main/ClothBottomsSwim_05.png")</f>
        <v/>
      </c>
      <c r="I78" s="22" t="str">
        <f>IMAGE("https://raw.githubusercontent.com/ltdimages/images/refs/heads/main/ClothBottomsSwim_06.png")</f>
        <v/>
      </c>
      <c r="J78" s="22" t="str">
        <f>IMAGE("https://raw.githubusercontent.com/ltdimages/images/refs/heads/main/ClothBottomsSwim_07.png")</f>
        <v/>
      </c>
      <c r="K78" s="63" t="s">
        <v>4287</v>
      </c>
      <c r="L78" s="23">
        <v>8.0</v>
      </c>
      <c r="M78" s="22" t="s">
        <v>3097</v>
      </c>
      <c r="N78" s="22" t="s">
        <v>3123</v>
      </c>
      <c r="O78" s="22" t="s">
        <v>45</v>
      </c>
      <c r="P78" s="22" t="s">
        <v>45</v>
      </c>
      <c r="Q78" s="22" t="s">
        <v>49</v>
      </c>
      <c r="R78" s="22" t="s">
        <v>45</v>
      </c>
      <c r="S78" s="22" t="s">
        <v>45</v>
      </c>
      <c r="T78" s="22" t="s">
        <v>2002</v>
      </c>
      <c r="U78" s="22" t="s">
        <v>45</v>
      </c>
      <c r="V78" s="22" t="s">
        <v>45</v>
      </c>
      <c r="W78" s="22" t="s">
        <v>5352</v>
      </c>
      <c r="X78" s="22" t="s">
        <v>3095</v>
      </c>
      <c r="Y78" s="22" t="s">
        <v>3095</v>
      </c>
      <c r="Z78" s="22" t="s">
        <v>3095</v>
      </c>
      <c r="AA78" s="22" t="s">
        <v>3095</v>
      </c>
      <c r="AB78" s="22" t="s">
        <v>3095</v>
      </c>
      <c r="AC78" s="22" t="s">
        <v>3095</v>
      </c>
      <c r="AD78" s="22" t="s">
        <v>3095</v>
      </c>
      <c r="AE78" s="22" t="s">
        <v>3095</v>
      </c>
      <c r="AF78" s="22" t="s">
        <v>3095</v>
      </c>
    </row>
    <row r="79" ht="45.0" customHeight="1">
      <c r="A79" s="55" t="s">
        <v>388</v>
      </c>
      <c r="B79" s="62" t="s">
        <v>4136</v>
      </c>
      <c r="C79" s="22" t="str">
        <f>IMAGE("https://raw.githubusercontent.com/ltdimages/images/refs/heads/main/ClothBottomsPantsLongJersey_00.png")</f>
        <v/>
      </c>
      <c r="D79" s="22" t="str">
        <f>IMAGE("https://raw.githubusercontent.com/ltdimages/images/refs/heads/main/ClothBottomsPantsLongJersey_01.png")</f>
        <v/>
      </c>
      <c r="E79" s="22" t="str">
        <f>IMAGE("https://raw.githubusercontent.com/ltdimages/images/refs/heads/main/ClothBottomsPantsLongJersey_02.png")</f>
        <v/>
      </c>
      <c r="F79" s="22" t="str">
        <f>IMAGE("https://raw.githubusercontent.com/ltdimages/images/refs/heads/main/ClothBottomsPantsLongJersey_03.png")</f>
        <v/>
      </c>
      <c r="G79" s="22" t="str">
        <f>IMAGE("https://raw.githubusercontent.com/ltdimages/images/refs/heads/main/ClothBottomsPantsLongJersey_04.png")</f>
        <v/>
      </c>
      <c r="H79" s="22" t="str">
        <f>IMAGE("https://raw.githubusercontent.com/ltdimages/images/refs/heads/main/ClothBottomsPantsLongJersey_05.png")</f>
        <v/>
      </c>
      <c r="I79" s="22" t="str">
        <f>IMAGE("https://raw.githubusercontent.com/ltdimages/images/refs/heads/main/ClothBottomsPantsLongJersey_06.png")</f>
        <v/>
      </c>
      <c r="J79" s="22" t="str">
        <f>IMAGE("https://raw.githubusercontent.com/ltdimages/images/refs/heads/main/ClothBottomsPantsLongJersey_07.png")</f>
        <v/>
      </c>
      <c r="K79" s="63" t="s">
        <v>4287</v>
      </c>
      <c r="L79" s="23">
        <v>9.0</v>
      </c>
      <c r="M79" s="22" t="s">
        <v>3097</v>
      </c>
      <c r="N79" s="22" t="s">
        <v>3099</v>
      </c>
      <c r="O79" s="22" t="s">
        <v>45</v>
      </c>
      <c r="P79" s="22" t="s">
        <v>45</v>
      </c>
      <c r="Q79" s="22" t="s">
        <v>45</v>
      </c>
      <c r="R79" s="22" t="s">
        <v>45</v>
      </c>
      <c r="S79" s="22" t="s">
        <v>45</v>
      </c>
      <c r="T79" s="22" t="s">
        <v>2002</v>
      </c>
      <c r="U79" s="22" t="s">
        <v>45</v>
      </c>
      <c r="V79" s="22" t="s">
        <v>45</v>
      </c>
      <c r="W79" s="22" t="s">
        <v>5353</v>
      </c>
      <c r="X79" s="22" t="s">
        <v>3095</v>
      </c>
      <c r="Y79" s="22" t="s">
        <v>3095</v>
      </c>
      <c r="Z79" s="22" t="s">
        <v>3095</v>
      </c>
      <c r="AA79" s="22" t="s">
        <v>3095</v>
      </c>
      <c r="AB79" s="22" t="s">
        <v>3095</v>
      </c>
      <c r="AC79" s="22" t="s">
        <v>3095</v>
      </c>
      <c r="AD79" s="22" t="s">
        <v>3095</v>
      </c>
      <c r="AE79" s="22" t="s">
        <v>3095</v>
      </c>
      <c r="AF79" s="22" t="s">
        <v>3095</v>
      </c>
    </row>
    <row r="80" ht="45.0" customHeight="1">
      <c r="A80" s="55" t="s">
        <v>392</v>
      </c>
      <c r="B80" s="62" t="s">
        <v>3444</v>
      </c>
      <c r="C80" s="22" t="str">
        <f>IMAGE("https://raw.githubusercontent.com/ltdimages/images/refs/heads/main/ClothBottomsPantsWideJerseyHalf_00.png")</f>
        <v/>
      </c>
      <c r="D80" s="22" t="str">
        <f>IMAGE("https://raw.githubusercontent.com/ltdimages/images/refs/heads/main/ClothBottomsPantsWideJerseyHalf_01.png")</f>
        <v/>
      </c>
      <c r="E80" s="22" t="str">
        <f>IMAGE("https://raw.githubusercontent.com/ltdimages/images/refs/heads/main/ClothBottomsPantsWideJerseyHalf_02.png")</f>
        <v/>
      </c>
      <c r="F80" s="22" t="str">
        <f>IMAGE("https://raw.githubusercontent.com/ltdimages/images/refs/heads/main/ClothBottomsPantsWideJerseyHalf_03.png")</f>
        <v/>
      </c>
      <c r="G80" s="22" t="str">
        <f>IMAGE("https://raw.githubusercontent.com/ltdimages/images/refs/heads/main/ClothBottomsPantsWideJerseyHalf_04.png")</f>
        <v/>
      </c>
      <c r="H80" s="22" t="str">
        <f>IMAGE("https://raw.githubusercontent.com/ltdimages/images/refs/heads/main/ClothBottomsPantsWideJerseyHalf_05.png")</f>
        <v/>
      </c>
      <c r="I80" s="22" t="str">
        <f>IMAGE("https://raw.githubusercontent.com/ltdimages/images/refs/heads/main/ClothBottomsPantsWideJerseyHalf_06.png")</f>
        <v/>
      </c>
      <c r="J80" s="22" t="str">
        <f>IMAGE("https://raw.githubusercontent.com/ltdimages/images/refs/heads/main/ClothBottomsPantsWideJerseyHalf_07.png")</f>
        <v/>
      </c>
      <c r="K80" s="63" t="s">
        <v>4287</v>
      </c>
      <c r="L80" s="23">
        <v>8.1</v>
      </c>
      <c r="M80" s="22" t="s">
        <v>3097</v>
      </c>
      <c r="N80" s="22" t="s">
        <v>3099</v>
      </c>
      <c r="O80" s="22" t="s">
        <v>45</v>
      </c>
      <c r="P80" s="22" t="s">
        <v>45</v>
      </c>
      <c r="Q80" s="22" t="s">
        <v>45</v>
      </c>
      <c r="R80" s="22" t="s">
        <v>45</v>
      </c>
      <c r="S80" s="22" t="s">
        <v>45</v>
      </c>
      <c r="T80" s="22" t="s">
        <v>2002</v>
      </c>
      <c r="U80" s="22" t="s">
        <v>45</v>
      </c>
      <c r="V80" s="22" t="s">
        <v>45</v>
      </c>
      <c r="W80" s="22" t="s">
        <v>5354</v>
      </c>
      <c r="X80" s="22" t="s">
        <v>3095</v>
      </c>
      <c r="Y80" s="22" t="s">
        <v>3095</v>
      </c>
      <c r="Z80" s="22" t="s">
        <v>3095</v>
      </c>
      <c r="AA80" s="22" t="s">
        <v>3095</v>
      </c>
      <c r="AB80" s="22" t="s">
        <v>3095</v>
      </c>
      <c r="AC80" s="22" t="s">
        <v>3095</v>
      </c>
      <c r="AD80" s="22" t="s">
        <v>3095</v>
      </c>
      <c r="AE80" s="22" t="s">
        <v>3095</v>
      </c>
      <c r="AF80" s="22" t="s">
        <v>3095</v>
      </c>
    </row>
    <row r="81" ht="45.0" customHeight="1">
      <c r="A81" s="55" t="s">
        <v>396</v>
      </c>
      <c r="B81" s="62" t="s">
        <v>3364</v>
      </c>
      <c r="C81" s="22" t="str">
        <f>IMAGE("https://raw.githubusercontent.com/ltdimages/images/refs/heads/main/ClothBottomsPantsLongSports_00.png")</f>
        <v/>
      </c>
      <c r="D81" s="22" t="str">
        <f>IMAGE("https://raw.githubusercontent.com/ltdimages/images/refs/heads/main/ClothBottomsPantsLongSports_01.png")</f>
        <v/>
      </c>
      <c r="E81" s="22" t="str">
        <f>IMAGE("https://raw.githubusercontent.com/ltdimages/images/refs/heads/main/ClothBottomsPantsLongSports_02.png")</f>
        <v/>
      </c>
      <c r="F81" s="22" t="str">
        <f>IMAGE("https://raw.githubusercontent.com/ltdimages/images/refs/heads/main/ClothBottomsPantsLongSports_03.png")</f>
        <v/>
      </c>
      <c r="G81" s="22" t="str">
        <f>IMAGE("https://raw.githubusercontent.com/ltdimages/images/refs/heads/main/ClothBottomsPantsLongSports_04.png")</f>
        <v/>
      </c>
      <c r="H81" s="22" t="str">
        <f>IMAGE("https://raw.githubusercontent.com/ltdimages/images/refs/heads/main/ClothBottomsPantsLongSports_05.png")</f>
        <v/>
      </c>
      <c r="I81" s="22" t="str">
        <f>IMAGE("https://raw.githubusercontent.com/ltdimages/images/refs/heads/main/ClothBottomsPantsLongSports_06.png")</f>
        <v/>
      </c>
      <c r="J81" s="22" t="str">
        <f>IMAGE("https://raw.githubusercontent.com/ltdimages/images/refs/heads/main/ClothBottomsPantsLongSports_07.png")</f>
        <v/>
      </c>
      <c r="K81" s="63" t="s">
        <v>4287</v>
      </c>
      <c r="L81" s="23">
        <v>11.0</v>
      </c>
      <c r="M81" s="22" t="s">
        <v>3097</v>
      </c>
      <c r="N81" s="22" t="s">
        <v>3099</v>
      </c>
      <c r="O81" s="22" t="s">
        <v>45</v>
      </c>
      <c r="P81" s="22" t="s">
        <v>45</v>
      </c>
      <c r="Q81" s="22" t="s">
        <v>45</v>
      </c>
      <c r="R81" s="22" t="s">
        <v>45</v>
      </c>
      <c r="S81" s="22" t="s">
        <v>45</v>
      </c>
      <c r="T81" s="22" t="s">
        <v>2002</v>
      </c>
      <c r="U81" s="22" t="s">
        <v>45</v>
      </c>
      <c r="V81" s="22" t="s">
        <v>45</v>
      </c>
      <c r="W81" s="22" t="s">
        <v>5355</v>
      </c>
      <c r="X81" s="22" t="s">
        <v>3095</v>
      </c>
      <c r="Y81" s="22" t="s">
        <v>3095</v>
      </c>
      <c r="Z81" s="22" t="s">
        <v>3095</v>
      </c>
      <c r="AA81" s="22" t="s">
        <v>3095</v>
      </c>
      <c r="AB81" s="22" t="s">
        <v>3095</v>
      </c>
      <c r="AC81" s="22" t="s">
        <v>3095</v>
      </c>
      <c r="AD81" s="22" t="s">
        <v>3095</v>
      </c>
      <c r="AE81" s="22" t="s">
        <v>3095</v>
      </c>
      <c r="AF81" s="22" t="s">
        <v>3095</v>
      </c>
    </row>
    <row r="82" ht="45.0" customHeight="1">
      <c r="A82" s="55" t="s">
        <v>400</v>
      </c>
      <c r="B82" s="62" t="s">
        <v>4519</v>
      </c>
      <c r="C82" s="22" t="str">
        <f>IMAGE("https://raw.githubusercontent.com/ltdimages/images/refs/heads/main/ClothBottomsSkirtLongAccordion_00.png")</f>
        <v/>
      </c>
      <c r="D82" s="22" t="str">
        <f>IMAGE("https://raw.githubusercontent.com/ltdimages/images/refs/heads/main/ClothBottomsSkirtLongAccordion_01.png")</f>
        <v/>
      </c>
      <c r="E82" s="22" t="str">
        <f>IMAGE("https://raw.githubusercontent.com/ltdimages/images/refs/heads/main/ClothBottomsSkirtLongAccordion_02.png")</f>
        <v/>
      </c>
      <c r="F82" s="22" t="str">
        <f>IMAGE("https://raw.githubusercontent.com/ltdimages/images/refs/heads/main/ClothBottomsSkirtLongAccordion_03.png")</f>
        <v/>
      </c>
      <c r="G82" s="22" t="str">
        <f>IMAGE("https://raw.githubusercontent.com/ltdimages/images/refs/heads/main/ClothBottomsSkirtLongAccordion_04.png")</f>
        <v/>
      </c>
      <c r="H82" s="22" t="str">
        <f>IMAGE("https://raw.githubusercontent.com/ltdimages/images/refs/heads/main/ClothBottomsSkirtLongAccordion_05.png")</f>
        <v/>
      </c>
      <c r="I82" s="22" t="str">
        <f>IMAGE("https://raw.githubusercontent.com/ltdimages/images/refs/heads/main/ClothBottomsSkirtLongAccordion_06.png")</f>
        <v/>
      </c>
      <c r="J82" s="22" t="str">
        <f>IMAGE("https://raw.githubusercontent.com/ltdimages/images/refs/heads/main/ClothBottomsSkirtLongAccordion_07.png")</f>
        <v/>
      </c>
      <c r="K82" s="63" t="s">
        <v>4287</v>
      </c>
      <c r="L82" s="23">
        <v>9.7</v>
      </c>
      <c r="M82" s="22" t="s">
        <v>4231</v>
      </c>
      <c r="N82" s="22" t="s">
        <v>3099</v>
      </c>
      <c r="O82" s="22" t="s">
        <v>45</v>
      </c>
      <c r="P82" s="22" t="s">
        <v>45</v>
      </c>
      <c r="Q82" s="22" t="s">
        <v>45</v>
      </c>
      <c r="R82" s="22" t="s">
        <v>45</v>
      </c>
      <c r="S82" s="22" t="s">
        <v>45</v>
      </c>
      <c r="T82" s="22" t="s">
        <v>2002</v>
      </c>
      <c r="U82" s="22" t="s">
        <v>45</v>
      </c>
      <c r="V82" s="22" t="s">
        <v>45</v>
      </c>
      <c r="W82" s="22" t="s">
        <v>5356</v>
      </c>
      <c r="X82" s="22" t="s">
        <v>3095</v>
      </c>
      <c r="Y82" s="22" t="s">
        <v>3095</v>
      </c>
      <c r="Z82" s="22" t="s">
        <v>3095</v>
      </c>
      <c r="AA82" s="22" t="s">
        <v>3095</v>
      </c>
      <c r="AB82" s="22" t="s">
        <v>3095</v>
      </c>
      <c r="AC82" s="22" t="s">
        <v>3095</v>
      </c>
      <c r="AD82" s="22" t="s">
        <v>3095</v>
      </c>
      <c r="AE82" s="22" t="s">
        <v>3095</v>
      </c>
      <c r="AF82" s="22" t="s">
        <v>3095</v>
      </c>
    </row>
    <row r="83" ht="45.0" customHeight="1">
      <c r="A83" s="55" t="s">
        <v>404</v>
      </c>
      <c r="B83" s="62" t="s">
        <v>4243</v>
      </c>
      <c r="C83" s="22" t="str">
        <f>IMAGE("https://raw.githubusercontent.com/ltdimages/images/refs/heads/main/ClothBottomsSkirtBoxKnit_00.png")</f>
        <v/>
      </c>
      <c r="D83" s="22" t="str">
        <f>IMAGE("https://raw.githubusercontent.com/ltdimages/images/refs/heads/main/ClothBottomsSkirtBoxKnit_01.png")</f>
        <v/>
      </c>
      <c r="E83" s="22" t="str">
        <f>IMAGE("https://raw.githubusercontent.com/ltdimages/images/refs/heads/main/ClothBottomsSkirtBoxKnit_02.png")</f>
        <v/>
      </c>
      <c r="F83" s="22" t="str">
        <f>IMAGE("https://raw.githubusercontent.com/ltdimages/images/refs/heads/main/ClothBottomsSkirtBoxKnit_03.png")</f>
        <v/>
      </c>
      <c r="G83" s="22" t="str">
        <f>IMAGE("https://raw.githubusercontent.com/ltdimages/images/refs/heads/main/ClothBottomsSkirtBoxKnit_04.png")</f>
        <v/>
      </c>
      <c r="H83" s="22" t="str">
        <f>IMAGE("https://raw.githubusercontent.com/ltdimages/images/refs/heads/main/ClothBottomsSkirtBoxKnit_05.png")</f>
        <v/>
      </c>
      <c r="I83" s="22" t="str">
        <f>IMAGE("https://raw.githubusercontent.com/ltdimages/images/refs/heads/main/ClothBottomsSkirtBoxKnit_06.png")</f>
        <v/>
      </c>
      <c r="J83" s="22" t="str">
        <f>IMAGE("https://raw.githubusercontent.com/ltdimages/images/refs/heads/main/ClothBottomsSkirtBoxKnit_07.png")</f>
        <v/>
      </c>
      <c r="K83" s="63" t="s">
        <v>4287</v>
      </c>
      <c r="L83" s="23">
        <v>9.8</v>
      </c>
      <c r="M83" s="22" t="s">
        <v>4231</v>
      </c>
      <c r="N83" s="22" t="s">
        <v>3099</v>
      </c>
      <c r="O83" s="22" t="s">
        <v>45</v>
      </c>
      <c r="P83" s="22" t="s">
        <v>45</v>
      </c>
      <c r="Q83" s="22" t="s">
        <v>45</v>
      </c>
      <c r="R83" s="22" t="s">
        <v>45</v>
      </c>
      <c r="S83" s="22" t="s">
        <v>45</v>
      </c>
      <c r="T83" s="22" t="s">
        <v>2002</v>
      </c>
      <c r="U83" s="22" t="s">
        <v>45</v>
      </c>
      <c r="V83" s="22" t="s">
        <v>45</v>
      </c>
      <c r="W83" s="22" t="s">
        <v>5357</v>
      </c>
      <c r="X83" s="22" t="s">
        <v>3095</v>
      </c>
      <c r="Y83" s="22" t="s">
        <v>3095</v>
      </c>
      <c r="Z83" s="22" t="s">
        <v>3095</v>
      </c>
      <c r="AA83" s="22" t="s">
        <v>3095</v>
      </c>
      <c r="AB83" s="22" t="s">
        <v>3095</v>
      </c>
      <c r="AC83" s="22" t="s">
        <v>3095</v>
      </c>
      <c r="AD83" s="22" t="s">
        <v>3095</v>
      </c>
      <c r="AE83" s="22" t="s">
        <v>3095</v>
      </c>
      <c r="AF83" s="22" t="s">
        <v>3095</v>
      </c>
    </row>
    <row r="84" ht="45.0" customHeight="1">
      <c r="A84" s="55" t="s">
        <v>410</v>
      </c>
      <c r="B84" s="62" t="s">
        <v>5358</v>
      </c>
      <c r="C84" s="22" t="str">
        <f>IMAGE("https://raw.githubusercontent.com/ltdimages/images/refs/heads/main/ClothBottomsBodyBaseBikini_00.png")</f>
        <v/>
      </c>
      <c r="D84" s="22" t="str">
        <f>IMAGE("https://raw.githubusercontent.com/ltdimages/images/refs/heads/main/ClothBottomsBodyBaseBikini_01.png")</f>
        <v/>
      </c>
      <c r="E84" s="22" t="str">
        <f>IMAGE("https://raw.githubusercontent.com/ltdimages/images/refs/heads/main/ClothBottomsBodyBaseBikini_02.png")</f>
        <v/>
      </c>
      <c r="F84" s="22" t="str">
        <f>IMAGE("https://raw.githubusercontent.com/ltdimages/images/refs/heads/main/ClothBottomsBodyBaseBikini_03.png")</f>
        <v/>
      </c>
      <c r="G84" s="22" t="str">
        <f>IMAGE("https://raw.githubusercontent.com/ltdimages/images/refs/heads/main/ClothBottomsBodyBaseBikini_04.png")</f>
        <v/>
      </c>
      <c r="H84" s="22" t="str">
        <f>IMAGE("https://raw.githubusercontent.com/ltdimages/images/refs/heads/main/ClothBottomsBodyBaseBikini_05.png")</f>
        <v/>
      </c>
      <c r="I84" s="22" t="str">
        <f>IMAGE("https://raw.githubusercontent.com/ltdimages/images/refs/heads/main/ClothBottomsBodyBaseBikini_06.png")</f>
        <v/>
      </c>
      <c r="J84" s="22" t="str">
        <f>IMAGE("https://raw.githubusercontent.com/ltdimages/images/refs/heads/main/ClothBottomsBodyBaseBikini_07.png")</f>
        <v/>
      </c>
      <c r="K84" s="63" t="s">
        <v>4287</v>
      </c>
      <c r="L84" s="23">
        <v>7.8</v>
      </c>
      <c r="M84" s="22" t="s">
        <v>4231</v>
      </c>
      <c r="N84" s="22" t="s">
        <v>3123</v>
      </c>
      <c r="O84" s="22" t="s">
        <v>45</v>
      </c>
      <c r="P84" s="22" t="s">
        <v>45</v>
      </c>
      <c r="Q84" s="22" t="s">
        <v>49</v>
      </c>
      <c r="R84" s="22" t="s">
        <v>45</v>
      </c>
      <c r="S84" s="22" t="s">
        <v>45</v>
      </c>
      <c r="T84" s="22" t="s">
        <v>2002</v>
      </c>
      <c r="U84" s="22" t="s">
        <v>45</v>
      </c>
      <c r="V84" s="22" t="s">
        <v>45</v>
      </c>
      <c r="W84" s="22" t="s">
        <v>5359</v>
      </c>
      <c r="X84" s="22" t="s">
        <v>3095</v>
      </c>
      <c r="Y84" s="22" t="s">
        <v>3095</v>
      </c>
      <c r="Z84" s="22" t="s">
        <v>3095</v>
      </c>
      <c r="AA84" s="22" t="s">
        <v>3095</v>
      </c>
      <c r="AB84" s="22" t="s">
        <v>3095</v>
      </c>
      <c r="AC84" s="22" t="s">
        <v>3095</v>
      </c>
      <c r="AD84" s="22" t="s">
        <v>3095</v>
      </c>
      <c r="AE84" s="22" t="s">
        <v>3095</v>
      </c>
      <c r="AF84" s="22" t="s">
        <v>3095</v>
      </c>
    </row>
    <row r="85" ht="45.0" customHeight="1">
      <c r="A85" s="55" t="s">
        <v>414</v>
      </c>
      <c r="B85" s="62" t="s">
        <v>4285</v>
      </c>
      <c r="C85" s="22" t="str">
        <f>IMAGE("https://raw.githubusercontent.com/ltdimages/images/refs/heads/main/ClothBottomsSkirtBoxBotanical_00.png")</f>
        <v/>
      </c>
      <c r="D85" s="22" t="str">
        <f>IMAGE("https://raw.githubusercontent.com/ltdimages/images/refs/heads/main/ClothBottomsSkirtBoxBotanical_01.png")</f>
        <v/>
      </c>
      <c r="E85" s="22" t="str">
        <f>IMAGE("https://raw.githubusercontent.com/ltdimages/images/refs/heads/main/ClothBottomsSkirtBoxBotanical_02.png")</f>
        <v/>
      </c>
      <c r="F85" s="22" t="str">
        <f>IMAGE("https://raw.githubusercontent.com/ltdimages/images/refs/heads/main/ClothBottomsSkirtBoxBotanical_03.png")</f>
        <v/>
      </c>
      <c r="G85" s="22" t="s">
        <v>3095</v>
      </c>
      <c r="H85" s="22" t="s">
        <v>3095</v>
      </c>
      <c r="I85" s="22" t="s">
        <v>3095</v>
      </c>
      <c r="J85" s="22" t="s">
        <v>3095</v>
      </c>
      <c r="K85" s="63" t="s">
        <v>4287</v>
      </c>
      <c r="L85" s="23">
        <v>10.0</v>
      </c>
      <c r="M85" s="22" t="s">
        <v>4231</v>
      </c>
      <c r="N85" s="22" t="s">
        <v>3099</v>
      </c>
      <c r="O85" s="22" t="s">
        <v>45</v>
      </c>
      <c r="P85" s="22" t="s">
        <v>45</v>
      </c>
      <c r="Q85" s="22" t="s">
        <v>45</v>
      </c>
      <c r="R85" s="22" t="s">
        <v>45</v>
      </c>
      <c r="S85" s="22" t="s">
        <v>45</v>
      </c>
      <c r="T85" s="22" t="s">
        <v>2002</v>
      </c>
      <c r="U85" s="22" t="s">
        <v>45</v>
      </c>
      <c r="V85" s="22" t="s">
        <v>45</v>
      </c>
      <c r="W85" s="22" t="s">
        <v>5360</v>
      </c>
      <c r="X85" s="22" t="s">
        <v>3095</v>
      </c>
      <c r="Y85" s="22" t="s">
        <v>3095</v>
      </c>
      <c r="Z85" s="22" t="s">
        <v>3095</v>
      </c>
      <c r="AA85" s="22" t="s">
        <v>3095</v>
      </c>
      <c r="AB85" s="22" t="s">
        <v>3095</v>
      </c>
      <c r="AC85" s="22" t="s">
        <v>3095</v>
      </c>
      <c r="AD85" s="22" t="s">
        <v>3095</v>
      </c>
      <c r="AE85" s="22" t="s">
        <v>3095</v>
      </c>
      <c r="AF85" s="22" t="s">
        <v>3095</v>
      </c>
    </row>
    <row r="86" ht="45.0" customHeight="1">
      <c r="A86" s="55" t="s">
        <v>418</v>
      </c>
      <c r="B86" s="62" t="s">
        <v>5361</v>
      </c>
      <c r="C86" s="22" t="str">
        <f>IMAGE("https://raw.githubusercontent.com/ltdimages/images/refs/heads/main/ClothBottomsSkirtBoxFrontButton_00.png")</f>
        <v/>
      </c>
      <c r="D86" s="22" t="str">
        <f>IMAGE("https://raw.githubusercontent.com/ltdimages/images/refs/heads/main/ClothBottomsSkirtBoxFrontButton_01.png")</f>
        <v/>
      </c>
      <c r="E86" s="22" t="str">
        <f>IMAGE("https://raw.githubusercontent.com/ltdimages/images/refs/heads/main/ClothBottomsSkirtBoxFrontButton_02.png")</f>
        <v/>
      </c>
      <c r="F86" s="22" t="str">
        <f>IMAGE("https://raw.githubusercontent.com/ltdimages/images/refs/heads/main/ClothBottomsSkirtBoxFrontButton_03.png")</f>
        <v/>
      </c>
      <c r="G86" s="22" t="str">
        <f>IMAGE("https://raw.githubusercontent.com/ltdimages/images/refs/heads/main/ClothBottomsSkirtBoxFrontButton_04.png")</f>
        <v/>
      </c>
      <c r="H86" s="22" t="str">
        <f>IMAGE("https://raw.githubusercontent.com/ltdimages/images/refs/heads/main/ClothBottomsSkirtBoxFrontButton_05.png")</f>
        <v/>
      </c>
      <c r="I86" s="22" t="str">
        <f>IMAGE("https://raw.githubusercontent.com/ltdimages/images/refs/heads/main/ClothBottomsSkirtBoxFrontButton_06.png")</f>
        <v/>
      </c>
      <c r="J86" s="22" t="str">
        <f>IMAGE("https://raw.githubusercontent.com/ltdimages/images/refs/heads/main/ClothBottomsSkirtBoxFrontButton_07.png")</f>
        <v/>
      </c>
      <c r="K86" s="63" t="s">
        <v>4287</v>
      </c>
      <c r="L86" s="23">
        <v>11.5</v>
      </c>
      <c r="M86" s="22" t="s">
        <v>4231</v>
      </c>
      <c r="N86" s="22" t="s">
        <v>3099</v>
      </c>
      <c r="O86" s="22" t="s">
        <v>45</v>
      </c>
      <c r="P86" s="22" t="s">
        <v>45</v>
      </c>
      <c r="Q86" s="22" t="s">
        <v>45</v>
      </c>
      <c r="R86" s="22" t="s">
        <v>45</v>
      </c>
      <c r="S86" s="22" t="s">
        <v>45</v>
      </c>
      <c r="T86" s="22" t="s">
        <v>2002</v>
      </c>
      <c r="U86" s="22" t="s">
        <v>45</v>
      </c>
      <c r="V86" s="22" t="s">
        <v>45</v>
      </c>
      <c r="W86" s="22" t="s">
        <v>5362</v>
      </c>
      <c r="X86" s="22" t="s">
        <v>3095</v>
      </c>
      <c r="Y86" s="22" t="s">
        <v>3095</v>
      </c>
      <c r="Z86" s="22" t="s">
        <v>3095</v>
      </c>
      <c r="AA86" s="22" t="s">
        <v>3095</v>
      </c>
      <c r="AB86" s="22" t="s">
        <v>3095</v>
      </c>
      <c r="AC86" s="22" t="s">
        <v>3095</v>
      </c>
      <c r="AD86" s="22" t="s">
        <v>3095</v>
      </c>
      <c r="AE86" s="22" t="s">
        <v>3095</v>
      </c>
      <c r="AF86" s="22" t="s">
        <v>3095</v>
      </c>
    </row>
    <row r="87" ht="45.0" customHeight="1">
      <c r="A87" s="55" t="s">
        <v>422</v>
      </c>
      <c r="B87" s="62" t="s">
        <v>5363</v>
      </c>
      <c r="C87" s="22" t="str">
        <f>IMAGE("https://raw.githubusercontent.com/ltdimages/images/refs/heads/main/ClothBottomsSkirtBoxCamouflage_00.png")</f>
        <v/>
      </c>
      <c r="D87" s="22" t="str">
        <f>IMAGE("https://raw.githubusercontent.com/ltdimages/images/refs/heads/main/ClothBottomsSkirtBoxCamouflage_01.png")</f>
        <v/>
      </c>
      <c r="E87" s="22" t="str">
        <f>IMAGE("https://raw.githubusercontent.com/ltdimages/images/refs/heads/main/ClothBottomsSkirtBoxCamouflage_02.png")</f>
        <v/>
      </c>
      <c r="F87" s="22" t="str">
        <f>IMAGE("https://raw.githubusercontent.com/ltdimages/images/refs/heads/main/ClothBottomsSkirtBoxCamouflage_03.png")</f>
        <v/>
      </c>
      <c r="G87" s="22" t="str">
        <f>IMAGE("https://raw.githubusercontent.com/ltdimages/images/refs/heads/main/ClothBottomsSkirtBoxCamouflage_04.png")</f>
        <v/>
      </c>
      <c r="H87" s="22" t="str">
        <f>IMAGE("https://raw.githubusercontent.com/ltdimages/images/refs/heads/main/ClothBottomsSkirtBoxCamouflage_05.png")</f>
        <v/>
      </c>
      <c r="I87" s="22" t="s">
        <v>3095</v>
      </c>
      <c r="J87" s="22" t="s">
        <v>3095</v>
      </c>
      <c r="K87" s="63" t="s">
        <v>4287</v>
      </c>
      <c r="L87" s="23">
        <v>9.0</v>
      </c>
      <c r="M87" s="22" t="s">
        <v>4231</v>
      </c>
      <c r="N87" s="22" t="s">
        <v>3099</v>
      </c>
      <c r="O87" s="22" t="s">
        <v>45</v>
      </c>
      <c r="P87" s="22" t="s">
        <v>45</v>
      </c>
      <c r="Q87" s="22" t="s">
        <v>45</v>
      </c>
      <c r="R87" s="22" t="s">
        <v>45</v>
      </c>
      <c r="S87" s="22" t="s">
        <v>45</v>
      </c>
      <c r="T87" s="22" t="s">
        <v>2002</v>
      </c>
      <c r="U87" s="22" t="s">
        <v>45</v>
      </c>
      <c r="V87" s="22" t="s">
        <v>45</v>
      </c>
      <c r="W87" s="22" t="s">
        <v>5364</v>
      </c>
      <c r="X87" s="22" t="s">
        <v>3095</v>
      </c>
      <c r="Y87" s="22" t="s">
        <v>3095</v>
      </c>
      <c r="Z87" s="22" t="s">
        <v>3095</v>
      </c>
      <c r="AA87" s="22" t="s">
        <v>3095</v>
      </c>
      <c r="AB87" s="22" t="s">
        <v>3095</v>
      </c>
      <c r="AC87" s="22" t="s">
        <v>3095</v>
      </c>
      <c r="AD87" s="22" t="s">
        <v>3095</v>
      </c>
      <c r="AE87" s="22" t="s">
        <v>3095</v>
      </c>
      <c r="AF87" s="22" t="s">
        <v>3095</v>
      </c>
    </row>
    <row r="88" ht="45.0" customHeight="1">
      <c r="A88" s="55" t="s">
        <v>426</v>
      </c>
      <c r="B88" s="62" t="s">
        <v>5365</v>
      </c>
      <c r="C88" s="22" t="str">
        <f>IMAGE("https://raw.githubusercontent.com/ltdimages/images/refs/heads/main/ClothBottomsSkirtBoxCheck_00.png")</f>
        <v/>
      </c>
      <c r="D88" s="22" t="str">
        <f>IMAGE("https://raw.githubusercontent.com/ltdimages/images/refs/heads/main/ClothBottomsSkirtBoxCheck_01.png")</f>
        <v/>
      </c>
      <c r="E88" s="22" t="str">
        <f>IMAGE("https://raw.githubusercontent.com/ltdimages/images/refs/heads/main/ClothBottomsSkirtBoxCheck_02.png")</f>
        <v/>
      </c>
      <c r="F88" s="22" t="str">
        <f>IMAGE("https://raw.githubusercontent.com/ltdimages/images/refs/heads/main/ClothBottomsSkirtBoxCheck_03.png")</f>
        <v/>
      </c>
      <c r="G88" s="22" t="str">
        <f>IMAGE("https://raw.githubusercontent.com/ltdimages/images/refs/heads/main/ClothBottomsSkirtBoxCheck_04.png")</f>
        <v/>
      </c>
      <c r="H88" s="22" t="str">
        <f>IMAGE("https://raw.githubusercontent.com/ltdimages/images/refs/heads/main/ClothBottomsSkirtBoxCheck_05.png")</f>
        <v/>
      </c>
      <c r="I88" s="22" t="str">
        <f>IMAGE("https://raw.githubusercontent.com/ltdimages/images/refs/heads/main/ClothBottomsSkirtBoxCheck_06.png")</f>
        <v/>
      </c>
      <c r="J88" s="22" t="str">
        <f>IMAGE("https://raw.githubusercontent.com/ltdimages/images/refs/heads/main/ClothBottomsSkirtBoxCheck_07.png")</f>
        <v/>
      </c>
      <c r="K88" s="63" t="s">
        <v>4287</v>
      </c>
      <c r="L88" s="23">
        <v>8.0</v>
      </c>
      <c r="M88" s="22" t="s">
        <v>4231</v>
      </c>
      <c r="N88" s="22" t="s">
        <v>3099</v>
      </c>
      <c r="O88" s="22" t="s">
        <v>45</v>
      </c>
      <c r="P88" s="22" t="s">
        <v>45</v>
      </c>
      <c r="Q88" s="22" t="s">
        <v>45</v>
      </c>
      <c r="R88" s="22" t="s">
        <v>45</v>
      </c>
      <c r="S88" s="22" t="s">
        <v>45</v>
      </c>
      <c r="T88" s="22" t="s">
        <v>2002</v>
      </c>
      <c r="U88" s="22" t="s">
        <v>45</v>
      </c>
      <c r="V88" s="22" t="s">
        <v>45</v>
      </c>
      <c r="W88" s="22" t="s">
        <v>5366</v>
      </c>
      <c r="X88" s="22" t="s">
        <v>3095</v>
      </c>
      <c r="Y88" s="22" t="s">
        <v>3095</v>
      </c>
      <c r="Z88" s="22" t="s">
        <v>3095</v>
      </c>
      <c r="AA88" s="22" t="s">
        <v>3095</v>
      </c>
      <c r="AB88" s="22" t="s">
        <v>3095</v>
      </c>
      <c r="AC88" s="22" t="s">
        <v>3095</v>
      </c>
      <c r="AD88" s="22" t="s">
        <v>3095</v>
      </c>
      <c r="AE88" s="22" t="s">
        <v>3095</v>
      </c>
      <c r="AF88" s="22" t="s">
        <v>3095</v>
      </c>
    </row>
    <row r="89" ht="45.0" customHeight="1">
      <c r="A89" s="55" t="s">
        <v>430</v>
      </c>
      <c r="B89" s="62" t="s">
        <v>4386</v>
      </c>
      <c r="C89" s="22" t="str">
        <f>IMAGE("https://raw.githubusercontent.com/ltdimages/images/refs/heads/main/ClothBottomsSkirtLongDenimMaxi_00.png")</f>
        <v/>
      </c>
      <c r="D89" s="22" t="str">
        <f>IMAGE("https://raw.githubusercontent.com/ltdimages/images/refs/heads/main/ClothBottomsSkirtLongDenimMaxi_01.png")</f>
        <v/>
      </c>
      <c r="E89" s="22" t="str">
        <f>IMAGE("https://raw.githubusercontent.com/ltdimages/images/refs/heads/main/ClothBottomsSkirtLongDenimMaxi_02.png")</f>
        <v/>
      </c>
      <c r="F89" s="22" t="str">
        <f>IMAGE("https://raw.githubusercontent.com/ltdimages/images/refs/heads/main/ClothBottomsSkirtLongDenimMaxi_03.png")</f>
        <v/>
      </c>
      <c r="G89" s="22" t="s">
        <v>3095</v>
      </c>
      <c r="H89" s="22" t="s">
        <v>3095</v>
      </c>
      <c r="I89" s="22" t="s">
        <v>3095</v>
      </c>
      <c r="J89" s="22" t="s">
        <v>3095</v>
      </c>
      <c r="K89" s="63" t="s">
        <v>4287</v>
      </c>
      <c r="L89" s="23">
        <v>10.2</v>
      </c>
      <c r="M89" s="22" t="s">
        <v>4231</v>
      </c>
      <c r="N89" s="22" t="s">
        <v>3099</v>
      </c>
      <c r="O89" s="22" t="s">
        <v>45</v>
      </c>
      <c r="P89" s="22" t="s">
        <v>45</v>
      </c>
      <c r="Q89" s="22" t="s">
        <v>45</v>
      </c>
      <c r="R89" s="22" t="s">
        <v>45</v>
      </c>
      <c r="S89" s="22" t="s">
        <v>45</v>
      </c>
      <c r="T89" s="22" t="s">
        <v>2002</v>
      </c>
      <c r="U89" s="22" t="s">
        <v>45</v>
      </c>
      <c r="V89" s="22" t="s">
        <v>45</v>
      </c>
      <c r="W89" s="22" t="s">
        <v>5367</v>
      </c>
      <c r="X89" s="22" t="s">
        <v>3095</v>
      </c>
      <c r="Y89" s="22" t="s">
        <v>3095</v>
      </c>
      <c r="Z89" s="22" t="s">
        <v>3095</v>
      </c>
      <c r="AA89" s="22" t="s">
        <v>3095</v>
      </c>
      <c r="AB89" s="22" t="s">
        <v>3095</v>
      </c>
      <c r="AC89" s="22" t="s">
        <v>3095</v>
      </c>
      <c r="AD89" s="22" t="s">
        <v>3095</v>
      </c>
      <c r="AE89" s="22" t="s">
        <v>3095</v>
      </c>
      <c r="AF89" s="22" t="s">
        <v>3095</v>
      </c>
    </row>
    <row r="90" ht="45.0" customHeight="1">
      <c r="A90" s="55" t="s">
        <v>434</v>
      </c>
      <c r="B90" s="62" t="s">
        <v>5368</v>
      </c>
      <c r="C90" s="22" t="str">
        <f>IMAGE("https://raw.githubusercontent.com/ltdimages/images/refs/heads/main/ClothBottomsSkirtMiniDenimMini_00.png")</f>
        <v/>
      </c>
      <c r="D90" s="22" t="str">
        <f>IMAGE("https://raw.githubusercontent.com/ltdimages/images/refs/heads/main/ClothBottomsSkirtMiniDenimMini_01.png")</f>
        <v/>
      </c>
      <c r="E90" s="22" t="str">
        <f>IMAGE("https://raw.githubusercontent.com/ltdimages/images/refs/heads/main/ClothBottomsSkirtMiniDenimMini_02.png")</f>
        <v/>
      </c>
      <c r="F90" s="22" t="str">
        <f>IMAGE("https://raw.githubusercontent.com/ltdimages/images/refs/heads/main/ClothBottomsSkirtMiniDenimMini_03.png")</f>
        <v/>
      </c>
      <c r="G90" s="22" t="str">
        <f>IMAGE("https://raw.githubusercontent.com/ltdimages/images/refs/heads/main/ClothBottomsSkirtMiniDenimMini_04.png")</f>
        <v/>
      </c>
      <c r="H90" s="22" t="str">
        <f>IMAGE("https://raw.githubusercontent.com/ltdimages/images/refs/heads/main/ClothBottomsSkirtMiniDenimMini_05.png")</f>
        <v/>
      </c>
      <c r="I90" s="22" t="s">
        <v>3095</v>
      </c>
      <c r="J90" s="22" t="s">
        <v>3095</v>
      </c>
      <c r="K90" s="63" t="s">
        <v>4287</v>
      </c>
      <c r="L90" s="23">
        <v>9.8</v>
      </c>
      <c r="M90" s="22" t="s">
        <v>4231</v>
      </c>
      <c r="N90" s="22" t="s">
        <v>3099</v>
      </c>
      <c r="O90" s="22" t="s">
        <v>45</v>
      </c>
      <c r="P90" s="22" t="s">
        <v>45</v>
      </c>
      <c r="Q90" s="22" t="s">
        <v>45</v>
      </c>
      <c r="R90" s="22" t="s">
        <v>45</v>
      </c>
      <c r="S90" s="22" t="s">
        <v>45</v>
      </c>
      <c r="T90" s="22" t="s">
        <v>2002</v>
      </c>
      <c r="U90" s="22" t="s">
        <v>45</v>
      </c>
      <c r="V90" s="22" t="s">
        <v>45</v>
      </c>
      <c r="W90" s="22" t="s">
        <v>5369</v>
      </c>
      <c r="X90" s="22" t="s">
        <v>3095</v>
      </c>
      <c r="Y90" s="22" t="s">
        <v>3095</v>
      </c>
      <c r="Z90" s="22" t="s">
        <v>3095</v>
      </c>
      <c r="AA90" s="22" t="s">
        <v>3095</v>
      </c>
      <c r="AB90" s="22" t="s">
        <v>3095</v>
      </c>
      <c r="AC90" s="22" t="s">
        <v>3095</v>
      </c>
      <c r="AD90" s="22" t="s">
        <v>3095</v>
      </c>
      <c r="AE90" s="22" t="s">
        <v>3095</v>
      </c>
      <c r="AF90" s="22" t="s">
        <v>3095</v>
      </c>
    </row>
    <row r="91" ht="45.0" customHeight="1">
      <c r="A91" s="55" t="s">
        <v>438</v>
      </c>
      <c r="B91" s="62" t="s">
        <v>5370</v>
      </c>
      <c r="C91" s="22" t="str">
        <f>IMAGE("https://raw.githubusercontent.com/ltdimages/images/refs/heads/main/ClothBottomsSkirtBoxDenim_00.png")</f>
        <v/>
      </c>
      <c r="D91" s="22" t="str">
        <f>IMAGE("https://raw.githubusercontent.com/ltdimages/images/refs/heads/main/ClothBottomsSkirtBoxDenim_01.png")</f>
        <v/>
      </c>
      <c r="E91" s="22" t="str">
        <f>IMAGE("https://raw.githubusercontent.com/ltdimages/images/refs/heads/main/ClothBottomsSkirtBoxDenim_02.png")</f>
        <v/>
      </c>
      <c r="F91" s="22" t="str">
        <f>IMAGE("https://raw.githubusercontent.com/ltdimages/images/refs/heads/main/ClothBottomsSkirtBoxDenim_03.png")</f>
        <v/>
      </c>
      <c r="G91" s="22" t="str">
        <f>IMAGE("https://raw.githubusercontent.com/ltdimages/images/refs/heads/main/ClothBottomsSkirtBoxDenim_04.png")</f>
        <v/>
      </c>
      <c r="H91" s="22" t="str">
        <f>IMAGE("https://raw.githubusercontent.com/ltdimages/images/refs/heads/main/ClothBottomsSkirtBoxDenim_05.png")</f>
        <v/>
      </c>
      <c r="I91" s="22" t="s">
        <v>3095</v>
      </c>
      <c r="J91" s="22" t="s">
        <v>3095</v>
      </c>
      <c r="K91" s="63" t="s">
        <v>4287</v>
      </c>
      <c r="L91" s="23">
        <v>8.9</v>
      </c>
      <c r="M91" s="22" t="s">
        <v>4231</v>
      </c>
      <c r="N91" s="22" t="s">
        <v>3099</v>
      </c>
      <c r="O91" s="22" t="s">
        <v>45</v>
      </c>
      <c r="P91" s="22" t="s">
        <v>45</v>
      </c>
      <c r="Q91" s="22" t="s">
        <v>45</v>
      </c>
      <c r="R91" s="22" t="s">
        <v>45</v>
      </c>
      <c r="S91" s="22" t="s">
        <v>45</v>
      </c>
      <c r="T91" s="22" t="s">
        <v>2002</v>
      </c>
      <c r="U91" s="22" t="s">
        <v>45</v>
      </c>
      <c r="V91" s="22" t="s">
        <v>45</v>
      </c>
      <c r="W91" s="22" t="s">
        <v>5371</v>
      </c>
      <c r="X91" s="22" t="s">
        <v>3095</v>
      </c>
      <c r="Y91" s="22" t="s">
        <v>3095</v>
      </c>
      <c r="Z91" s="22" t="s">
        <v>3095</v>
      </c>
      <c r="AA91" s="22" t="s">
        <v>3095</v>
      </c>
      <c r="AB91" s="22" t="s">
        <v>3095</v>
      </c>
      <c r="AC91" s="22" t="s">
        <v>3095</v>
      </c>
      <c r="AD91" s="22" t="s">
        <v>3095</v>
      </c>
      <c r="AE91" s="22" t="s">
        <v>3095</v>
      </c>
      <c r="AF91" s="22" t="s">
        <v>3095</v>
      </c>
    </row>
    <row r="92" ht="45.0" customHeight="1">
      <c r="A92" s="55" t="s">
        <v>442</v>
      </c>
      <c r="B92" s="62" t="s">
        <v>5372</v>
      </c>
      <c r="C92" s="22" t="str">
        <f>IMAGE("https://raw.githubusercontent.com/ltdimages/images/refs/heads/main/ClothBottomsSkirtLongDot_00.png")</f>
        <v/>
      </c>
      <c r="D92" s="22" t="str">
        <f>IMAGE("https://raw.githubusercontent.com/ltdimages/images/refs/heads/main/ClothBottomsSkirtLongDot_01.png")</f>
        <v/>
      </c>
      <c r="E92" s="22" t="str">
        <f>IMAGE("https://raw.githubusercontent.com/ltdimages/images/refs/heads/main/ClothBottomsSkirtLongDot_02.png")</f>
        <v/>
      </c>
      <c r="F92" s="22" t="str">
        <f>IMAGE("https://raw.githubusercontent.com/ltdimages/images/refs/heads/main/ClothBottomsSkirtLongDot_03.png")</f>
        <v/>
      </c>
      <c r="G92" s="22" t="str">
        <f>IMAGE("https://raw.githubusercontent.com/ltdimages/images/refs/heads/main/ClothBottomsSkirtLongDot_04.png")</f>
        <v/>
      </c>
      <c r="H92" s="22" t="str">
        <f>IMAGE("https://raw.githubusercontent.com/ltdimages/images/refs/heads/main/ClothBottomsSkirtLongDot_05.png")</f>
        <v/>
      </c>
      <c r="I92" s="22" t="s">
        <v>3095</v>
      </c>
      <c r="J92" s="22" t="s">
        <v>3095</v>
      </c>
      <c r="K92" s="63" t="s">
        <v>4287</v>
      </c>
      <c r="L92" s="23">
        <v>9.8</v>
      </c>
      <c r="M92" s="22" t="s">
        <v>4231</v>
      </c>
      <c r="N92" s="22" t="s">
        <v>3099</v>
      </c>
      <c r="O92" s="22" t="s">
        <v>45</v>
      </c>
      <c r="P92" s="22" t="s">
        <v>45</v>
      </c>
      <c r="Q92" s="22" t="s">
        <v>45</v>
      </c>
      <c r="R92" s="22" t="s">
        <v>45</v>
      </c>
      <c r="S92" s="22" t="s">
        <v>45</v>
      </c>
      <c r="T92" s="22" t="s">
        <v>2002</v>
      </c>
      <c r="U92" s="22" t="s">
        <v>45</v>
      </c>
      <c r="V92" s="22" t="s">
        <v>45</v>
      </c>
      <c r="W92" s="22" t="s">
        <v>5373</v>
      </c>
      <c r="X92" s="22" t="s">
        <v>3095</v>
      </c>
      <c r="Y92" s="22" t="s">
        <v>3095</v>
      </c>
      <c r="Z92" s="22" t="s">
        <v>3095</v>
      </c>
      <c r="AA92" s="22" t="s">
        <v>3095</v>
      </c>
      <c r="AB92" s="22" t="s">
        <v>3095</v>
      </c>
      <c r="AC92" s="22" t="s">
        <v>3095</v>
      </c>
      <c r="AD92" s="22" t="s">
        <v>3095</v>
      </c>
      <c r="AE92" s="22" t="s">
        <v>3095</v>
      </c>
      <c r="AF92" s="22" t="s">
        <v>3095</v>
      </c>
    </row>
    <row r="93" ht="45.0" customHeight="1">
      <c r="A93" s="55" t="s">
        <v>446</v>
      </c>
      <c r="B93" s="62" t="s">
        <v>5374</v>
      </c>
      <c r="C93" s="22" t="str">
        <f>IMAGE("https://raw.githubusercontent.com/ltdimages/images/refs/heads/main/ClothBottomsSkirtLongDrape_00.png")</f>
        <v/>
      </c>
      <c r="D93" s="22" t="str">
        <f>IMAGE("https://raw.githubusercontent.com/ltdimages/images/refs/heads/main/ClothBottomsSkirtLongDrape_01.png")</f>
        <v/>
      </c>
      <c r="E93" s="22" t="str">
        <f>IMAGE("https://raw.githubusercontent.com/ltdimages/images/refs/heads/main/ClothBottomsSkirtLongDrape_02.png")</f>
        <v/>
      </c>
      <c r="F93" s="22" t="str">
        <f>IMAGE("https://raw.githubusercontent.com/ltdimages/images/refs/heads/main/ClothBottomsSkirtLongDrape_03.png")</f>
        <v/>
      </c>
      <c r="G93" s="22" t="str">
        <f>IMAGE("https://raw.githubusercontent.com/ltdimages/images/refs/heads/main/ClothBottomsSkirtLongDrape_04.png")</f>
        <v/>
      </c>
      <c r="H93" s="22" t="str">
        <f>IMAGE("https://raw.githubusercontent.com/ltdimages/images/refs/heads/main/ClothBottomsSkirtLongDrape_05.png")</f>
        <v/>
      </c>
      <c r="I93" s="22" t="s">
        <v>3095</v>
      </c>
      <c r="J93" s="22" t="s">
        <v>3095</v>
      </c>
      <c r="K93" s="63" t="s">
        <v>4287</v>
      </c>
      <c r="L93" s="23">
        <v>13.0</v>
      </c>
      <c r="M93" s="22" t="s">
        <v>4231</v>
      </c>
      <c r="N93" s="22" t="s">
        <v>3099</v>
      </c>
      <c r="O93" s="22" t="s">
        <v>45</v>
      </c>
      <c r="P93" s="22" t="s">
        <v>45</v>
      </c>
      <c r="Q93" s="22" t="s">
        <v>45</v>
      </c>
      <c r="R93" s="22" t="s">
        <v>45</v>
      </c>
      <c r="S93" s="22" t="s">
        <v>45</v>
      </c>
      <c r="T93" s="22" t="s">
        <v>2002</v>
      </c>
      <c r="U93" s="22" t="s">
        <v>45</v>
      </c>
      <c r="V93" s="22" t="s">
        <v>45</v>
      </c>
      <c r="W93" s="22" t="s">
        <v>5375</v>
      </c>
      <c r="X93" s="22" t="s">
        <v>3095</v>
      </c>
      <c r="Y93" s="22" t="s">
        <v>3095</v>
      </c>
      <c r="Z93" s="22" t="s">
        <v>3095</v>
      </c>
      <c r="AA93" s="22" t="s">
        <v>3095</v>
      </c>
      <c r="AB93" s="22" t="s">
        <v>3095</v>
      </c>
      <c r="AC93" s="22" t="s">
        <v>3095</v>
      </c>
      <c r="AD93" s="22" t="s">
        <v>3095</v>
      </c>
      <c r="AE93" s="22" t="s">
        <v>3095</v>
      </c>
      <c r="AF93" s="22" t="s">
        <v>3095</v>
      </c>
    </row>
    <row r="94" ht="45.0" customHeight="1">
      <c r="A94" s="55" t="s">
        <v>450</v>
      </c>
      <c r="B94" s="62" t="s">
        <v>5376</v>
      </c>
      <c r="C94" s="22" t="str">
        <f>IMAGE("https://raw.githubusercontent.com/ltdimages/images/refs/heads/main/ClothBottomsSkirtLongElephant_00.png")</f>
        <v/>
      </c>
      <c r="D94" s="22" t="str">
        <f>IMAGE("https://raw.githubusercontent.com/ltdimages/images/refs/heads/main/ClothBottomsSkirtLongElephant_01.png")</f>
        <v/>
      </c>
      <c r="E94" s="22" t="str">
        <f>IMAGE("https://raw.githubusercontent.com/ltdimages/images/refs/heads/main/ClothBottomsSkirtLongElephant_02.png")</f>
        <v/>
      </c>
      <c r="F94" s="22" t="str">
        <f>IMAGE("https://raw.githubusercontent.com/ltdimages/images/refs/heads/main/ClothBottomsSkirtLongElephant_03.png")</f>
        <v/>
      </c>
      <c r="G94" s="22" t="str">
        <f>IMAGE("https://raw.githubusercontent.com/ltdimages/images/refs/heads/main/ClothBottomsSkirtLongElephant_04.png")</f>
        <v/>
      </c>
      <c r="H94" s="22" t="str">
        <f>IMAGE("https://raw.githubusercontent.com/ltdimages/images/refs/heads/main/ClothBottomsSkirtLongElephant_05.png")</f>
        <v/>
      </c>
      <c r="I94" s="22" t="s">
        <v>3095</v>
      </c>
      <c r="J94" s="22" t="s">
        <v>3095</v>
      </c>
      <c r="K94" s="63" t="s">
        <v>4287</v>
      </c>
      <c r="L94" s="23">
        <v>11.5</v>
      </c>
      <c r="M94" s="22" t="s">
        <v>4231</v>
      </c>
      <c r="N94" s="22" t="s">
        <v>3123</v>
      </c>
      <c r="O94" s="22" t="s">
        <v>45</v>
      </c>
      <c r="P94" s="22" t="s">
        <v>45</v>
      </c>
      <c r="Q94" s="22" t="s">
        <v>45</v>
      </c>
      <c r="R94" s="22" t="s">
        <v>45</v>
      </c>
      <c r="S94" s="22" t="s">
        <v>45</v>
      </c>
      <c r="T94" s="22" t="s">
        <v>2002</v>
      </c>
      <c r="U94" s="22" t="s">
        <v>45</v>
      </c>
      <c r="V94" s="22" t="s">
        <v>45</v>
      </c>
      <c r="W94" s="22" t="s">
        <v>5377</v>
      </c>
      <c r="X94" s="22" t="s">
        <v>3095</v>
      </c>
      <c r="Y94" s="22" t="s">
        <v>3095</v>
      </c>
      <c r="Z94" s="22" t="s">
        <v>3095</v>
      </c>
      <c r="AA94" s="22" t="s">
        <v>3095</v>
      </c>
      <c r="AB94" s="22" t="s">
        <v>3095</v>
      </c>
      <c r="AC94" s="22" t="s">
        <v>3095</v>
      </c>
      <c r="AD94" s="22" t="s">
        <v>3095</v>
      </c>
      <c r="AE94" s="22" t="s">
        <v>3095</v>
      </c>
      <c r="AF94" s="22" t="s">
        <v>3095</v>
      </c>
    </row>
    <row r="95" ht="45.0" customHeight="1">
      <c r="A95" s="55" t="s">
        <v>454</v>
      </c>
      <c r="B95" s="62" t="s">
        <v>4492</v>
      </c>
      <c r="C95" s="22" t="str">
        <f>IMAGE("https://raw.githubusercontent.com/ltdimages/images/refs/heads/main/ClothBottomsSkirtMiniFlare_00.png")</f>
        <v/>
      </c>
      <c r="D95" s="22" t="str">
        <f>IMAGE("https://raw.githubusercontent.com/ltdimages/images/refs/heads/main/ClothBottomsSkirtMiniFlare_01.png")</f>
        <v/>
      </c>
      <c r="E95" s="22" t="str">
        <f>IMAGE("https://raw.githubusercontent.com/ltdimages/images/refs/heads/main/ClothBottomsSkirtMiniFlare_02.png")</f>
        <v/>
      </c>
      <c r="F95" s="22" t="str">
        <f>IMAGE("https://raw.githubusercontent.com/ltdimages/images/refs/heads/main/ClothBottomsSkirtMiniFlare_03.png")</f>
        <v/>
      </c>
      <c r="G95" s="22" t="str">
        <f>IMAGE("https://raw.githubusercontent.com/ltdimages/images/refs/heads/main/ClothBottomsSkirtMiniFlare_04.png")</f>
        <v/>
      </c>
      <c r="H95" s="22" t="str">
        <f>IMAGE("https://raw.githubusercontent.com/ltdimages/images/refs/heads/main/ClothBottomsSkirtMiniFlare_05.png")</f>
        <v/>
      </c>
      <c r="I95" s="22" t="s">
        <v>3095</v>
      </c>
      <c r="J95" s="22" t="s">
        <v>3095</v>
      </c>
      <c r="K95" s="63" t="s">
        <v>4287</v>
      </c>
      <c r="L95" s="23">
        <v>9.9</v>
      </c>
      <c r="M95" s="22" t="s">
        <v>4231</v>
      </c>
      <c r="N95" s="22" t="s">
        <v>3099</v>
      </c>
      <c r="O95" s="22" t="s">
        <v>45</v>
      </c>
      <c r="P95" s="22" t="s">
        <v>45</v>
      </c>
      <c r="Q95" s="22" t="s">
        <v>45</v>
      </c>
      <c r="R95" s="22" t="s">
        <v>45</v>
      </c>
      <c r="S95" s="22" t="s">
        <v>45</v>
      </c>
      <c r="T95" s="22" t="s">
        <v>2002</v>
      </c>
      <c r="U95" s="22" t="s">
        <v>45</v>
      </c>
      <c r="V95" s="22" t="s">
        <v>45</v>
      </c>
      <c r="W95" s="22" t="s">
        <v>5378</v>
      </c>
      <c r="X95" s="22" t="s">
        <v>3095</v>
      </c>
      <c r="Y95" s="22" t="s">
        <v>3095</v>
      </c>
      <c r="Z95" s="22" t="s">
        <v>3095</v>
      </c>
      <c r="AA95" s="22" t="s">
        <v>3095</v>
      </c>
      <c r="AB95" s="22" t="s">
        <v>3095</v>
      </c>
      <c r="AC95" s="22" t="s">
        <v>3095</v>
      </c>
      <c r="AD95" s="22" t="s">
        <v>3095</v>
      </c>
      <c r="AE95" s="22" t="s">
        <v>3095</v>
      </c>
      <c r="AF95" s="22" t="s">
        <v>3095</v>
      </c>
    </row>
    <row r="96" ht="45.0" customHeight="1">
      <c r="A96" s="55" t="s">
        <v>459</v>
      </c>
      <c r="B96" s="62" t="s">
        <v>5379</v>
      </c>
      <c r="C96" s="22" t="str">
        <f>IMAGE("https://raw.githubusercontent.com/ltdimages/images/refs/heads/main/ClothBottomsSkirtLongFlare_00.png")</f>
        <v/>
      </c>
      <c r="D96" s="22" t="str">
        <f>IMAGE("https://raw.githubusercontent.com/ltdimages/images/refs/heads/main/ClothBottomsSkirtLongFlare_01.png")</f>
        <v/>
      </c>
      <c r="E96" s="22" t="str">
        <f>IMAGE("https://raw.githubusercontent.com/ltdimages/images/refs/heads/main/ClothBottomsSkirtLongFlare_02.png")</f>
        <v/>
      </c>
      <c r="F96" s="22" t="str">
        <f>IMAGE("https://raw.githubusercontent.com/ltdimages/images/refs/heads/main/ClothBottomsSkirtLongFlare_03.png")</f>
        <v/>
      </c>
      <c r="G96" s="22" t="str">
        <f>IMAGE("https://raw.githubusercontent.com/ltdimages/images/refs/heads/main/ClothBottomsSkirtLongFlare_04.png")</f>
        <v/>
      </c>
      <c r="H96" s="22" t="str">
        <f>IMAGE("https://raw.githubusercontent.com/ltdimages/images/refs/heads/main/ClothBottomsSkirtLongFlare_05.png")</f>
        <v/>
      </c>
      <c r="I96" s="22" t="str">
        <f>IMAGE("https://raw.githubusercontent.com/ltdimages/images/refs/heads/main/ClothBottomsSkirtLongFlare_06.png")</f>
        <v/>
      </c>
      <c r="J96" s="22" t="str">
        <f>IMAGE("https://raw.githubusercontent.com/ltdimages/images/refs/heads/main/ClothBottomsSkirtLongFlare_07.png")</f>
        <v/>
      </c>
      <c r="K96" s="63" t="s">
        <v>4287</v>
      </c>
      <c r="L96" s="23">
        <v>12.0</v>
      </c>
      <c r="M96" s="22" t="s">
        <v>4231</v>
      </c>
      <c r="N96" s="22" t="s">
        <v>3099</v>
      </c>
      <c r="O96" s="22" t="s">
        <v>45</v>
      </c>
      <c r="P96" s="22" t="s">
        <v>45</v>
      </c>
      <c r="Q96" s="22" t="s">
        <v>45</v>
      </c>
      <c r="R96" s="22" t="s">
        <v>45</v>
      </c>
      <c r="S96" s="22" t="s">
        <v>45</v>
      </c>
      <c r="T96" s="22" t="s">
        <v>2002</v>
      </c>
      <c r="U96" s="22" t="s">
        <v>45</v>
      </c>
      <c r="V96" s="22" t="s">
        <v>45</v>
      </c>
      <c r="W96" s="22" t="s">
        <v>5380</v>
      </c>
      <c r="X96" s="22" t="s">
        <v>3095</v>
      </c>
      <c r="Y96" s="22" t="s">
        <v>3095</v>
      </c>
      <c r="Z96" s="22" t="s">
        <v>3095</v>
      </c>
      <c r="AA96" s="22" t="s">
        <v>3095</v>
      </c>
      <c r="AB96" s="22" t="s">
        <v>3095</v>
      </c>
      <c r="AC96" s="22" t="s">
        <v>3095</v>
      </c>
      <c r="AD96" s="22" t="s">
        <v>3095</v>
      </c>
      <c r="AE96" s="22" t="s">
        <v>3095</v>
      </c>
      <c r="AF96" s="22" t="s">
        <v>3095</v>
      </c>
    </row>
    <row r="97" ht="45.0" customHeight="1">
      <c r="A97" s="55" t="s">
        <v>463</v>
      </c>
      <c r="B97" s="62" t="s">
        <v>5381</v>
      </c>
      <c r="C97" s="22" t="str">
        <f>IMAGE("https://raw.githubusercontent.com/ltdimages/images/refs/heads/main/ClothBottomsSkirtLongFlower_00.png")</f>
        <v/>
      </c>
      <c r="D97" s="22" t="str">
        <f>IMAGE("https://raw.githubusercontent.com/ltdimages/images/refs/heads/main/ClothBottomsSkirtLongFlower_01.png")</f>
        <v/>
      </c>
      <c r="E97" s="22" t="str">
        <f>IMAGE("https://raw.githubusercontent.com/ltdimages/images/refs/heads/main/ClothBottomsSkirtLongFlower_02.png")</f>
        <v/>
      </c>
      <c r="F97" s="22" t="str">
        <f>IMAGE("https://raw.githubusercontent.com/ltdimages/images/refs/heads/main/ClothBottomsSkirtLongFlower_03.png")</f>
        <v/>
      </c>
      <c r="G97" s="22" t="s">
        <v>3095</v>
      </c>
      <c r="H97" s="22" t="s">
        <v>3095</v>
      </c>
      <c r="I97" s="22" t="s">
        <v>3095</v>
      </c>
      <c r="J97" s="22" t="s">
        <v>3095</v>
      </c>
      <c r="K97" s="63" t="s">
        <v>4287</v>
      </c>
      <c r="L97" s="23">
        <v>9.9</v>
      </c>
      <c r="M97" s="22" t="s">
        <v>4231</v>
      </c>
      <c r="N97" s="22" t="s">
        <v>3099</v>
      </c>
      <c r="O97" s="22" t="s">
        <v>45</v>
      </c>
      <c r="P97" s="22" t="s">
        <v>45</v>
      </c>
      <c r="Q97" s="22" t="s">
        <v>45</v>
      </c>
      <c r="R97" s="22" t="s">
        <v>45</v>
      </c>
      <c r="S97" s="22" t="s">
        <v>45</v>
      </c>
      <c r="T97" s="22" t="s">
        <v>2002</v>
      </c>
      <c r="U97" s="22" t="s">
        <v>45</v>
      </c>
      <c r="V97" s="22" t="s">
        <v>45</v>
      </c>
      <c r="W97" s="22" t="s">
        <v>5382</v>
      </c>
      <c r="X97" s="22" t="s">
        <v>3095</v>
      </c>
      <c r="Y97" s="22" t="s">
        <v>3095</v>
      </c>
      <c r="Z97" s="22" t="s">
        <v>3095</v>
      </c>
      <c r="AA97" s="22" t="s">
        <v>3095</v>
      </c>
      <c r="AB97" s="22" t="s">
        <v>3095</v>
      </c>
      <c r="AC97" s="22" t="s">
        <v>3095</v>
      </c>
      <c r="AD97" s="22" t="s">
        <v>3095</v>
      </c>
      <c r="AE97" s="22" t="s">
        <v>3095</v>
      </c>
      <c r="AF97" s="22" t="s">
        <v>3095</v>
      </c>
    </row>
    <row r="98" ht="45.0" customHeight="1">
      <c r="A98" s="55" t="s">
        <v>467</v>
      </c>
      <c r="B98" s="62" t="s">
        <v>4368</v>
      </c>
      <c r="C98" s="22" t="str">
        <f>IMAGE("https://raw.githubusercontent.com/ltdimages/images/refs/heads/main/ClothBottomsSkirtMiniFrill_00.png")</f>
        <v/>
      </c>
      <c r="D98" s="22" t="str">
        <f>IMAGE("https://raw.githubusercontent.com/ltdimages/images/refs/heads/main/ClothBottomsSkirtMiniFrill_01.png")</f>
        <v/>
      </c>
      <c r="E98" s="22" t="str">
        <f>IMAGE("https://raw.githubusercontent.com/ltdimages/images/refs/heads/main/ClothBottomsSkirtMiniFrill_02.png")</f>
        <v/>
      </c>
      <c r="F98" s="22" t="str">
        <f>IMAGE("https://raw.githubusercontent.com/ltdimages/images/refs/heads/main/ClothBottomsSkirtMiniFrill_03.png")</f>
        <v/>
      </c>
      <c r="G98" s="22" t="str">
        <f>IMAGE("https://raw.githubusercontent.com/ltdimages/images/refs/heads/main/ClothBottomsSkirtMiniFrill_04.png")</f>
        <v/>
      </c>
      <c r="H98" s="22" t="str">
        <f>IMAGE("https://raw.githubusercontent.com/ltdimages/images/refs/heads/main/ClothBottomsSkirtMiniFrill_05.png")</f>
        <v/>
      </c>
      <c r="I98" s="22" t="s">
        <v>3095</v>
      </c>
      <c r="J98" s="22" t="s">
        <v>3095</v>
      </c>
      <c r="K98" s="63" t="s">
        <v>4287</v>
      </c>
      <c r="L98" s="23">
        <v>11.0</v>
      </c>
      <c r="M98" s="22" t="s">
        <v>4231</v>
      </c>
      <c r="N98" s="22" t="s">
        <v>3099</v>
      </c>
      <c r="O98" s="22" t="s">
        <v>45</v>
      </c>
      <c r="P98" s="22" t="s">
        <v>45</v>
      </c>
      <c r="Q98" s="22" t="s">
        <v>45</v>
      </c>
      <c r="R98" s="22" t="s">
        <v>45</v>
      </c>
      <c r="S98" s="22" t="s">
        <v>45</v>
      </c>
      <c r="T98" s="22" t="s">
        <v>2002</v>
      </c>
      <c r="U98" s="22" t="s">
        <v>45</v>
      </c>
      <c r="V98" s="22" t="s">
        <v>45</v>
      </c>
      <c r="W98" s="22" t="s">
        <v>5383</v>
      </c>
      <c r="X98" s="22" t="s">
        <v>3095</v>
      </c>
      <c r="Y98" s="22" t="s">
        <v>3095</v>
      </c>
      <c r="Z98" s="22" t="s">
        <v>3095</v>
      </c>
      <c r="AA98" s="22" t="s">
        <v>3095</v>
      </c>
      <c r="AB98" s="22" t="s">
        <v>3095</v>
      </c>
      <c r="AC98" s="22" t="s">
        <v>3095</v>
      </c>
      <c r="AD98" s="22" t="s">
        <v>3095</v>
      </c>
      <c r="AE98" s="22" t="s">
        <v>3095</v>
      </c>
      <c r="AF98" s="22" t="s">
        <v>3095</v>
      </c>
    </row>
    <row r="99" ht="45.0" customHeight="1">
      <c r="A99" s="55" t="s">
        <v>471</v>
      </c>
      <c r="B99" s="62" t="s">
        <v>5384</v>
      </c>
      <c r="C99" s="22" t="str">
        <f>IMAGE("https://raw.githubusercontent.com/ltdimages/images/refs/heads/main/ClothBottomsSkirtLongFolklore_00.png")</f>
        <v/>
      </c>
      <c r="D99" s="22" t="str">
        <f>IMAGE("https://raw.githubusercontent.com/ltdimages/images/refs/heads/main/ClothBottomsSkirtLongFolklore_01.png")</f>
        <v/>
      </c>
      <c r="E99" s="22" t="str">
        <f>IMAGE("https://raw.githubusercontent.com/ltdimages/images/refs/heads/main/ClothBottomsSkirtLongFolklore_02.png")</f>
        <v/>
      </c>
      <c r="F99" s="22" t="str">
        <f>IMAGE("https://raw.githubusercontent.com/ltdimages/images/refs/heads/main/ClothBottomsSkirtLongFolklore_03.png")</f>
        <v/>
      </c>
      <c r="G99" s="22" t="s">
        <v>3095</v>
      </c>
      <c r="H99" s="22" t="s">
        <v>3095</v>
      </c>
      <c r="I99" s="22" t="s">
        <v>3095</v>
      </c>
      <c r="J99" s="22" t="s">
        <v>3095</v>
      </c>
      <c r="K99" s="63" t="s">
        <v>4287</v>
      </c>
      <c r="L99" s="23">
        <v>11.0</v>
      </c>
      <c r="M99" s="22" t="s">
        <v>4231</v>
      </c>
      <c r="N99" s="22" t="s">
        <v>3099</v>
      </c>
      <c r="O99" s="22" t="s">
        <v>45</v>
      </c>
      <c r="P99" s="22" t="s">
        <v>45</v>
      </c>
      <c r="Q99" s="22" t="s">
        <v>45</v>
      </c>
      <c r="R99" s="22" t="s">
        <v>45</v>
      </c>
      <c r="S99" s="22" t="s">
        <v>45</v>
      </c>
      <c r="T99" s="22" t="s">
        <v>2002</v>
      </c>
      <c r="U99" s="22" t="s">
        <v>45</v>
      </c>
      <c r="V99" s="22" t="s">
        <v>45</v>
      </c>
      <c r="W99" s="22" t="s">
        <v>5385</v>
      </c>
      <c r="X99" s="22" t="s">
        <v>3095</v>
      </c>
      <c r="Y99" s="22" t="s">
        <v>3095</v>
      </c>
      <c r="Z99" s="22" t="s">
        <v>3095</v>
      </c>
      <c r="AA99" s="22" t="s">
        <v>3095</v>
      </c>
      <c r="AB99" s="22" t="s">
        <v>3095</v>
      </c>
      <c r="AC99" s="22" t="s">
        <v>3095</v>
      </c>
      <c r="AD99" s="22" t="s">
        <v>3095</v>
      </c>
      <c r="AE99" s="22" t="s">
        <v>3095</v>
      </c>
      <c r="AF99" s="22" t="s">
        <v>3095</v>
      </c>
    </row>
    <row r="100" ht="45.0" customHeight="1">
      <c r="A100" s="55" t="s">
        <v>475</v>
      </c>
      <c r="B100" s="62" t="s">
        <v>5386</v>
      </c>
      <c r="C100" s="22" t="str">
        <f>IMAGE("https://raw.githubusercontent.com/ltdimages/images/refs/heads/main/ClothBottomsPantsWideGlen_00.png")</f>
        <v/>
      </c>
      <c r="D100" s="22" t="str">
        <f>IMAGE("https://raw.githubusercontent.com/ltdimages/images/refs/heads/main/ClothBottomsPantsWideGlen_01.png")</f>
        <v/>
      </c>
      <c r="E100" s="22" t="str">
        <f>IMAGE("https://raw.githubusercontent.com/ltdimages/images/refs/heads/main/ClothBottomsPantsWideGlen_02.png")</f>
        <v/>
      </c>
      <c r="F100" s="22" t="str">
        <f>IMAGE("https://raw.githubusercontent.com/ltdimages/images/refs/heads/main/ClothBottomsPantsWideGlen_03.png")</f>
        <v/>
      </c>
      <c r="G100" s="22" t="str">
        <f>IMAGE("https://raw.githubusercontent.com/ltdimages/images/refs/heads/main/ClothBottomsPantsWideGlen_04.png")</f>
        <v/>
      </c>
      <c r="H100" s="22" t="str">
        <f>IMAGE("https://raw.githubusercontent.com/ltdimages/images/refs/heads/main/ClothBottomsPantsWideGlen_05.png")</f>
        <v/>
      </c>
      <c r="I100" s="22" t="s">
        <v>3095</v>
      </c>
      <c r="J100" s="22" t="s">
        <v>3095</v>
      </c>
      <c r="K100" s="63" t="s">
        <v>4287</v>
      </c>
      <c r="L100" s="23">
        <v>12.0</v>
      </c>
      <c r="M100" s="22" t="s">
        <v>4231</v>
      </c>
      <c r="N100" s="22" t="s">
        <v>3099</v>
      </c>
      <c r="O100" s="22" t="s">
        <v>45</v>
      </c>
      <c r="P100" s="22" t="s">
        <v>45</v>
      </c>
      <c r="Q100" s="22" t="s">
        <v>45</v>
      </c>
      <c r="R100" s="22" t="s">
        <v>45</v>
      </c>
      <c r="S100" s="22" t="s">
        <v>45</v>
      </c>
      <c r="T100" s="22" t="s">
        <v>2002</v>
      </c>
      <c r="U100" s="22" t="s">
        <v>45</v>
      </c>
      <c r="V100" s="22" t="s">
        <v>45</v>
      </c>
      <c r="W100" s="22" t="s">
        <v>5387</v>
      </c>
      <c r="X100" s="22" t="s">
        <v>3095</v>
      </c>
      <c r="Y100" s="22" t="s">
        <v>3095</v>
      </c>
      <c r="Z100" s="22" t="s">
        <v>3095</v>
      </c>
      <c r="AA100" s="22" t="s">
        <v>3095</v>
      </c>
      <c r="AB100" s="22" t="s">
        <v>3095</v>
      </c>
      <c r="AC100" s="22" t="s">
        <v>3095</v>
      </c>
      <c r="AD100" s="22" t="s">
        <v>3095</v>
      </c>
      <c r="AE100" s="22" t="s">
        <v>3095</v>
      </c>
      <c r="AF100" s="22" t="s">
        <v>3095</v>
      </c>
    </row>
    <row r="101" ht="45.0" customHeight="1">
      <c r="A101" s="55" t="s">
        <v>479</v>
      </c>
      <c r="B101" s="62" t="s">
        <v>5388</v>
      </c>
      <c r="C101" s="22" t="str">
        <f>IMAGE("https://raw.githubusercontent.com/ltdimages/images/refs/heads/main/ClothBottomsSkirtMiniGobelin_00.png")</f>
        <v/>
      </c>
      <c r="D101" s="22" t="str">
        <f>IMAGE("https://raw.githubusercontent.com/ltdimages/images/refs/heads/main/ClothBottomsSkirtMiniGobelin_01.png")</f>
        <v/>
      </c>
      <c r="E101" s="22" t="s">
        <v>3095</v>
      </c>
      <c r="F101" s="22" t="s">
        <v>3095</v>
      </c>
      <c r="G101" s="22" t="s">
        <v>3095</v>
      </c>
      <c r="H101" s="22" t="s">
        <v>3095</v>
      </c>
      <c r="I101" s="22" t="s">
        <v>3095</v>
      </c>
      <c r="J101" s="22" t="s">
        <v>3095</v>
      </c>
      <c r="K101" s="63" t="s">
        <v>4287</v>
      </c>
      <c r="L101" s="23">
        <v>11.0</v>
      </c>
      <c r="M101" s="22" t="s">
        <v>4231</v>
      </c>
      <c r="N101" s="22" t="s">
        <v>3099</v>
      </c>
      <c r="O101" s="22" t="s">
        <v>45</v>
      </c>
      <c r="P101" s="22" t="s">
        <v>45</v>
      </c>
      <c r="Q101" s="22" t="s">
        <v>45</v>
      </c>
      <c r="R101" s="22" t="s">
        <v>45</v>
      </c>
      <c r="S101" s="22" t="s">
        <v>45</v>
      </c>
      <c r="T101" s="22" t="s">
        <v>2002</v>
      </c>
      <c r="U101" s="22" t="s">
        <v>45</v>
      </c>
      <c r="V101" s="22" t="s">
        <v>45</v>
      </c>
      <c r="W101" s="22" t="s">
        <v>5389</v>
      </c>
      <c r="X101" s="22" t="s">
        <v>3095</v>
      </c>
      <c r="Y101" s="22" t="s">
        <v>3095</v>
      </c>
      <c r="Z101" s="22" t="s">
        <v>3095</v>
      </c>
      <c r="AA101" s="22" t="s">
        <v>3095</v>
      </c>
      <c r="AB101" s="22" t="s">
        <v>3095</v>
      </c>
      <c r="AC101" s="22" t="s">
        <v>3095</v>
      </c>
      <c r="AD101" s="22" t="s">
        <v>3095</v>
      </c>
      <c r="AE101" s="22" t="s">
        <v>3095</v>
      </c>
      <c r="AF101" s="22" t="s">
        <v>3095</v>
      </c>
    </row>
    <row r="102" ht="45.0" customHeight="1">
      <c r="A102" s="55" t="s">
        <v>483</v>
      </c>
      <c r="B102" s="62" t="s">
        <v>5390</v>
      </c>
      <c r="C102" s="22" t="str">
        <f>IMAGE("https://raw.githubusercontent.com/ltdimages/images/refs/heads/main/ClothBottomsSkirtLongGradation_00.png")</f>
        <v/>
      </c>
      <c r="D102" s="22" t="str">
        <f>IMAGE("https://raw.githubusercontent.com/ltdimages/images/refs/heads/main/ClothBottomsSkirtLongGradation_01.png")</f>
        <v/>
      </c>
      <c r="E102" s="22" t="str">
        <f>IMAGE("https://raw.githubusercontent.com/ltdimages/images/refs/heads/main/ClothBottomsSkirtLongGradation_02.png")</f>
        <v/>
      </c>
      <c r="F102" s="22" t="str">
        <f>IMAGE("https://raw.githubusercontent.com/ltdimages/images/refs/heads/main/ClothBottomsSkirtLongGradation_03.png")</f>
        <v/>
      </c>
      <c r="G102" s="22" t="s">
        <v>3095</v>
      </c>
      <c r="H102" s="22" t="s">
        <v>3095</v>
      </c>
      <c r="I102" s="22" t="s">
        <v>3095</v>
      </c>
      <c r="J102" s="22" t="s">
        <v>3095</v>
      </c>
      <c r="K102" s="63" t="s">
        <v>4287</v>
      </c>
      <c r="L102" s="23">
        <v>10.5</v>
      </c>
      <c r="M102" s="22" t="s">
        <v>4231</v>
      </c>
      <c r="N102" s="22" t="s">
        <v>3123</v>
      </c>
      <c r="O102" s="22" t="s">
        <v>45</v>
      </c>
      <c r="P102" s="22" t="s">
        <v>45</v>
      </c>
      <c r="Q102" s="22" t="s">
        <v>45</v>
      </c>
      <c r="R102" s="22" t="s">
        <v>45</v>
      </c>
      <c r="S102" s="22" t="s">
        <v>45</v>
      </c>
      <c r="T102" s="22" t="s">
        <v>2002</v>
      </c>
      <c r="U102" s="22" t="s">
        <v>45</v>
      </c>
      <c r="V102" s="22" t="s">
        <v>45</v>
      </c>
      <c r="W102" s="22" t="s">
        <v>5391</v>
      </c>
      <c r="X102" s="22" t="s">
        <v>3095</v>
      </c>
      <c r="Y102" s="22" t="s">
        <v>3095</v>
      </c>
      <c r="Z102" s="22" t="s">
        <v>3095</v>
      </c>
      <c r="AA102" s="22" t="s">
        <v>3095</v>
      </c>
      <c r="AB102" s="22" t="s">
        <v>3095</v>
      </c>
      <c r="AC102" s="22" t="s">
        <v>3095</v>
      </c>
      <c r="AD102" s="22" t="s">
        <v>3095</v>
      </c>
      <c r="AE102" s="22" t="s">
        <v>3095</v>
      </c>
      <c r="AF102" s="22" t="s">
        <v>3095</v>
      </c>
    </row>
    <row r="103" ht="45.0" customHeight="1">
      <c r="A103" s="55" t="s">
        <v>488</v>
      </c>
      <c r="B103" s="62" t="s">
        <v>4353</v>
      </c>
      <c r="C103" s="22" t="str">
        <f>IMAGE("https://raw.githubusercontent.com/ltdimages/images/refs/heads/main/ClothBottomsSkirtMiniHeartBuckle_00.png")</f>
        <v/>
      </c>
      <c r="D103" s="22" t="str">
        <f>IMAGE("https://raw.githubusercontent.com/ltdimages/images/refs/heads/main/ClothBottomsSkirtMiniHeartBuckle_01.png")</f>
        <v/>
      </c>
      <c r="E103" s="22" t="str">
        <f>IMAGE("https://raw.githubusercontent.com/ltdimages/images/refs/heads/main/ClothBottomsSkirtMiniHeartBuckle_02.png")</f>
        <v/>
      </c>
      <c r="F103" s="22" t="str">
        <f>IMAGE("https://raw.githubusercontent.com/ltdimages/images/refs/heads/main/ClothBottomsSkirtMiniHeartBuckle_03.png")</f>
        <v/>
      </c>
      <c r="G103" s="22" t="str">
        <f>IMAGE("https://raw.githubusercontent.com/ltdimages/images/refs/heads/main/ClothBottomsSkirtMiniHeartBuckle_04.png")</f>
        <v/>
      </c>
      <c r="H103" s="22" t="str">
        <f>IMAGE("https://raw.githubusercontent.com/ltdimages/images/refs/heads/main/ClothBottomsSkirtMiniHeartBuckle_05.png")</f>
        <v/>
      </c>
      <c r="I103" s="22" t="s">
        <v>3095</v>
      </c>
      <c r="J103" s="22" t="s">
        <v>3095</v>
      </c>
      <c r="K103" s="63" t="s">
        <v>4287</v>
      </c>
      <c r="L103" s="23">
        <v>10.0</v>
      </c>
      <c r="M103" s="22" t="s">
        <v>4231</v>
      </c>
      <c r="N103" s="22" t="s">
        <v>3099</v>
      </c>
      <c r="O103" s="22" t="s">
        <v>45</v>
      </c>
      <c r="P103" s="22" t="s">
        <v>45</v>
      </c>
      <c r="Q103" s="22" t="s">
        <v>45</v>
      </c>
      <c r="R103" s="22" t="s">
        <v>45</v>
      </c>
      <c r="S103" s="22" t="s">
        <v>45</v>
      </c>
      <c r="T103" s="22" t="s">
        <v>2002</v>
      </c>
      <c r="U103" s="22" t="s">
        <v>45</v>
      </c>
      <c r="V103" s="22" t="s">
        <v>45</v>
      </c>
      <c r="W103" s="22" t="s">
        <v>5392</v>
      </c>
      <c r="X103" s="22" t="s">
        <v>3095</v>
      </c>
      <c r="Y103" s="22" t="s">
        <v>3095</v>
      </c>
      <c r="Z103" s="22" t="s">
        <v>3095</v>
      </c>
      <c r="AA103" s="22" t="s">
        <v>3095</v>
      </c>
      <c r="AB103" s="22" t="s">
        <v>3095</v>
      </c>
      <c r="AC103" s="22" t="s">
        <v>3095</v>
      </c>
      <c r="AD103" s="22" t="s">
        <v>3095</v>
      </c>
      <c r="AE103" s="22" t="s">
        <v>3095</v>
      </c>
      <c r="AF103" s="22" t="s">
        <v>3095</v>
      </c>
    </row>
    <row r="104" ht="45.0" customHeight="1">
      <c r="A104" s="55" t="s">
        <v>492</v>
      </c>
      <c r="B104" s="62" t="s">
        <v>5393</v>
      </c>
      <c r="C104" s="22" t="str">
        <f>IMAGE("https://raw.githubusercontent.com/ltdimages/images/refs/heads/main/ClothBottomsSkirtBoxChidori_00.png")</f>
        <v/>
      </c>
      <c r="D104" s="22" t="str">
        <f>IMAGE("https://raw.githubusercontent.com/ltdimages/images/refs/heads/main/ClothBottomsSkirtBoxChidori_01.png")</f>
        <v/>
      </c>
      <c r="E104" s="22" t="str">
        <f>IMAGE("https://raw.githubusercontent.com/ltdimages/images/refs/heads/main/ClothBottomsSkirtBoxChidori_02.png")</f>
        <v/>
      </c>
      <c r="F104" s="22" t="str">
        <f>IMAGE("https://raw.githubusercontent.com/ltdimages/images/refs/heads/main/ClothBottomsSkirtBoxChidori_03.png")</f>
        <v/>
      </c>
      <c r="G104" s="22" t="s">
        <v>3095</v>
      </c>
      <c r="H104" s="22" t="s">
        <v>3095</v>
      </c>
      <c r="I104" s="22" t="s">
        <v>3095</v>
      </c>
      <c r="J104" s="22" t="s">
        <v>3095</v>
      </c>
      <c r="K104" s="63" t="s">
        <v>4287</v>
      </c>
      <c r="L104" s="23">
        <v>11.0</v>
      </c>
      <c r="M104" s="22" t="s">
        <v>4231</v>
      </c>
      <c r="N104" s="22" t="s">
        <v>3099</v>
      </c>
      <c r="O104" s="22" t="s">
        <v>45</v>
      </c>
      <c r="P104" s="22" t="s">
        <v>45</v>
      </c>
      <c r="Q104" s="22" t="s">
        <v>45</v>
      </c>
      <c r="R104" s="22" t="s">
        <v>45</v>
      </c>
      <c r="S104" s="22" t="s">
        <v>45</v>
      </c>
      <c r="T104" s="22" t="s">
        <v>2002</v>
      </c>
      <c r="U104" s="22" t="s">
        <v>45</v>
      </c>
      <c r="V104" s="22" t="s">
        <v>45</v>
      </c>
      <c r="W104" s="22" t="s">
        <v>5394</v>
      </c>
      <c r="X104" s="22" t="s">
        <v>3095</v>
      </c>
      <c r="Y104" s="22" t="s">
        <v>3095</v>
      </c>
      <c r="Z104" s="22" t="s">
        <v>3095</v>
      </c>
      <c r="AA104" s="22" t="s">
        <v>3095</v>
      </c>
      <c r="AB104" s="22" t="s">
        <v>3095</v>
      </c>
      <c r="AC104" s="22" t="s">
        <v>3095</v>
      </c>
      <c r="AD104" s="22" t="s">
        <v>3095</v>
      </c>
      <c r="AE104" s="22" t="s">
        <v>3095</v>
      </c>
      <c r="AF104" s="22" t="s">
        <v>3095</v>
      </c>
    </row>
    <row r="105" ht="45.0" customHeight="1">
      <c r="A105" s="55" t="s">
        <v>496</v>
      </c>
      <c r="B105" s="62" t="s">
        <v>5395</v>
      </c>
      <c r="C105" s="22" t="str">
        <f>IMAGE("https://raw.githubusercontent.com/ltdimages/images/refs/heads/main/ClothBottomsSkirtBoxLace_00.png")</f>
        <v/>
      </c>
      <c r="D105" s="22" t="str">
        <f>IMAGE("https://raw.githubusercontent.com/ltdimages/images/refs/heads/main/ClothBottomsSkirtBoxLace_01.png")</f>
        <v/>
      </c>
      <c r="E105" s="22" t="str">
        <f>IMAGE("https://raw.githubusercontent.com/ltdimages/images/refs/heads/main/ClothBottomsSkirtBoxLace_02.png")</f>
        <v/>
      </c>
      <c r="F105" s="22" t="str">
        <f>IMAGE("https://raw.githubusercontent.com/ltdimages/images/refs/heads/main/ClothBottomsSkirtBoxLace_03.png")</f>
        <v/>
      </c>
      <c r="G105" s="22" t="str">
        <f>IMAGE("https://raw.githubusercontent.com/ltdimages/images/refs/heads/main/ClothBottomsSkirtBoxLace_04.png")</f>
        <v/>
      </c>
      <c r="H105" s="22" t="str">
        <f>IMAGE("https://raw.githubusercontent.com/ltdimages/images/refs/heads/main/ClothBottomsSkirtBoxLace_05.png")</f>
        <v/>
      </c>
      <c r="I105" s="22" t="s">
        <v>3095</v>
      </c>
      <c r="J105" s="22" t="s">
        <v>3095</v>
      </c>
      <c r="K105" s="63" t="s">
        <v>4287</v>
      </c>
      <c r="L105" s="23">
        <v>14.0</v>
      </c>
      <c r="M105" s="22" t="s">
        <v>4231</v>
      </c>
      <c r="N105" s="22" t="s">
        <v>3099</v>
      </c>
      <c r="O105" s="22" t="s">
        <v>45</v>
      </c>
      <c r="P105" s="22" t="s">
        <v>45</v>
      </c>
      <c r="Q105" s="22" t="s">
        <v>45</v>
      </c>
      <c r="R105" s="22" t="s">
        <v>45</v>
      </c>
      <c r="S105" s="22" t="s">
        <v>45</v>
      </c>
      <c r="T105" s="22" t="s">
        <v>2002</v>
      </c>
      <c r="U105" s="22" t="s">
        <v>45</v>
      </c>
      <c r="V105" s="22" t="s">
        <v>45</v>
      </c>
      <c r="W105" s="22" t="s">
        <v>5396</v>
      </c>
      <c r="X105" s="22" t="s">
        <v>3095</v>
      </c>
      <c r="Y105" s="22" t="s">
        <v>3095</v>
      </c>
      <c r="Z105" s="22" t="s">
        <v>3095</v>
      </c>
      <c r="AA105" s="22" t="s">
        <v>3095</v>
      </c>
      <c r="AB105" s="22" t="s">
        <v>3095</v>
      </c>
      <c r="AC105" s="22" t="s">
        <v>3095</v>
      </c>
      <c r="AD105" s="22" t="s">
        <v>3095</v>
      </c>
      <c r="AE105" s="22" t="s">
        <v>3095</v>
      </c>
      <c r="AF105" s="22" t="s">
        <v>3095</v>
      </c>
    </row>
    <row r="106" ht="45.0" customHeight="1">
      <c r="A106" s="55" t="s">
        <v>500</v>
      </c>
      <c r="B106" s="62" t="s">
        <v>5397</v>
      </c>
      <c r="C106" s="22" t="str">
        <f>IMAGE("https://raw.githubusercontent.com/ltdimages/images/refs/heads/main/ClothBottomsSkirtMiniLeather_00.png")</f>
        <v/>
      </c>
      <c r="D106" s="22" t="str">
        <f>IMAGE("https://raw.githubusercontent.com/ltdimages/images/refs/heads/main/ClothBottomsSkirtMiniLeather_01.png")</f>
        <v/>
      </c>
      <c r="E106" s="22" t="str">
        <f>IMAGE("https://raw.githubusercontent.com/ltdimages/images/refs/heads/main/ClothBottomsSkirtMiniLeather_02.png")</f>
        <v/>
      </c>
      <c r="F106" s="22" t="str">
        <f>IMAGE("https://raw.githubusercontent.com/ltdimages/images/refs/heads/main/ClothBottomsSkirtMiniLeather_03.png")</f>
        <v/>
      </c>
      <c r="G106" s="22" t="str">
        <f>IMAGE("https://raw.githubusercontent.com/ltdimages/images/refs/heads/main/ClothBottomsSkirtMiniLeather_04.png")</f>
        <v/>
      </c>
      <c r="H106" s="22" t="str">
        <f>IMAGE("https://raw.githubusercontent.com/ltdimages/images/refs/heads/main/ClothBottomsSkirtMiniLeather_05.png")</f>
        <v/>
      </c>
      <c r="I106" s="22" t="s">
        <v>3095</v>
      </c>
      <c r="J106" s="22" t="s">
        <v>3095</v>
      </c>
      <c r="K106" s="63" t="s">
        <v>4287</v>
      </c>
      <c r="L106" s="23">
        <v>12.0</v>
      </c>
      <c r="M106" s="22" t="s">
        <v>4231</v>
      </c>
      <c r="N106" s="22" t="s">
        <v>3099</v>
      </c>
      <c r="O106" s="22" t="s">
        <v>45</v>
      </c>
      <c r="P106" s="22" t="s">
        <v>45</v>
      </c>
      <c r="Q106" s="22" t="s">
        <v>45</v>
      </c>
      <c r="R106" s="22" t="s">
        <v>45</v>
      </c>
      <c r="S106" s="22" t="s">
        <v>45</v>
      </c>
      <c r="T106" s="22" t="s">
        <v>2002</v>
      </c>
      <c r="U106" s="22" t="s">
        <v>45</v>
      </c>
      <c r="V106" s="22" t="s">
        <v>45</v>
      </c>
      <c r="W106" s="22" t="s">
        <v>5398</v>
      </c>
      <c r="X106" s="22" t="s">
        <v>3095</v>
      </c>
      <c r="Y106" s="22" t="s">
        <v>3095</v>
      </c>
      <c r="Z106" s="22" t="s">
        <v>3095</v>
      </c>
      <c r="AA106" s="22" t="s">
        <v>3095</v>
      </c>
      <c r="AB106" s="22" t="s">
        <v>3095</v>
      </c>
      <c r="AC106" s="22" t="s">
        <v>3095</v>
      </c>
      <c r="AD106" s="22" t="s">
        <v>3095</v>
      </c>
      <c r="AE106" s="22" t="s">
        <v>3095</v>
      </c>
      <c r="AF106" s="22" t="s">
        <v>3095</v>
      </c>
    </row>
    <row r="107" ht="45.0" customHeight="1">
      <c r="A107" s="55" t="s">
        <v>504</v>
      </c>
      <c r="B107" s="62" t="s">
        <v>4584</v>
      </c>
      <c r="C107" s="22" t="str">
        <f>IMAGE("https://raw.githubusercontent.com/ltdimages/images/refs/heads/main/ClothBottomsSkirtLongLemon_00.png")</f>
        <v/>
      </c>
      <c r="D107" s="22" t="str">
        <f>IMAGE("https://raw.githubusercontent.com/ltdimages/images/refs/heads/main/ClothBottomsSkirtLongLemon_01.png")</f>
        <v/>
      </c>
      <c r="E107" s="22" t="str">
        <f>IMAGE("https://raw.githubusercontent.com/ltdimages/images/refs/heads/main/ClothBottomsSkirtLongLemon_02.png")</f>
        <v/>
      </c>
      <c r="F107" s="22" t="str">
        <f>IMAGE("https://raw.githubusercontent.com/ltdimages/images/refs/heads/main/ClothBottomsSkirtLongLemon_03.png")</f>
        <v/>
      </c>
      <c r="G107" s="22" t="s">
        <v>3095</v>
      </c>
      <c r="H107" s="22" t="s">
        <v>3095</v>
      </c>
      <c r="I107" s="22" t="s">
        <v>3095</v>
      </c>
      <c r="J107" s="22" t="s">
        <v>3095</v>
      </c>
      <c r="K107" s="63" t="s">
        <v>4287</v>
      </c>
      <c r="L107" s="23">
        <v>12.0</v>
      </c>
      <c r="M107" s="22" t="s">
        <v>4231</v>
      </c>
      <c r="N107" s="22" t="s">
        <v>3123</v>
      </c>
      <c r="O107" s="22" t="s">
        <v>45</v>
      </c>
      <c r="P107" s="22" t="s">
        <v>45</v>
      </c>
      <c r="Q107" s="22" t="s">
        <v>45</v>
      </c>
      <c r="R107" s="22" t="s">
        <v>45</v>
      </c>
      <c r="S107" s="22" t="s">
        <v>45</v>
      </c>
      <c r="T107" s="22" t="s">
        <v>2002</v>
      </c>
      <c r="U107" s="22" t="s">
        <v>45</v>
      </c>
      <c r="V107" s="22" t="s">
        <v>45</v>
      </c>
      <c r="W107" s="22" t="s">
        <v>5399</v>
      </c>
      <c r="X107" s="22" t="s">
        <v>3095</v>
      </c>
      <c r="Y107" s="22" t="s">
        <v>3095</v>
      </c>
      <c r="Z107" s="22" t="s">
        <v>3095</v>
      </c>
      <c r="AA107" s="22" t="s">
        <v>3095</v>
      </c>
      <c r="AB107" s="22" t="s">
        <v>3095</v>
      </c>
      <c r="AC107" s="22" t="s">
        <v>3095</v>
      </c>
      <c r="AD107" s="22" t="s">
        <v>3095</v>
      </c>
      <c r="AE107" s="22" t="s">
        <v>3095</v>
      </c>
      <c r="AF107" s="22" t="s">
        <v>3095</v>
      </c>
    </row>
    <row r="108" ht="45.0" customHeight="1">
      <c r="A108" s="55" t="s">
        <v>508</v>
      </c>
      <c r="B108" s="62" t="s">
        <v>5400</v>
      </c>
      <c r="C108" s="22" t="str">
        <f>IMAGE("https://raw.githubusercontent.com/ltdimages/images/refs/heads/main/ClothBottomsSkirtLongLeopard_00.png")</f>
        <v/>
      </c>
      <c r="D108" s="22" t="str">
        <f>IMAGE("https://raw.githubusercontent.com/ltdimages/images/refs/heads/main/ClothBottomsSkirtLongLeopard_01.png")</f>
        <v/>
      </c>
      <c r="E108" s="22" t="str">
        <f>IMAGE("https://raw.githubusercontent.com/ltdimages/images/refs/heads/main/ClothBottomsSkirtLongLeopard_02.png")</f>
        <v/>
      </c>
      <c r="F108" s="22" t="s">
        <v>3095</v>
      </c>
      <c r="G108" s="22" t="s">
        <v>3095</v>
      </c>
      <c r="H108" s="22" t="s">
        <v>3095</v>
      </c>
      <c r="I108" s="22" t="s">
        <v>3095</v>
      </c>
      <c r="J108" s="22" t="s">
        <v>3095</v>
      </c>
      <c r="K108" s="63" t="s">
        <v>4287</v>
      </c>
      <c r="L108" s="23">
        <v>12.0</v>
      </c>
      <c r="M108" s="22" t="s">
        <v>4231</v>
      </c>
      <c r="N108" s="22" t="s">
        <v>3099</v>
      </c>
      <c r="O108" s="22" t="s">
        <v>45</v>
      </c>
      <c r="P108" s="22" t="s">
        <v>45</v>
      </c>
      <c r="Q108" s="22" t="s">
        <v>45</v>
      </c>
      <c r="R108" s="22" t="s">
        <v>45</v>
      </c>
      <c r="S108" s="22" t="s">
        <v>45</v>
      </c>
      <c r="T108" s="22" t="s">
        <v>2002</v>
      </c>
      <c r="U108" s="22" t="s">
        <v>45</v>
      </c>
      <c r="V108" s="22" t="s">
        <v>45</v>
      </c>
      <c r="W108" s="22" t="s">
        <v>5401</v>
      </c>
      <c r="X108" s="22" t="s">
        <v>3095</v>
      </c>
      <c r="Y108" s="22" t="s">
        <v>3095</v>
      </c>
      <c r="Z108" s="22" t="s">
        <v>3095</v>
      </c>
      <c r="AA108" s="22" t="s">
        <v>3095</v>
      </c>
      <c r="AB108" s="22" t="s">
        <v>3095</v>
      </c>
      <c r="AC108" s="22" t="s">
        <v>3095</v>
      </c>
      <c r="AD108" s="22" t="s">
        <v>3095</v>
      </c>
      <c r="AE108" s="22" t="s">
        <v>3095</v>
      </c>
      <c r="AF108" s="22" t="s">
        <v>3095</v>
      </c>
    </row>
    <row r="109" ht="45.0" customHeight="1">
      <c r="A109" s="55" t="s">
        <v>512</v>
      </c>
      <c r="B109" s="62" t="s">
        <v>4274</v>
      </c>
      <c r="C109" s="22" t="str">
        <f>IMAGE("https://raw.githubusercontent.com/ltdimages/images/refs/heads/main/ClothBottomsSkirtBoxLeopard_00.png")</f>
        <v/>
      </c>
      <c r="D109" s="22" t="str">
        <f>IMAGE("https://raw.githubusercontent.com/ltdimages/images/refs/heads/main/ClothBottomsSkirtBoxLeopard_01.png")</f>
        <v/>
      </c>
      <c r="E109" s="22" t="str">
        <f>IMAGE("https://raw.githubusercontent.com/ltdimages/images/refs/heads/main/ClothBottomsSkirtBoxLeopard_02.png")</f>
        <v/>
      </c>
      <c r="F109" s="22" t="str">
        <f>IMAGE("https://raw.githubusercontent.com/ltdimages/images/refs/heads/main/ClothBottomsSkirtBoxLeopard_03.png")</f>
        <v/>
      </c>
      <c r="G109" s="22" t="str">
        <f>IMAGE("https://raw.githubusercontent.com/ltdimages/images/refs/heads/main/ClothBottomsSkirtBoxLeopard_04.png")</f>
        <v/>
      </c>
      <c r="H109" s="22" t="str">
        <f>IMAGE("https://raw.githubusercontent.com/ltdimages/images/refs/heads/main/ClothBottomsSkirtBoxLeopard_05.png")</f>
        <v/>
      </c>
      <c r="I109" s="22" t="s">
        <v>3095</v>
      </c>
      <c r="J109" s="22" t="s">
        <v>3095</v>
      </c>
      <c r="K109" s="63" t="s">
        <v>4287</v>
      </c>
      <c r="L109" s="23">
        <v>9.1</v>
      </c>
      <c r="M109" s="22" t="s">
        <v>4231</v>
      </c>
      <c r="N109" s="22" t="s">
        <v>3099</v>
      </c>
      <c r="O109" s="22" t="s">
        <v>45</v>
      </c>
      <c r="P109" s="22" t="s">
        <v>45</v>
      </c>
      <c r="Q109" s="22" t="s">
        <v>45</v>
      </c>
      <c r="R109" s="22" t="s">
        <v>45</v>
      </c>
      <c r="S109" s="22" t="s">
        <v>45</v>
      </c>
      <c r="T109" s="22" t="s">
        <v>2002</v>
      </c>
      <c r="U109" s="22" t="s">
        <v>45</v>
      </c>
      <c r="V109" s="22" t="s">
        <v>45</v>
      </c>
      <c r="W109" s="22" t="s">
        <v>5402</v>
      </c>
      <c r="X109" s="22" t="s">
        <v>3095</v>
      </c>
      <c r="Y109" s="22" t="s">
        <v>3095</v>
      </c>
      <c r="Z109" s="22" t="s">
        <v>3095</v>
      </c>
      <c r="AA109" s="22" t="s">
        <v>3095</v>
      </c>
      <c r="AB109" s="22" t="s">
        <v>3095</v>
      </c>
      <c r="AC109" s="22" t="s">
        <v>3095</v>
      </c>
      <c r="AD109" s="22" t="s">
        <v>3095</v>
      </c>
      <c r="AE109" s="22" t="s">
        <v>3095</v>
      </c>
      <c r="AF109" s="22" t="s">
        <v>3095</v>
      </c>
    </row>
    <row r="110" ht="45.0" customHeight="1">
      <c r="A110" s="55" t="s">
        <v>516</v>
      </c>
      <c r="B110" s="62" t="s">
        <v>4233</v>
      </c>
      <c r="C110" s="22" t="str">
        <f>IMAGE("https://raw.githubusercontent.com/ltdimages/images/refs/heads/main/ClothBottomsSkirtBoxLong_00.png")</f>
        <v/>
      </c>
      <c r="D110" s="22" t="str">
        <f>IMAGE("https://raw.githubusercontent.com/ltdimages/images/refs/heads/main/ClothBottomsSkirtBoxLong_01.png")</f>
        <v/>
      </c>
      <c r="E110" s="22" t="str">
        <f>IMAGE("https://raw.githubusercontent.com/ltdimages/images/refs/heads/main/ClothBottomsSkirtBoxLong_02.png")</f>
        <v/>
      </c>
      <c r="F110" s="22" t="str">
        <f>IMAGE("https://raw.githubusercontent.com/ltdimages/images/refs/heads/main/ClothBottomsSkirtBoxLong_03.png")</f>
        <v/>
      </c>
      <c r="G110" s="22" t="str">
        <f>IMAGE("https://raw.githubusercontent.com/ltdimages/images/refs/heads/main/ClothBottomsSkirtBoxLong_04.png")</f>
        <v/>
      </c>
      <c r="H110" s="22" t="str">
        <f>IMAGE("https://raw.githubusercontent.com/ltdimages/images/refs/heads/main/ClothBottomsSkirtBoxLong_05.png")</f>
        <v/>
      </c>
      <c r="I110" s="22" t="str">
        <f>IMAGE("https://raw.githubusercontent.com/ltdimages/images/refs/heads/main/ClothBottomsSkirtBoxLong_06.png")</f>
        <v/>
      </c>
      <c r="J110" s="22" t="str">
        <f>IMAGE("https://raw.githubusercontent.com/ltdimages/images/refs/heads/main/ClothBottomsSkirtBoxLong_07.png")</f>
        <v/>
      </c>
      <c r="K110" s="63" t="s">
        <v>4287</v>
      </c>
      <c r="L110" s="23">
        <v>12.2</v>
      </c>
      <c r="M110" s="22" t="s">
        <v>4231</v>
      </c>
      <c r="N110" s="22" t="s">
        <v>3099</v>
      </c>
      <c r="O110" s="22" t="s">
        <v>45</v>
      </c>
      <c r="P110" s="22" t="s">
        <v>45</v>
      </c>
      <c r="Q110" s="22" t="s">
        <v>45</v>
      </c>
      <c r="R110" s="22" t="s">
        <v>45</v>
      </c>
      <c r="S110" s="22" t="s">
        <v>45</v>
      </c>
      <c r="T110" s="22" t="s">
        <v>2002</v>
      </c>
      <c r="U110" s="22" t="s">
        <v>45</v>
      </c>
      <c r="V110" s="22" t="s">
        <v>45</v>
      </c>
      <c r="W110" s="22" t="s">
        <v>5403</v>
      </c>
      <c r="X110" s="22" t="s">
        <v>3095</v>
      </c>
      <c r="Y110" s="22" t="s">
        <v>3095</v>
      </c>
      <c r="Z110" s="22" t="s">
        <v>3095</v>
      </c>
      <c r="AA110" s="22" t="s">
        <v>3095</v>
      </c>
      <c r="AB110" s="22" t="s">
        <v>3095</v>
      </c>
      <c r="AC110" s="22" t="s">
        <v>3095</v>
      </c>
      <c r="AD110" s="22" t="s">
        <v>3095</v>
      </c>
      <c r="AE110" s="22" t="s">
        <v>3095</v>
      </c>
      <c r="AF110" s="22" t="s">
        <v>3095</v>
      </c>
    </row>
    <row r="111" ht="45.0" customHeight="1">
      <c r="A111" s="55" t="s">
        <v>521</v>
      </c>
      <c r="B111" s="62" t="s">
        <v>5404</v>
      </c>
      <c r="C111" s="22" t="str">
        <f>IMAGE("https://raw.githubusercontent.com/ltdimages/images/refs/heads/main/ClothBottomsSkirtBoxWrap_00.png")</f>
        <v/>
      </c>
      <c r="D111" s="22" t="str">
        <f>IMAGE("https://raw.githubusercontent.com/ltdimages/images/refs/heads/main/ClothBottomsSkirtBoxWrap_01.png")</f>
        <v/>
      </c>
      <c r="E111" s="22" t="str">
        <f>IMAGE("https://raw.githubusercontent.com/ltdimages/images/refs/heads/main/ClothBottomsSkirtBoxWrap_02.png")</f>
        <v/>
      </c>
      <c r="F111" s="22" t="str">
        <f>IMAGE("https://raw.githubusercontent.com/ltdimages/images/refs/heads/main/ClothBottomsSkirtBoxWrap_03.png")</f>
        <v/>
      </c>
      <c r="G111" s="22" t="str">
        <f>IMAGE("https://raw.githubusercontent.com/ltdimages/images/refs/heads/main/ClothBottomsSkirtBoxWrap_04.png")</f>
        <v/>
      </c>
      <c r="H111" s="22" t="str">
        <f>IMAGE("https://raw.githubusercontent.com/ltdimages/images/refs/heads/main/ClothBottomsSkirtBoxWrap_05.png")</f>
        <v/>
      </c>
      <c r="I111" s="22" t="str">
        <f>IMAGE("https://raw.githubusercontent.com/ltdimages/images/refs/heads/main/ClothBottomsSkirtBoxWrap_06.png")</f>
        <v/>
      </c>
      <c r="J111" s="22" t="str">
        <f>IMAGE("https://raw.githubusercontent.com/ltdimages/images/refs/heads/main/ClothBottomsSkirtBoxWrap_07.png")</f>
        <v/>
      </c>
      <c r="K111" s="63" t="s">
        <v>4287</v>
      </c>
      <c r="L111" s="23">
        <v>11.0</v>
      </c>
      <c r="M111" s="22" t="s">
        <v>4231</v>
      </c>
      <c r="N111" s="22" t="s">
        <v>3099</v>
      </c>
      <c r="O111" s="22" t="s">
        <v>45</v>
      </c>
      <c r="P111" s="22" t="s">
        <v>45</v>
      </c>
      <c r="Q111" s="22" t="s">
        <v>45</v>
      </c>
      <c r="R111" s="22" t="s">
        <v>45</v>
      </c>
      <c r="S111" s="22" t="s">
        <v>45</v>
      </c>
      <c r="T111" s="22" t="s">
        <v>2002</v>
      </c>
      <c r="U111" s="22" t="s">
        <v>45</v>
      </c>
      <c r="V111" s="22" t="s">
        <v>45</v>
      </c>
      <c r="W111" s="22" t="s">
        <v>5405</v>
      </c>
      <c r="X111" s="22" t="s">
        <v>3095</v>
      </c>
      <c r="Y111" s="22" t="s">
        <v>3095</v>
      </c>
      <c r="Z111" s="22" t="s">
        <v>3095</v>
      </c>
      <c r="AA111" s="22" t="s">
        <v>3095</v>
      </c>
      <c r="AB111" s="22" t="s">
        <v>3095</v>
      </c>
      <c r="AC111" s="22" t="s">
        <v>3095</v>
      </c>
      <c r="AD111" s="22" t="s">
        <v>3095</v>
      </c>
      <c r="AE111" s="22" t="s">
        <v>3095</v>
      </c>
      <c r="AF111" s="22" t="s">
        <v>3095</v>
      </c>
    </row>
    <row r="112" ht="45.0" customHeight="1">
      <c r="A112" s="55" t="s">
        <v>525</v>
      </c>
      <c r="B112" s="62" t="s">
        <v>5406</v>
      </c>
      <c r="C112" s="22" t="str">
        <f>IMAGE("https://raw.githubusercontent.com/ltdimages/images/refs/heads/main/ClothBottomsSkirtLongDotMiddle_00.png")</f>
        <v/>
      </c>
      <c r="D112" s="22" t="str">
        <f>IMAGE("https://raw.githubusercontent.com/ltdimages/images/refs/heads/main/ClothBottomsSkirtLongDotMiddle_01.png")</f>
        <v/>
      </c>
      <c r="E112" s="22" t="str">
        <f>IMAGE("https://raw.githubusercontent.com/ltdimages/images/refs/heads/main/ClothBottomsSkirtLongDotMiddle_02.png")</f>
        <v/>
      </c>
      <c r="F112" s="22" t="str">
        <f>IMAGE("https://raw.githubusercontent.com/ltdimages/images/refs/heads/main/ClothBottomsSkirtLongDotMiddle_03.png")</f>
        <v/>
      </c>
      <c r="G112" s="22" t="str">
        <f>IMAGE("https://raw.githubusercontent.com/ltdimages/images/refs/heads/main/ClothBottomsSkirtLongDotMiddle_04.png")</f>
        <v/>
      </c>
      <c r="H112" s="22" t="str">
        <f>IMAGE("https://raw.githubusercontent.com/ltdimages/images/refs/heads/main/ClothBottomsSkirtLongDotMiddle_05.png")</f>
        <v/>
      </c>
      <c r="I112" s="22" t="str">
        <f>IMAGE("https://raw.githubusercontent.com/ltdimages/images/refs/heads/main/ClothBottomsSkirtLongDotMiddle_06.png")</f>
        <v/>
      </c>
      <c r="J112" s="22" t="str">
        <f>IMAGE("https://raw.githubusercontent.com/ltdimages/images/refs/heads/main/ClothBottomsSkirtLongDotMiddle_07.png")</f>
        <v/>
      </c>
      <c r="K112" s="63" t="s">
        <v>4287</v>
      </c>
      <c r="L112" s="23">
        <v>9.7</v>
      </c>
      <c r="M112" s="22" t="s">
        <v>4231</v>
      </c>
      <c r="N112" s="22" t="s">
        <v>3099</v>
      </c>
      <c r="O112" s="22" t="s">
        <v>45</v>
      </c>
      <c r="P112" s="22" t="s">
        <v>45</v>
      </c>
      <c r="Q112" s="22" t="s">
        <v>45</v>
      </c>
      <c r="R112" s="22" t="s">
        <v>45</v>
      </c>
      <c r="S112" s="22" t="s">
        <v>45</v>
      </c>
      <c r="T112" s="22" t="s">
        <v>2002</v>
      </c>
      <c r="U112" s="22" t="s">
        <v>45</v>
      </c>
      <c r="V112" s="22" t="s">
        <v>45</v>
      </c>
      <c r="W112" s="22" t="s">
        <v>5407</v>
      </c>
      <c r="X112" s="22" t="s">
        <v>3095</v>
      </c>
      <c r="Y112" s="22" t="s">
        <v>3095</v>
      </c>
      <c r="Z112" s="22" t="s">
        <v>3095</v>
      </c>
      <c r="AA112" s="22" t="s">
        <v>3095</v>
      </c>
      <c r="AB112" s="22" t="s">
        <v>3095</v>
      </c>
      <c r="AC112" s="22" t="s">
        <v>3095</v>
      </c>
      <c r="AD112" s="22" t="s">
        <v>3095</v>
      </c>
      <c r="AE112" s="22" t="s">
        <v>3095</v>
      </c>
      <c r="AF112" s="22" t="s">
        <v>3095</v>
      </c>
    </row>
    <row r="113" ht="45.0" customHeight="1">
      <c r="A113" s="55" t="s">
        <v>529</v>
      </c>
      <c r="B113" s="62" t="s">
        <v>4333</v>
      </c>
      <c r="C113" s="22" t="str">
        <f>IMAGE("https://raw.githubusercontent.com/ltdimages/images/refs/heads/main/ClothBottomsSkirtBoxMouton_00.png")</f>
        <v/>
      </c>
      <c r="D113" s="22" t="str">
        <f>IMAGE("https://raw.githubusercontent.com/ltdimages/images/refs/heads/main/ClothBottomsSkirtBoxMouton_01.png")</f>
        <v/>
      </c>
      <c r="E113" s="22" t="str">
        <f>IMAGE("https://raw.githubusercontent.com/ltdimages/images/refs/heads/main/ClothBottomsSkirtBoxMouton_02.png")</f>
        <v/>
      </c>
      <c r="F113" s="22" t="str">
        <f>IMAGE("https://raw.githubusercontent.com/ltdimages/images/refs/heads/main/ClothBottomsSkirtBoxMouton_03.png")</f>
        <v/>
      </c>
      <c r="G113" s="22" t="str">
        <f>IMAGE("https://raw.githubusercontent.com/ltdimages/images/refs/heads/main/ClothBottomsSkirtBoxMouton_04.png")</f>
        <v/>
      </c>
      <c r="H113" s="22" t="str">
        <f>IMAGE("https://raw.githubusercontent.com/ltdimages/images/refs/heads/main/ClothBottomsSkirtBoxMouton_05.png")</f>
        <v/>
      </c>
      <c r="I113" s="22" t="s">
        <v>3095</v>
      </c>
      <c r="J113" s="22" t="s">
        <v>3095</v>
      </c>
      <c r="K113" s="63" t="s">
        <v>4287</v>
      </c>
      <c r="L113" s="23">
        <v>10.5</v>
      </c>
      <c r="M113" s="22" t="s">
        <v>4231</v>
      </c>
      <c r="N113" s="22" t="s">
        <v>3114</v>
      </c>
      <c r="O113" s="22" t="s">
        <v>45</v>
      </c>
      <c r="P113" s="22" t="s">
        <v>45</v>
      </c>
      <c r="Q113" s="22" t="s">
        <v>45</v>
      </c>
      <c r="R113" s="22" t="s">
        <v>45</v>
      </c>
      <c r="S113" s="22" t="s">
        <v>45</v>
      </c>
      <c r="T113" s="22" t="s">
        <v>2002</v>
      </c>
      <c r="U113" s="22" t="s">
        <v>45</v>
      </c>
      <c r="V113" s="22" t="s">
        <v>45</v>
      </c>
      <c r="W113" s="22" t="s">
        <v>5408</v>
      </c>
      <c r="X113" s="22" t="s">
        <v>3095</v>
      </c>
      <c r="Y113" s="22" t="s">
        <v>3095</v>
      </c>
      <c r="Z113" s="22" t="s">
        <v>3095</v>
      </c>
      <c r="AA113" s="22" t="s">
        <v>3095</v>
      </c>
      <c r="AB113" s="22" t="s">
        <v>3095</v>
      </c>
      <c r="AC113" s="22" t="s">
        <v>3095</v>
      </c>
      <c r="AD113" s="22" t="s">
        <v>3095</v>
      </c>
      <c r="AE113" s="22" t="s">
        <v>3095</v>
      </c>
      <c r="AF113" s="22" t="s">
        <v>3095</v>
      </c>
    </row>
    <row r="114" ht="45.0" customHeight="1">
      <c r="A114" s="55" t="s">
        <v>533</v>
      </c>
      <c r="B114" s="62" t="s">
        <v>4328</v>
      </c>
      <c r="C114" s="22" t="str">
        <f>IMAGE("https://raw.githubusercontent.com/ltdimages/images/refs/heads/main/ClothBottomsSkirtLongPatchwork_00.png")</f>
        <v/>
      </c>
      <c r="D114" s="22" t="str">
        <f>IMAGE("https://raw.githubusercontent.com/ltdimages/images/refs/heads/main/ClothBottomsSkirtLongPatchwork_01.png")</f>
        <v/>
      </c>
      <c r="E114" s="22" t="str">
        <f>IMAGE("https://raw.githubusercontent.com/ltdimages/images/refs/heads/main/ClothBottomsSkirtLongPatchwork_02.png")</f>
        <v/>
      </c>
      <c r="F114" s="22" t="str">
        <f>IMAGE("https://raw.githubusercontent.com/ltdimages/images/refs/heads/main/ClothBottomsSkirtLongPatchwork_03.png")</f>
        <v/>
      </c>
      <c r="G114" s="22" t="str">
        <f>IMAGE("https://raw.githubusercontent.com/ltdimages/images/refs/heads/main/ClothBottomsSkirtLongPatchwork_04.png")</f>
        <v/>
      </c>
      <c r="H114" s="22" t="str">
        <f>IMAGE("https://raw.githubusercontent.com/ltdimages/images/refs/heads/main/ClothBottomsSkirtLongPatchwork_05.png")</f>
        <v/>
      </c>
      <c r="I114" s="22" t="s">
        <v>3095</v>
      </c>
      <c r="J114" s="22" t="s">
        <v>3095</v>
      </c>
      <c r="K114" s="63" t="s">
        <v>4287</v>
      </c>
      <c r="L114" s="23">
        <v>9.4</v>
      </c>
      <c r="M114" s="22" t="s">
        <v>4231</v>
      </c>
      <c r="N114" s="22" t="s">
        <v>3099</v>
      </c>
      <c r="O114" s="22" t="s">
        <v>45</v>
      </c>
      <c r="P114" s="22" t="s">
        <v>45</v>
      </c>
      <c r="Q114" s="22" t="s">
        <v>45</v>
      </c>
      <c r="R114" s="22" t="s">
        <v>45</v>
      </c>
      <c r="S114" s="22" t="s">
        <v>45</v>
      </c>
      <c r="T114" s="22" t="s">
        <v>2002</v>
      </c>
      <c r="U114" s="22" t="s">
        <v>45</v>
      </c>
      <c r="V114" s="22" t="s">
        <v>45</v>
      </c>
      <c r="W114" s="22" t="s">
        <v>5409</v>
      </c>
      <c r="X114" s="22" t="s">
        <v>3095</v>
      </c>
      <c r="Y114" s="22" t="s">
        <v>3095</v>
      </c>
      <c r="Z114" s="22" t="s">
        <v>3095</v>
      </c>
      <c r="AA114" s="22" t="s">
        <v>3095</v>
      </c>
      <c r="AB114" s="22" t="s">
        <v>3095</v>
      </c>
      <c r="AC114" s="22" t="s">
        <v>3095</v>
      </c>
      <c r="AD114" s="22" t="s">
        <v>3095</v>
      </c>
      <c r="AE114" s="22" t="s">
        <v>3095</v>
      </c>
      <c r="AF114" s="22" t="s">
        <v>3095</v>
      </c>
    </row>
    <row r="115" ht="45.0" customHeight="1">
      <c r="A115" s="55" t="s">
        <v>537</v>
      </c>
      <c r="B115" s="62" t="s">
        <v>5410</v>
      </c>
      <c r="C115" s="22" t="str">
        <f>IMAGE("https://raw.githubusercontent.com/ltdimages/images/refs/heads/main/ClothBottomsSkirtBoxMini_00.png")</f>
        <v/>
      </c>
      <c r="D115" s="22" t="str">
        <f>IMAGE("https://raw.githubusercontent.com/ltdimages/images/refs/heads/main/ClothBottomsSkirtBoxMini_01.png")</f>
        <v/>
      </c>
      <c r="E115" s="22" t="str">
        <f>IMAGE("https://raw.githubusercontent.com/ltdimages/images/refs/heads/main/ClothBottomsSkirtBoxMini_02.png")</f>
        <v/>
      </c>
      <c r="F115" s="22" t="str">
        <f>IMAGE("https://raw.githubusercontent.com/ltdimages/images/refs/heads/main/ClothBottomsSkirtBoxMini_03.png")</f>
        <v/>
      </c>
      <c r="G115" s="22" t="str">
        <f>IMAGE("https://raw.githubusercontent.com/ltdimages/images/refs/heads/main/ClothBottomsSkirtBoxMini_04.png")</f>
        <v/>
      </c>
      <c r="H115" s="22" t="str">
        <f>IMAGE("https://raw.githubusercontent.com/ltdimages/images/refs/heads/main/ClothBottomsSkirtBoxMini_05.png")</f>
        <v/>
      </c>
      <c r="I115" s="22" t="str">
        <f>IMAGE("https://raw.githubusercontent.com/ltdimages/images/refs/heads/main/ClothBottomsSkirtBoxMini_06.png")</f>
        <v/>
      </c>
      <c r="J115" s="22" t="str">
        <f>IMAGE("https://raw.githubusercontent.com/ltdimages/images/refs/heads/main/ClothBottomsSkirtBoxMini_07.png")</f>
        <v/>
      </c>
      <c r="K115" s="63" t="s">
        <v>4287</v>
      </c>
      <c r="L115" s="23">
        <v>9.2</v>
      </c>
      <c r="M115" s="22" t="s">
        <v>4231</v>
      </c>
      <c r="N115" s="22" t="s">
        <v>3099</v>
      </c>
      <c r="O115" s="22" t="s">
        <v>45</v>
      </c>
      <c r="P115" s="22" t="s">
        <v>45</v>
      </c>
      <c r="Q115" s="22" t="s">
        <v>45</v>
      </c>
      <c r="R115" s="22" t="s">
        <v>45</v>
      </c>
      <c r="S115" s="22" t="s">
        <v>45</v>
      </c>
      <c r="T115" s="22" t="s">
        <v>2002</v>
      </c>
      <c r="U115" s="22" t="s">
        <v>45</v>
      </c>
      <c r="V115" s="22" t="s">
        <v>45</v>
      </c>
      <c r="W115" s="22" t="s">
        <v>5411</v>
      </c>
      <c r="X115" s="22" t="s">
        <v>3095</v>
      </c>
      <c r="Y115" s="22" t="s">
        <v>3095</v>
      </c>
      <c r="Z115" s="22" t="s">
        <v>3095</v>
      </c>
      <c r="AA115" s="22" t="s">
        <v>3095</v>
      </c>
      <c r="AB115" s="22" t="s">
        <v>3095</v>
      </c>
      <c r="AC115" s="22" t="s">
        <v>3095</v>
      </c>
      <c r="AD115" s="22" t="s">
        <v>3095</v>
      </c>
      <c r="AE115" s="22" t="s">
        <v>3095</v>
      </c>
      <c r="AF115" s="22" t="s">
        <v>3095</v>
      </c>
    </row>
    <row r="116" ht="45.0" customHeight="1">
      <c r="A116" s="55" t="s">
        <v>541</v>
      </c>
      <c r="B116" s="62" t="s">
        <v>5412</v>
      </c>
      <c r="C116" s="22" t="str">
        <f>IMAGE("https://raw.githubusercontent.com/ltdimages/images/refs/heads/main/ClothBottomsSkirtBoxSimple_00.png")</f>
        <v/>
      </c>
      <c r="D116" s="22" t="str">
        <f>IMAGE("https://raw.githubusercontent.com/ltdimages/images/refs/heads/main/ClothBottomsSkirtBoxSimple_01.png")</f>
        <v/>
      </c>
      <c r="E116" s="22" t="str">
        <f>IMAGE("https://raw.githubusercontent.com/ltdimages/images/refs/heads/main/ClothBottomsSkirtBoxSimple_02.png")</f>
        <v/>
      </c>
      <c r="F116" s="22" t="str">
        <f>IMAGE("https://raw.githubusercontent.com/ltdimages/images/refs/heads/main/ClothBottomsSkirtBoxSimple_03.png")</f>
        <v/>
      </c>
      <c r="G116" s="22" t="str">
        <f>IMAGE("https://raw.githubusercontent.com/ltdimages/images/refs/heads/main/ClothBottomsSkirtBoxSimple_04.png")</f>
        <v/>
      </c>
      <c r="H116" s="22" t="str">
        <f>IMAGE("https://raw.githubusercontent.com/ltdimages/images/refs/heads/main/ClothBottomsSkirtBoxSimple_05.png")</f>
        <v/>
      </c>
      <c r="I116" s="22" t="str">
        <f>IMAGE("https://raw.githubusercontent.com/ltdimages/images/refs/heads/main/ClothBottomsSkirtBoxSimple_06.png")</f>
        <v/>
      </c>
      <c r="J116" s="22" t="str">
        <f>IMAGE("https://raw.githubusercontent.com/ltdimages/images/refs/heads/main/ClothBottomsSkirtBoxSimple_07.png")</f>
        <v/>
      </c>
      <c r="K116" s="63" t="s">
        <v>4287</v>
      </c>
      <c r="L116" s="23">
        <v>9.6</v>
      </c>
      <c r="M116" s="22" t="s">
        <v>4231</v>
      </c>
      <c r="N116" s="22" t="s">
        <v>3099</v>
      </c>
      <c r="O116" s="22" t="s">
        <v>45</v>
      </c>
      <c r="P116" s="22" t="s">
        <v>45</v>
      </c>
      <c r="Q116" s="22" t="s">
        <v>45</v>
      </c>
      <c r="R116" s="22" t="s">
        <v>45</v>
      </c>
      <c r="S116" s="22" t="s">
        <v>45</v>
      </c>
      <c r="T116" s="22" t="s">
        <v>2002</v>
      </c>
      <c r="U116" s="22" t="s">
        <v>45</v>
      </c>
      <c r="V116" s="22" t="s">
        <v>45</v>
      </c>
      <c r="W116" s="22" t="s">
        <v>5413</v>
      </c>
      <c r="X116" s="22" t="s">
        <v>3095</v>
      </c>
      <c r="Y116" s="22" t="s">
        <v>3095</v>
      </c>
      <c r="Z116" s="22" t="s">
        <v>3095</v>
      </c>
      <c r="AA116" s="22" t="s">
        <v>3095</v>
      </c>
      <c r="AB116" s="22" t="s">
        <v>3095</v>
      </c>
      <c r="AC116" s="22" t="s">
        <v>3095</v>
      </c>
      <c r="AD116" s="22" t="s">
        <v>3095</v>
      </c>
      <c r="AE116" s="22" t="s">
        <v>3095</v>
      </c>
      <c r="AF116" s="22" t="s">
        <v>3095</v>
      </c>
    </row>
    <row r="117" ht="45.0" customHeight="1">
      <c r="A117" s="55" t="s">
        <v>546</v>
      </c>
      <c r="B117" s="62" t="s">
        <v>5414</v>
      </c>
      <c r="C117" s="22" t="str">
        <f>IMAGE("https://raw.githubusercontent.com/ltdimages/images/refs/heads/main/ClothBottomsSkirtLongPleats_00.png")</f>
        <v/>
      </c>
      <c r="D117" s="22" t="str">
        <f>IMAGE("https://raw.githubusercontent.com/ltdimages/images/refs/heads/main/ClothBottomsSkirtLongPleats_01.png")</f>
        <v/>
      </c>
      <c r="E117" s="22" t="str">
        <f>IMAGE("https://raw.githubusercontent.com/ltdimages/images/refs/heads/main/ClothBottomsSkirtLongPleats_02.png")</f>
        <v/>
      </c>
      <c r="F117" s="22" t="str">
        <f>IMAGE("https://raw.githubusercontent.com/ltdimages/images/refs/heads/main/ClothBottomsSkirtLongPleats_03.png")</f>
        <v/>
      </c>
      <c r="G117" s="22" t="str">
        <f>IMAGE("https://raw.githubusercontent.com/ltdimages/images/refs/heads/main/ClothBottomsSkirtLongPleats_04.png")</f>
        <v/>
      </c>
      <c r="H117" s="22" t="str">
        <f>IMAGE("https://raw.githubusercontent.com/ltdimages/images/refs/heads/main/ClothBottomsSkirtLongPleats_05.png")</f>
        <v/>
      </c>
      <c r="I117" s="22" t="str">
        <f>IMAGE("https://raw.githubusercontent.com/ltdimages/images/refs/heads/main/ClothBottomsSkirtLongPleats_06.png")</f>
        <v/>
      </c>
      <c r="J117" s="22" t="str">
        <f>IMAGE("https://raw.githubusercontent.com/ltdimages/images/refs/heads/main/ClothBottomsSkirtLongPleats_07.png")</f>
        <v/>
      </c>
      <c r="K117" s="63" t="s">
        <v>4287</v>
      </c>
      <c r="L117" s="23">
        <v>11.0</v>
      </c>
      <c r="M117" s="22" t="s">
        <v>4231</v>
      </c>
      <c r="N117" s="22" t="s">
        <v>3099</v>
      </c>
      <c r="O117" s="22" t="s">
        <v>45</v>
      </c>
      <c r="P117" s="22" t="s">
        <v>45</v>
      </c>
      <c r="Q117" s="22" t="s">
        <v>45</v>
      </c>
      <c r="R117" s="22" t="s">
        <v>45</v>
      </c>
      <c r="S117" s="22" t="s">
        <v>45</v>
      </c>
      <c r="T117" s="22" t="s">
        <v>2002</v>
      </c>
      <c r="U117" s="22" t="s">
        <v>45</v>
      </c>
      <c r="V117" s="22" t="s">
        <v>45</v>
      </c>
      <c r="W117" s="22" t="s">
        <v>5415</v>
      </c>
      <c r="X117" s="22" t="s">
        <v>3095</v>
      </c>
      <c r="Y117" s="22" t="s">
        <v>3095</v>
      </c>
      <c r="Z117" s="22" t="s">
        <v>3095</v>
      </c>
      <c r="AA117" s="22" t="s">
        <v>3095</v>
      </c>
      <c r="AB117" s="22" t="s">
        <v>3095</v>
      </c>
      <c r="AC117" s="22" t="s">
        <v>3095</v>
      </c>
      <c r="AD117" s="22" t="s">
        <v>3095</v>
      </c>
      <c r="AE117" s="22" t="s">
        <v>3095</v>
      </c>
      <c r="AF117" s="22" t="s">
        <v>3095</v>
      </c>
    </row>
    <row r="118" ht="45.0" customHeight="1">
      <c r="A118" s="55" t="s">
        <v>550</v>
      </c>
      <c r="B118" s="62" t="s">
        <v>4292</v>
      </c>
      <c r="C118" s="22" t="str">
        <f>IMAGE("https://raw.githubusercontent.com/ltdimages/images/refs/heads/main/ClothBottomsSkirtBoxOffice_00.png")</f>
        <v/>
      </c>
      <c r="D118" s="22" t="str">
        <f>IMAGE("https://raw.githubusercontent.com/ltdimages/images/refs/heads/main/ClothBottomsSkirtBoxOffice_01.png")</f>
        <v/>
      </c>
      <c r="E118" s="22" t="str">
        <f>IMAGE("https://raw.githubusercontent.com/ltdimages/images/refs/heads/main/ClothBottomsSkirtBoxOffice_02.png")</f>
        <v/>
      </c>
      <c r="F118" s="22" t="str">
        <f>IMAGE("https://raw.githubusercontent.com/ltdimages/images/refs/heads/main/ClothBottomsSkirtBoxOffice_03.png")</f>
        <v/>
      </c>
      <c r="G118" s="22" t="str">
        <f>IMAGE("https://raw.githubusercontent.com/ltdimages/images/refs/heads/main/ClothBottomsSkirtBoxOffice_04.png")</f>
        <v/>
      </c>
      <c r="H118" s="22" t="str">
        <f>IMAGE("https://raw.githubusercontent.com/ltdimages/images/refs/heads/main/ClothBottomsSkirtBoxOffice_05.png")</f>
        <v/>
      </c>
      <c r="I118" s="22" t="str">
        <f>IMAGE("https://raw.githubusercontent.com/ltdimages/images/refs/heads/main/ClothBottomsSkirtBoxOffice_06.png")</f>
        <v/>
      </c>
      <c r="J118" s="22" t="str">
        <f>IMAGE("https://raw.githubusercontent.com/ltdimages/images/refs/heads/main/ClothBottomsSkirtBoxOffice_07.png")</f>
        <v/>
      </c>
      <c r="K118" s="63" t="s">
        <v>4287</v>
      </c>
      <c r="L118" s="23">
        <v>11.0</v>
      </c>
      <c r="M118" s="22" t="s">
        <v>4231</v>
      </c>
      <c r="N118" s="22" t="s">
        <v>3099</v>
      </c>
      <c r="O118" s="22" t="s">
        <v>45</v>
      </c>
      <c r="P118" s="22" t="s">
        <v>45</v>
      </c>
      <c r="Q118" s="22" t="s">
        <v>45</v>
      </c>
      <c r="R118" s="22" t="s">
        <v>45</v>
      </c>
      <c r="S118" s="22" t="s">
        <v>45</v>
      </c>
      <c r="T118" s="22" t="s">
        <v>2002</v>
      </c>
      <c r="U118" s="22" t="s">
        <v>45</v>
      </c>
      <c r="V118" s="22" t="s">
        <v>45</v>
      </c>
      <c r="W118" s="22" t="s">
        <v>5416</v>
      </c>
      <c r="X118" s="22" t="s">
        <v>3095</v>
      </c>
      <c r="Y118" s="22" t="s">
        <v>3095</v>
      </c>
      <c r="Z118" s="22" t="s">
        <v>3095</v>
      </c>
      <c r="AA118" s="22" t="s">
        <v>3095</v>
      </c>
      <c r="AB118" s="22" t="s">
        <v>3095</v>
      </c>
      <c r="AC118" s="22" t="s">
        <v>3095</v>
      </c>
      <c r="AD118" s="22" t="s">
        <v>3095</v>
      </c>
      <c r="AE118" s="22" t="s">
        <v>3095</v>
      </c>
      <c r="AF118" s="22" t="s">
        <v>3095</v>
      </c>
    </row>
    <row r="119" ht="45.0" customHeight="1">
      <c r="A119" s="55" t="s">
        <v>555</v>
      </c>
      <c r="B119" s="62" t="s">
        <v>4380</v>
      </c>
      <c r="C119" s="22" t="str">
        <f>IMAGE("https://raw.githubusercontent.com/ltdimages/images/refs/heads/main/ClothBottomsSkirtMiniDoubleButton_00.png")</f>
        <v/>
      </c>
      <c r="D119" s="22" t="str">
        <f>IMAGE("https://raw.githubusercontent.com/ltdimages/images/refs/heads/main/ClothBottomsSkirtMiniDoubleButton_01.png")</f>
        <v/>
      </c>
      <c r="E119" s="22" t="str">
        <f>IMAGE("https://raw.githubusercontent.com/ltdimages/images/refs/heads/main/ClothBottomsSkirtMiniDoubleButton_02.png")</f>
        <v/>
      </c>
      <c r="F119" s="22" t="str">
        <f>IMAGE("https://raw.githubusercontent.com/ltdimages/images/refs/heads/main/ClothBottomsSkirtMiniDoubleButton_03.png")</f>
        <v/>
      </c>
      <c r="G119" s="22" t="str">
        <f>IMAGE("https://raw.githubusercontent.com/ltdimages/images/refs/heads/main/ClothBottomsSkirtMiniDoubleButton_04.png")</f>
        <v/>
      </c>
      <c r="H119" s="22" t="str">
        <f>IMAGE("https://raw.githubusercontent.com/ltdimages/images/refs/heads/main/ClothBottomsSkirtMiniDoubleButton_05.png")</f>
        <v/>
      </c>
      <c r="I119" s="22" t="str">
        <f>IMAGE("https://raw.githubusercontent.com/ltdimages/images/refs/heads/main/ClothBottomsSkirtMiniDoubleButton_06.png")</f>
        <v/>
      </c>
      <c r="J119" s="22" t="str">
        <f>IMAGE("https://raw.githubusercontent.com/ltdimages/images/refs/heads/main/ClothBottomsSkirtMiniDoubleButton_07.png")</f>
        <v/>
      </c>
      <c r="K119" s="63" t="s">
        <v>4287</v>
      </c>
      <c r="L119" s="23">
        <v>9.0</v>
      </c>
      <c r="M119" s="22" t="s">
        <v>4231</v>
      </c>
      <c r="N119" s="22" t="s">
        <v>3099</v>
      </c>
      <c r="O119" s="22" t="s">
        <v>45</v>
      </c>
      <c r="P119" s="22" t="s">
        <v>45</v>
      </c>
      <c r="Q119" s="22" t="s">
        <v>45</v>
      </c>
      <c r="R119" s="22" t="s">
        <v>45</v>
      </c>
      <c r="S119" s="22" t="s">
        <v>45</v>
      </c>
      <c r="T119" s="22" t="s">
        <v>2002</v>
      </c>
      <c r="U119" s="22" t="s">
        <v>45</v>
      </c>
      <c r="V119" s="22" t="s">
        <v>45</v>
      </c>
      <c r="W119" s="22" t="s">
        <v>5417</v>
      </c>
      <c r="X119" s="22" t="s">
        <v>3095</v>
      </c>
      <c r="Y119" s="22" t="s">
        <v>3095</v>
      </c>
      <c r="Z119" s="22" t="s">
        <v>3095</v>
      </c>
      <c r="AA119" s="22" t="s">
        <v>3095</v>
      </c>
      <c r="AB119" s="22" t="s">
        <v>3095</v>
      </c>
      <c r="AC119" s="22" t="s">
        <v>3095</v>
      </c>
      <c r="AD119" s="22" t="s">
        <v>3095</v>
      </c>
      <c r="AE119" s="22" t="s">
        <v>3095</v>
      </c>
      <c r="AF119" s="22" t="s">
        <v>3095</v>
      </c>
    </row>
    <row r="120" ht="45.0" customHeight="1">
      <c r="A120" s="55" t="s">
        <v>559</v>
      </c>
      <c r="B120" s="62" t="s">
        <v>4613</v>
      </c>
      <c r="C120" s="22" t="str">
        <f>IMAGE("https://raw.githubusercontent.com/ltdimages/images/refs/heads/main/ClothBottomsSkirtMiniSailor_00.png")</f>
        <v/>
      </c>
      <c r="D120" s="22" t="str">
        <f>IMAGE("https://raw.githubusercontent.com/ltdimages/images/refs/heads/main/ClothBottomsSkirtMiniSailor_01.png")</f>
        <v/>
      </c>
      <c r="E120" s="22" t="str">
        <f>IMAGE("https://raw.githubusercontent.com/ltdimages/images/refs/heads/main/ClothBottomsSkirtMiniSailor_02.png")</f>
        <v/>
      </c>
      <c r="F120" s="22" t="str">
        <f>IMAGE("https://raw.githubusercontent.com/ltdimages/images/refs/heads/main/ClothBottomsSkirtMiniSailor_03.png")</f>
        <v/>
      </c>
      <c r="G120" s="22" t="str">
        <f>IMAGE("https://raw.githubusercontent.com/ltdimages/images/refs/heads/main/ClothBottomsSkirtMiniSailor_04.png")</f>
        <v/>
      </c>
      <c r="H120" s="22" t="str">
        <f>IMAGE("https://raw.githubusercontent.com/ltdimages/images/refs/heads/main/ClothBottomsSkirtMiniSailor_05.png")</f>
        <v/>
      </c>
      <c r="I120" s="22" t="str">
        <f>IMAGE("https://raw.githubusercontent.com/ltdimages/images/refs/heads/main/ClothBottomsSkirtMiniSailor_06.png")</f>
        <v/>
      </c>
      <c r="J120" s="22" t="str">
        <f>IMAGE("https://raw.githubusercontent.com/ltdimages/images/refs/heads/main/ClothBottomsSkirtMiniSailor_07.png")</f>
        <v/>
      </c>
      <c r="K120" s="63" t="s">
        <v>4287</v>
      </c>
      <c r="L120" s="23">
        <v>8.5</v>
      </c>
      <c r="M120" s="22" t="s">
        <v>4231</v>
      </c>
      <c r="N120" s="22" t="s">
        <v>3099</v>
      </c>
      <c r="O120" s="22" t="s">
        <v>45</v>
      </c>
      <c r="P120" s="22" t="s">
        <v>45</v>
      </c>
      <c r="Q120" s="22" t="s">
        <v>45</v>
      </c>
      <c r="R120" s="22" t="s">
        <v>45</v>
      </c>
      <c r="S120" s="22" t="s">
        <v>45</v>
      </c>
      <c r="T120" s="22" t="s">
        <v>2002</v>
      </c>
      <c r="U120" s="22" t="s">
        <v>45</v>
      </c>
      <c r="V120" s="22" t="s">
        <v>45</v>
      </c>
      <c r="W120" s="22" t="s">
        <v>5418</v>
      </c>
      <c r="X120" s="22" t="s">
        <v>3095</v>
      </c>
      <c r="Y120" s="22" t="s">
        <v>3095</v>
      </c>
      <c r="Z120" s="22" t="s">
        <v>3095</v>
      </c>
      <c r="AA120" s="22" t="s">
        <v>3095</v>
      </c>
      <c r="AB120" s="22" t="s">
        <v>3095</v>
      </c>
      <c r="AC120" s="22" t="s">
        <v>3095</v>
      </c>
      <c r="AD120" s="22" t="s">
        <v>3095</v>
      </c>
      <c r="AE120" s="22" t="s">
        <v>3095</v>
      </c>
      <c r="AF120" s="22" t="s">
        <v>3095</v>
      </c>
    </row>
    <row r="121" ht="45.0" customHeight="1">
      <c r="A121" s="55" t="s">
        <v>563</v>
      </c>
      <c r="B121" s="62" t="s">
        <v>4280</v>
      </c>
      <c r="C121" s="22" t="str">
        <f>IMAGE("https://raw.githubusercontent.com/ltdimages/images/refs/heads/main/ClothBottomsSkirtMiniSchool_00.png")</f>
        <v/>
      </c>
      <c r="D121" s="22" t="str">
        <f>IMAGE("https://raw.githubusercontent.com/ltdimages/images/refs/heads/main/ClothBottomsSkirtMiniSchool_01.png")</f>
        <v/>
      </c>
      <c r="E121" s="22" t="str">
        <f>IMAGE("https://raw.githubusercontent.com/ltdimages/images/refs/heads/main/ClothBottomsSkirtMiniSchool_02.png")</f>
        <v/>
      </c>
      <c r="F121" s="22" t="str">
        <f>IMAGE("https://raw.githubusercontent.com/ltdimages/images/refs/heads/main/ClothBottomsSkirtMiniSchool_03.png")</f>
        <v/>
      </c>
      <c r="G121" s="22" t="str">
        <f>IMAGE("https://raw.githubusercontent.com/ltdimages/images/refs/heads/main/ClothBottomsSkirtMiniSchool_04.png")</f>
        <v/>
      </c>
      <c r="H121" s="22" t="str">
        <f>IMAGE("https://raw.githubusercontent.com/ltdimages/images/refs/heads/main/ClothBottomsSkirtMiniSchool_05.png")</f>
        <v/>
      </c>
      <c r="I121" s="22" t="s">
        <v>3095</v>
      </c>
      <c r="J121" s="22" t="s">
        <v>3095</v>
      </c>
      <c r="K121" s="63" t="s">
        <v>4287</v>
      </c>
      <c r="L121" s="23">
        <v>9.8</v>
      </c>
      <c r="M121" s="22" t="s">
        <v>4231</v>
      </c>
      <c r="N121" s="22" t="s">
        <v>3099</v>
      </c>
      <c r="O121" s="22" t="s">
        <v>45</v>
      </c>
      <c r="P121" s="22" t="s">
        <v>45</v>
      </c>
      <c r="Q121" s="22" t="s">
        <v>45</v>
      </c>
      <c r="R121" s="22" t="s">
        <v>45</v>
      </c>
      <c r="S121" s="22" t="s">
        <v>45</v>
      </c>
      <c r="T121" s="22" t="s">
        <v>2002</v>
      </c>
      <c r="U121" s="22" t="s">
        <v>45</v>
      </c>
      <c r="V121" s="22" t="s">
        <v>45</v>
      </c>
      <c r="W121" s="22" t="s">
        <v>5419</v>
      </c>
      <c r="X121" s="22" t="s">
        <v>3095</v>
      </c>
      <c r="Y121" s="22" t="s">
        <v>3095</v>
      </c>
      <c r="Z121" s="22" t="s">
        <v>3095</v>
      </c>
      <c r="AA121" s="22" t="s">
        <v>3095</v>
      </c>
      <c r="AB121" s="22" t="s">
        <v>3095</v>
      </c>
      <c r="AC121" s="22" t="s">
        <v>3095</v>
      </c>
      <c r="AD121" s="22" t="s">
        <v>3095</v>
      </c>
      <c r="AE121" s="22" t="s">
        <v>3095</v>
      </c>
      <c r="AF121" s="22" t="s">
        <v>3095</v>
      </c>
    </row>
    <row r="122" ht="45.0" customHeight="1">
      <c r="A122" s="55" t="s">
        <v>567</v>
      </c>
      <c r="B122" s="62" t="s">
        <v>5420</v>
      </c>
      <c r="C122" s="22" t="str">
        <f>IMAGE("https://raw.githubusercontent.com/ltdimages/images/refs/heads/main/ClothBottomsSkirtMiniSequins_00.png")</f>
        <v/>
      </c>
      <c r="D122" s="22" t="str">
        <f>IMAGE("https://raw.githubusercontent.com/ltdimages/images/refs/heads/main/ClothBottomsSkirtMiniSequins_01.png")</f>
        <v/>
      </c>
      <c r="E122" s="22" t="str">
        <f>IMAGE("https://raw.githubusercontent.com/ltdimages/images/refs/heads/main/ClothBottomsSkirtMiniSequins_02.png")</f>
        <v/>
      </c>
      <c r="F122" s="22" t="str">
        <f>IMAGE("https://raw.githubusercontent.com/ltdimages/images/refs/heads/main/ClothBottomsSkirtMiniSequins_03.png")</f>
        <v/>
      </c>
      <c r="G122" s="22" t="str">
        <f>IMAGE("https://raw.githubusercontent.com/ltdimages/images/refs/heads/main/ClothBottomsSkirtMiniSequins_04.png")</f>
        <v/>
      </c>
      <c r="H122" s="22" t="str">
        <f>IMAGE("https://raw.githubusercontent.com/ltdimages/images/refs/heads/main/ClothBottomsSkirtMiniSequins_05.png")</f>
        <v/>
      </c>
      <c r="I122" s="22" t="str">
        <f>IMAGE("https://raw.githubusercontent.com/ltdimages/images/refs/heads/main/ClothBottomsSkirtMiniSequins_06.png")</f>
        <v/>
      </c>
      <c r="J122" s="22" t="str">
        <f>IMAGE("https://raw.githubusercontent.com/ltdimages/images/refs/heads/main/ClothBottomsSkirtMiniSequins_07.png")</f>
        <v/>
      </c>
      <c r="K122" s="63" t="s">
        <v>4287</v>
      </c>
      <c r="L122" s="23">
        <v>14.0</v>
      </c>
      <c r="M122" s="22" t="s">
        <v>4231</v>
      </c>
      <c r="N122" s="22" t="s">
        <v>3099</v>
      </c>
      <c r="O122" s="22" t="s">
        <v>45</v>
      </c>
      <c r="P122" s="22" t="s">
        <v>45</v>
      </c>
      <c r="Q122" s="22" t="s">
        <v>45</v>
      </c>
      <c r="R122" s="22" t="s">
        <v>45</v>
      </c>
      <c r="S122" s="22" t="s">
        <v>45</v>
      </c>
      <c r="T122" s="22" t="s">
        <v>2002</v>
      </c>
      <c r="U122" s="22" t="s">
        <v>45</v>
      </c>
      <c r="V122" s="22" t="s">
        <v>45</v>
      </c>
      <c r="W122" s="22" t="s">
        <v>5421</v>
      </c>
      <c r="X122" s="22" t="s">
        <v>3095</v>
      </c>
      <c r="Y122" s="22" t="s">
        <v>3095</v>
      </c>
      <c r="Z122" s="22" t="s">
        <v>3095</v>
      </c>
      <c r="AA122" s="22" t="s">
        <v>3095</v>
      </c>
      <c r="AB122" s="22" t="s">
        <v>3095</v>
      </c>
      <c r="AC122" s="22" t="s">
        <v>3095</v>
      </c>
      <c r="AD122" s="22" t="s">
        <v>3095</v>
      </c>
      <c r="AE122" s="22" t="s">
        <v>3095</v>
      </c>
      <c r="AF122" s="22" t="s">
        <v>3095</v>
      </c>
    </row>
    <row r="123" ht="45.0" customHeight="1">
      <c r="A123" s="55" t="s">
        <v>571</v>
      </c>
      <c r="B123" s="62" t="s">
        <v>4674</v>
      </c>
      <c r="C123" s="22" t="str">
        <f>IMAGE("https://raw.githubusercontent.com/ltdimages/images/refs/heads/main/ClothBottomsSkirtMiniStrap_00.png")</f>
        <v/>
      </c>
      <c r="D123" s="22" t="str">
        <f>IMAGE("https://raw.githubusercontent.com/ltdimages/images/refs/heads/main/ClothBottomsSkirtMiniStrap_01.png")</f>
        <v/>
      </c>
      <c r="E123" s="22" t="str">
        <f>IMAGE("https://raw.githubusercontent.com/ltdimages/images/refs/heads/main/ClothBottomsSkirtMiniStrap_02.png")</f>
        <v/>
      </c>
      <c r="F123" s="22" t="str">
        <f>IMAGE("https://raw.githubusercontent.com/ltdimages/images/refs/heads/main/ClothBottomsSkirtMiniStrap_03.png")</f>
        <v/>
      </c>
      <c r="G123" s="22" t="str">
        <f>IMAGE("https://raw.githubusercontent.com/ltdimages/images/refs/heads/main/ClothBottomsSkirtMiniStrap_04.png")</f>
        <v/>
      </c>
      <c r="H123" s="22" t="str">
        <f>IMAGE("https://raw.githubusercontent.com/ltdimages/images/refs/heads/main/ClothBottomsSkirtMiniStrap_05.png")</f>
        <v/>
      </c>
      <c r="I123" s="22" t="str">
        <f>IMAGE("https://raw.githubusercontent.com/ltdimages/images/refs/heads/main/ClothBottomsSkirtMiniStrap_06.png")</f>
        <v/>
      </c>
      <c r="J123" s="22" t="str">
        <f>IMAGE("https://raw.githubusercontent.com/ltdimages/images/refs/heads/main/ClothBottomsSkirtMiniStrap_07.png")</f>
        <v/>
      </c>
      <c r="K123" s="63" t="s">
        <v>4287</v>
      </c>
      <c r="L123" s="23">
        <v>10.0</v>
      </c>
      <c r="M123" s="22" t="s">
        <v>4231</v>
      </c>
      <c r="N123" s="22" t="s">
        <v>3099</v>
      </c>
      <c r="O123" s="22" t="s">
        <v>45</v>
      </c>
      <c r="P123" s="22" t="s">
        <v>45</v>
      </c>
      <c r="Q123" s="22" t="s">
        <v>45</v>
      </c>
      <c r="R123" s="22" t="s">
        <v>45</v>
      </c>
      <c r="S123" s="22" t="s">
        <v>45</v>
      </c>
      <c r="T123" s="22" t="s">
        <v>2002</v>
      </c>
      <c r="U123" s="22" t="s">
        <v>45</v>
      </c>
      <c r="V123" s="22" t="s">
        <v>45</v>
      </c>
      <c r="W123" s="22" t="s">
        <v>5422</v>
      </c>
      <c r="X123" s="22" t="s">
        <v>3095</v>
      </c>
      <c r="Y123" s="22" t="s">
        <v>3095</v>
      </c>
      <c r="Z123" s="22" t="s">
        <v>3095</v>
      </c>
      <c r="AA123" s="22" t="s">
        <v>3095</v>
      </c>
      <c r="AB123" s="22" t="s">
        <v>3095</v>
      </c>
      <c r="AC123" s="22" t="s">
        <v>3095</v>
      </c>
      <c r="AD123" s="22" t="s">
        <v>3095</v>
      </c>
      <c r="AE123" s="22" t="s">
        <v>3095</v>
      </c>
      <c r="AF123" s="22" t="s">
        <v>3095</v>
      </c>
    </row>
    <row r="124" ht="45.0" customHeight="1">
      <c r="A124" s="55" t="s">
        <v>576</v>
      </c>
      <c r="B124" s="62" t="s">
        <v>5423</v>
      </c>
      <c r="C124" s="22" t="str">
        <f>IMAGE("https://raw.githubusercontent.com/ltdimages/images/refs/heads/main/ClothBottomsSkirtLongStripe_00.png")</f>
        <v/>
      </c>
      <c r="D124" s="22" t="str">
        <f>IMAGE("https://raw.githubusercontent.com/ltdimages/images/refs/heads/main/ClothBottomsSkirtLongStripe_01.png")</f>
        <v/>
      </c>
      <c r="E124" s="22" t="str">
        <f>IMAGE("https://raw.githubusercontent.com/ltdimages/images/refs/heads/main/ClothBottomsSkirtLongStripe_02.png")</f>
        <v/>
      </c>
      <c r="F124" s="22" t="str">
        <f>IMAGE("https://raw.githubusercontent.com/ltdimages/images/refs/heads/main/ClothBottomsSkirtLongStripe_03.png")</f>
        <v/>
      </c>
      <c r="G124" s="22" t="str">
        <f>IMAGE("https://raw.githubusercontent.com/ltdimages/images/refs/heads/main/ClothBottomsSkirtLongStripe_04.png")</f>
        <v/>
      </c>
      <c r="H124" s="22" t="str">
        <f>IMAGE("https://raw.githubusercontent.com/ltdimages/images/refs/heads/main/ClothBottomsSkirtLongStripe_05.png")</f>
        <v/>
      </c>
      <c r="I124" s="22" t="s">
        <v>3095</v>
      </c>
      <c r="J124" s="22" t="s">
        <v>3095</v>
      </c>
      <c r="K124" s="63" t="s">
        <v>4287</v>
      </c>
      <c r="L124" s="23">
        <v>12.0</v>
      </c>
      <c r="M124" s="22" t="s">
        <v>4231</v>
      </c>
      <c r="N124" s="22" t="s">
        <v>3099</v>
      </c>
      <c r="O124" s="22" t="s">
        <v>45</v>
      </c>
      <c r="P124" s="22" t="s">
        <v>45</v>
      </c>
      <c r="Q124" s="22" t="s">
        <v>45</v>
      </c>
      <c r="R124" s="22" t="s">
        <v>45</v>
      </c>
      <c r="S124" s="22" t="s">
        <v>45</v>
      </c>
      <c r="T124" s="22" t="s">
        <v>2002</v>
      </c>
      <c r="U124" s="22" t="s">
        <v>45</v>
      </c>
      <c r="V124" s="22" t="s">
        <v>45</v>
      </c>
      <c r="W124" s="22" t="s">
        <v>5424</v>
      </c>
      <c r="X124" s="22" t="s">
        <v>3095</v>
      </c>
      <c r="Y124" s="22" t="s">
        <v>3095</v>
      </c>
      <c r="Z124" s="22" t="s">
        <v>3095</v>
      </c>
      <c r="AA124" s="22" t="s">
        <v>3095</v>
      </c>
      <c r="AB124" s="22" t="s">
        <v>3095</v>
      </c>
      <c r="AC124" s="22" t="s">
        <v>3095</v>
      </c>
      <c r="AD124" s="22" t="s">
        <v>3095</v>
      </c>
      <c r="AE124" s="22" t="s">
        <v>3095</v>
      </c>
      <c r="AF124" s="22" t="s">
        <v>3095</v>
      </c>
    </row>
    <row r="125" ht="45.0" customHeight="1">
      <c r="A125" s="55" t="s">
        <v>580</v>
      </c>
      <c r="B125" s="62" t="s">
        <v>5425</v>
      </c>
      <c r="C125" s="22" t="str">
        <f>IMAGE("https://raw.githubusercontent.com/ltdimages/images/refs/heads/main/ClothBottomsSkirtBoxStripe_00.png")</f>
        <v/>
      </c>
      <c r="D125" s="22" t="str">
        <f>IMAGE("https://raw.githubusercontent.com/ltdimages/images/refs/heads/main/ClothBottomsSkirtBoxStripe_01.png")</f>
        <v/>
      </c>
      <c r="E125" s="22" t="str">
        <f>IMAGE("https://raw.githubusercontent.com/ltdimages/images/refs/heads/main/ClothBottomsSkirtBoxStripe_02.png")</f>
        <v/>
      </c>
      <c r="F125" s="22" t="str">
        <f>IMAGE("https://raw.githubusercontent.com/ltdimages/images/refs/heads/main/ClothBottomsSkirtBoxStripe_03.png")</f>
        <v/>
      </c>
      <c r="G125" s="22" t="str">
        <f>IMAGE("https://raw.githubusercontent.com/ltdimages/images/refs/heads/main/ClothBottomsSkirtBoxStripe_04.png")</f>
        <v/>
      </c>
      <c r="H125" s="22" t="str">
        <f>IMAGE("https://raw.githubusercontent.com/ltdimages/images/refs/heads/main/ClothBottomsSkirtBoxStripe_05.png")</f>
        <v/>
      </c>
      <c r="I125" s="22" t="s">
        <v>3095</v>
      </c>
      <c r="J125" s="22" t="s">
        <v>3095</v>
      </c>
      <c r="K125" s="63" t="s">
        <v>4287</v>
      </c>
      <c r="L125" s="23">
        <v>11.5</v>
      </c>
      <c r="M125" s="22" t="s">
        <v>4231</v>
      </c>
      <c r="N125" s="22" t="s">
        <v>3099</v>
      </c>
      <c r="O125" s="22" t="s">
        <v>45</v>
      </c>
      <c r="P125" s="22" t="s">
        <v>45</v>
      </c>
      <c r="Q125" s="22" t="s">
        <v>45</v>
      </c>
      <c r="R125" s="22" t="s">
        <v>45</v>
      </c>
      <c r="S125" s="22" t="s">
        <v>45</v>
      </c>
      <c r="T125" s="22" t="s">
        <v>2002</v>
      </c>
      <c r="U125" s="22" t="s">
        <v>45</v>
      </c>
      <c r="V125" s="22" t="s">
        <v>45</v>
      </c>
      <c r="W125" s="22" t="s">
        <v>5426</v>
      </c>
      <c r="X125" s="22" t="s">
        <v>3095</v>
      </c>
      <c r="Y125" s="22" t="s">
        <v>3095</v>
      </c>
      <c r="Z125" s="22" t="s">
        <v>3095</v>
      </c>
      <c r="AA125" s="22" t="s">
        <v>3095</v>
      </c>
      <c r="AB125" s="22" t="s">
        <v>3095</v>
      </c>
      <c r="AC125" s="22" t="s">
        <v>3095</v>
      </c>
      <c r="AD125" s="22" t="s">
        <v>3095</v>
      </c>
      <c r="AE125" s="22" t="s">
        <v>3095</v>
      </c>
      <c r="AF125" s="22" t="s">
        <v>3095</v>
      </c>
    </row>
    <row r="126" ht="45.0" customHeight="1">
      <c r="A126" s="55" t="s">
        <v>584</v>
      </c>
      <c r="B126" s="62" t="s">
        <v>5427</v>
      </c>
      <c r="C126" s="22" t="str">
        <f>IMAGE("https://raw.githubusercontent.com/ltdimages/images/refs/heads/main/ClothBottomsSkirtMiniSunflower_00.png")</f>
        <v/>
      </c>
      <c r="D126" s="22" t="str">
        <f>IMAGE("https://raw.githubusercontent.com/ltdimages/images/refs/heads/main/ClothBottomsSkirtMiniSunflower_01.png")</f>
        <v/>
      </c>
      <c r="E126" s="22" t="str">
        <f>IMAGE("https://raw.githubusercontent.com/ltdimages/images/refs/heads/main/ClothBottomsSkirtMiniSunflower_02.png")</f>
        <v/>
      </c>
      <c r="F126" s="22" t="s">
        <v>3095</v>
      </c>
      <c r="G126" s="22" t="s">
        <v>3095</v>
      </c>
      <c r="H126" s="22" t="s">
        <v>3095</v>
      </c>
      <c r="I126" s="22" t="s">
        <v>3095</v>
      </c>
      <c r="J126" s="22" t="s">
        <v>3095</v>
      </c>
      <c r="K126" s="63" t="s">
        <v>4287</v>
      </c>
      <c r="L126" s="23">
        <v>8.9</v>
      </c>
      <c r="M126" s="22" t="s">
        <v>4231</v>
      </c>
      <c r="N126" s="22" t="s">
        <v>3123</v>
      </c>
      <c r="O126" s="22" t="s">
        <v>45</v>
      </c>
      <c r="P126" s="22" t="s">
        <v>45</v>
      </c>
      <c r="Q126" s="22" t="s">
        <v>45</v>
      </c>
      <c r="R126" s="22" t="s">
        <v>45</v>
      </c>
      <c r="S126" s="22" t="s">
        <v>45</v>
      </c>
      <c r="T126" s="22" t="s">
        <v>2002</v>
      </c>
      <c r="U126" s="22" t="s">
        <v>45</v>
      </c>
      <c r="V126" s="22" t="s">
        <v>45</v>
      </c>
      <c r="W126" s="22" t="s">
        <v>5428</v>
      </c>
      <c r="X126" s="22" t="s">
        <v>3095</v>
      </c>
      <c r="Y126" s="22" t="s">
        <v>3095</v>
      </c>
      <c r="Z126" s="22" t="s">
        <v>3095</v>
      </c>
      <c r="AA126" s="22" t="s">
        <v>3095</v>
      </c>
      <c r="AB126" s="22" t="s">
        <v>3095</v>
      </c>
      <c r="AC126" s="22" t="s">
        <v>3095</v>
      </c>
      <c r="AD126" s="22" t="s">
        <v>3095</v>
      </c>
      <c r="AE126" s="22" t="s">
        <v>3095</v>
      </c>
      <c r="AF126" s="22" t="s">
        <v>3095</v>
      </c>
    </row>
    <row r="127" ht="45.0" customHeight="1">
      <c r="A127" s="55" t="s">
        <v>588</v>
      </c>
      <c r="B127" s="62" t="s">
        <v>4395</v>
      </c>
      <c r="C127" s="22" t="str">
        <f>IMAGE("https://raw.githubusercontent.com/ltdimages/images/refs/heads/main/ClothBottomsSkirtMiniTennis_00.png")</f>
        <v/>
      </c>
      <c r="D127" s="22" t="str">
        <f>IMAGE("https://raw.githubusercontent.com/ltdimages/images/refs/heads/main/ClothBottomsSkirtMiniTennis_01.png")</f>
        <v/>
      </c>
      <c r="E127" s="22" t="str">
        <f>IMAGE("https://raw.githubusercontent.com/ltdimages/images/refs/heads/main/ClothBottomsSkirtMiniTennis_02.png")</f>
        <v/>
      </c>
      <c r="F127" s="22" t="str">
        <f>IMAGE("https://raw.githubusercontent.com/ltdimages/images/refs/heads/main/ClothBottomsSkirtMiniTennis_03.png")</f>
        <v/>
      </c>
      <c r="G127" s="22" t="s">
        <v>3095</v>
      </c>
      <c r="H127" s="22" t="s">
        <v>3095</v>
      </c>
      <c r="I127" s="22" t="s">
        <v>3095</v>
      </c>
      <c r="J127" s="22" t="s">
        <v>3095</v>
      </c>
      <c r="K127" s="63" t="s">
        <v>4287</v>
      </c>
      <c r="L127" s="23">
        <v>9.0</v>
      </c>
      <c r="M127" s="22" t="s">
        <v>4231</v>
      </c>
      <c r="N127" s="22" t="s">
        <v>3099</v>
      </c>
      <c r="O127" s="22" t="s">
        <v>45</v>
      </c>
      <c r="P127" s="22" t="s">
        <v>45</v>
      </c>
      <c r="Q127" s="22" t="s">
        <v>45</v>
      </c>
      <c r="R127" s="22" t="s">
        <v>45</v>
      </c>
      <c r="S127" s="22" t="s">
        <v>45</v>
      </c>
      <c r="T127" s="22" t="s">
        <v>2002</v>
      </c>
      <c r="U127" s="22" t="s">
        <v>45</v>
      </c>
      <c r="V127" s="22" t="s">
        <v>45</v>
      </c>
      <c r="W127" s="22" t="s">
        <v>5429</v>
      </c>
      <c r="X127" s="22" t="s">
        <v>3095</v>
      </c>
      <c r="Y127" s="22" t="s">
        <v>3095</v>
      </c>
      <c r="Z127" s="22" t="s">
        <v>3095</v>
      </c>
      <c r="AA127" s="22" t="s">
        <v>3095</v>
      </c>
      <c r="AB127" s="22" t="s">
        <v>3095</v>
      </c>
      <c r="AC127" s="22" t="s">
        <v>3095</v>
      </c>
      <c r="AD127" s="22" t="s">
        <v>3095</v>
      </c>
      <c r="AE127" s="22" t="s">
        <v>3095</v>
      </c>
      <c r="AF127" s="22" t="s">
        <v>3095</v>
      </c>
    </row>
    <row r="128" ht="45.0" customHeight="1">
      <c r="A128" s="55" t="s">
        <v>593</v>
      </c>
      <c r="B128" s="62" t="s">
        <v>4664</v>
      </c>
      <c r="C128" s="22" t="str">
        <f>IMAGE("https://raw.githubusercontent.com/ltdimages/images/refs/heads/main/ClothBottomsSkirtLongTiered_00.png")</f>
        <v/>
      </c>
      <c r="D128" s="22" t="str">
        <f>IMAGE("https://raw.githubusercontent.com/ltdimages/images/refs/heads/main/ClothBottomsSkirtLongTiered_01.png")</f>
        <v/>
      </c>
      <c r="E128" s="22" t="str">
        <f>IMAGE("https://raw.githubusercontent.com/ltdimages/images/refs/heads/main/ClothBottomsSkirtLongTiered_02.png")</f>
        <v/>
      </c>
      <c r="F128" s="22" t="str">
        <f>IMAGE("https://raw.githubusercontent.com/ltdimages/images/refs/heads/main/ClothBottomsSkirtLongTiered_03.png")</f>
        <v/>
      </c>
      <c r="G128" s="22" t="str">
        <f>IMAGE("https://raw.githubusercontent.com/ltdimages/images/refs/heads/main/ClothBottomsSkirtLongTiered_04.png")</f>
        <v/>
      </c>
      <c r="H128" s="22" t="str">
        <f>IMAGE("https://raw.githubusercontent.com/ltdimages/images/refs/heads/main/ClothBottomsSkirtLongTiered_05.png")</f>
        <v/>
      </c>
      <c r="I128" s="22" t="str">
        <f>IMAGE("https://raw.githubusercontent.com/ltdimages/images/refs/heads/main/ClothBottomsSkirtLongTiered_06.png")</f>
        <v/>
      </c>
      <c r="J128" s="22" t="str">
        <f>IMAGE("https://raw.githubusercontent.com/ltdimages/images/refs/heads/main/ClothBottomsSkirtLongTiered_07.png")</f>
        <v/>
      </c>
      <c r="K128" s="63" t="s">
        <v>4287</v>
      </c>
      <c r="L128" s="23">
        <v>11.5</v>
      </c>
      <c r="M128" s="22" t="s">
        <v>4231</v>
      </c>
      <c r="N128" s="22" t="s">
        <v>3099</v>
      </c>
      <c r="O128" s="22" t="s">
        <v>45</v>
      </c>
      <c r="P128" s="22" t="s">
        <v>45</v>
      </c>
      <c r="Q128" s="22" t="s">
        <v>45</v>
      </c>
      <c r="R128" s="22" t="s">
        <v>45</v>
      </c>
      <c r="S128" s="22" t="s">
        <v>45</v>
      </c>
      <c r="T128" s="22" t="s">
        <v>2002</v>
      </c>
      <c r="U128" s="22" t="s">
        <v>45</v>
      </c>
      <c r="V128" s="22" t="s">
        <v>45</v>
      </c>
      <c r="W128" s="22" t="s">
        <v>5430</v>
      </c>
      <c r="X128" s="22" t="s">
        <v>3095</v>
      </c>
      <c r="Y128" s="22" t="s">
        <v>3095</v>
      </c>
      <c r="Z128" s="22" t="s">
        <v>3095</v>
      </c>
      <c r="AA128" s="22" t="s">
        <v>3095</v>
      </c>
      <c r="AB128" s="22" t="s">
        <v>3095</v>
      </c>
      <c r="AC128" s="22" t="s">
        <v>3095</v>
      </c>
      <c r="AD128" s="22" t="s">
        <v>3095</v>
      </c>
      <c r="AE128" s="22" t="s">
        <v>3095</v>
      </c>
      <c r="AF128" s="22" t="s">
        <v>3095</v>
      </c>
    </row>
    <row r="129" ht="45.0" customHeight="1">
      <c r="A129" s="55" t="s">
        <v>597</v>
      </c>
      <c r="B129" s="62" t="s">
        <v>5431</v>
      </c>
      <c r="C129" s="22" t="str">
        <f>IMAGE("https://raw.githubusercontent.com/ltdimages/images/refs/heads/main/ClothBottomsSkirtMiniTulle_00.png")</f>
        <v/>
      </c>
      <c r="D129" s="22" t="str">
        <f>IMAGE("https://raw.githubusercontent.com/ltdimages/images/refs/heads/main/ClothBottomsSkirtMiniTulle_01.png")</f>
        <v/>
      </c>
      <c r="E129" s="22" t="str">
        <f>IMAGE("https://raw.githubusercontent.com/ltdimages/images/refs/heads/main/ClothBottomsSkirtMiniTulle_02.png")</f>
        <v/>
      </c>
      <c r="F129" s="22" t="str">
        <f>IMAGE("https://raw.githubusercontent.com/ltdimages/images/refs/heads/main/ClothBottomsSkirtMiniTulle_03.png")</f>
        <v/>
      </c>
      <c r="G129" s="22" t="str">
        <f>IMAGE("https://raw.githubusercontent.com/ltdimages/images/refs/heads/main/ClothBottomsSkirtMiniTulle_04.png")</f>
        <v/>
      </c>
      <c r="H129" s="22" t="str">
        <f>IMAGE("https://raw.githubusercontent.com/ltdimages/images/refs/heads/main/ClothBottomsSkirtMiniTulle_05.png")</f>
        <v/>
      </c>
      <c r="I129" s="22" t="str">
        <f>IMAGE("https://raw.githubusercontent.com/ltdimages/images/refs/heads/main/ClothBottomsSkirtMiniTulle_06.png")</f>
        <v/>
      </c>
      <c r="J129" s="22" t="str">
        <f>IMAGE("https://raw.githubusercontent.com/ltdimages/images/refs/heads/main/ClothBottomsSkirtMiniTulle_07.png")</f>
        <v/>
      </c>
      <c r="K129" s="63" t="s">
        <v>4287</v>
      </c>
      <c r="L129" s="23">
        <v>10.0</v>
      </c>
      <c r="M129" s="22" t="s">
        <v>4231</v>
      </c>
      <c r="N129" s="22" t="s">
        <v>3099</v>
      </c>
      <c r="O129" s="22" t="s">
        <v>45</v>
      </c>
      <c r="P129" s="22" t="s">
        <v>45</v>
      </c>
      <c r="Q129" s="22" t="s">
        <v>45</v>
      </c>
      <c r="R129" s="22" t="s">
        <v>45</v>
      </c>
      <c r="S129" s="22" t="s">
        <v>45</v>
      </c>
      <c r="T129" s="22" t="s">
        <v>2002</v>
      </c>
      <c r="U129" s="22" t="s">
        <v>45</v>
      </c>
      <c r="V129" s="22" t="s">
        <v>45</v>
      </c>
      <c r="W129" s="22" t="s">
        <v>5432</v>
      </c>
      <c r="X129" s="22" t="s">
        <v>3095</v>
      </c>
      <c r="Y129" s="22" t="s">
        <v>3095</v>
      </c>
      <c r="Z129" s="22" t="s">
        <v>3095</v>
      </c>
      <c r="AA129" s="22" t="s">
        <v>3095</v>
      </c>
      <c r="AB129" s="22" t="s">
        <v>3095</v>
      </c>
      <c r="AC129" s="22" t="s">
        <v>3095</v>
      </c>
      <c r="AD129" s="22" t="s">
        <v>3095</v>
      </c>
      <c r="AE129" s="22" t="s">
        <v>3095</v>
      </c>
      <c r="AF129" s="22" t="s">
        <v>3095</v>
      </c>
    </row>
    <row r="130" ht="45.0" customHeight="1">
      <c r="A130" s="55" t="s">
        <v>601</v>
      </c>
      <c r="B130" s="62" t="s">
        <v>4705</v>
      </c>
      <c r="C130" s="22" t="str">
        <f>IMAGE("https://raw.githubusercontent.com/ltdimages/images/refs/heads/main/ClothBottomsSkirtBoxTweed_00.png")</f>
        <v/>
      </c>
      <c r="D130" s="22" t="str">
        <f>IMAGE("https://raw.githubusercontent.com/ltdimages/images/refs/heads/main/ClothBottomsSkirtBoxTweed_01.png")</f>
        <v/>
      </c>
      <c r="E130" s="22" t="str">
        <f>IMAGE("https://raw.githubusercontent.com/ltdimages/images/refs/heads/main/ClothBottomsSkirtBoxTweed_02.png")</f>
        <v/>
      </c>
      <c r="F130" s="22" t="s">
        <v>3095</v>
      </c>
      <c r="G130" s="22" t="s">
        <v>3095</v>
      </c>
      <c r="H130" s="22" t="s">
        <v>3095</v>
      </c>
      <c r="I130" s="22" t="s">
        <v>3095</v>
      </c>
      <c r="J130" s="22" t="s">
        <v>3095</v>
      </c>
      <c r="K130" s="63" t="s">
        <v>4287</v>
      </c>
      <c r="L130" s="23">
        <v>30.0</v>
      </c>
      <c r="M130" s="22" t="s">
        <v>4231</v>
      </c>
      <c r="N130" s="22" t="s">
        <v>3099</v>
      </c>
      <c r="O130" s="22" t="s">
        <v>45</v>
      </c>
      <c r="P130" s="22" t="s">
        <v>45</v>
      </c>
      <c r="Q130" s="22" t="s">
        <v>45</v>
      </c>
      <c r="R130" s="22" t="s">
        <v>45</v>
      </c>
      <c r="S130" s="22" t="s">
        <v>45</v>
      </c>
      <c r="T130" s="22" t="s">
        <v>2002</v>
      </c>
      <c r="U130" s="22" t="s">
        <v>45</v>
      </c>
      <c r="V130" s="22" t="s">
        <v>45</v>
      </c>
      <c r="W130" s="22" t="s">
        <v>5433</v>
      </c>
      <c r="X130" s="22" t="s">
        <v>3095</v>
      </c>
      <c r="Y130" s="22" t="s">
        <v>3095</v>
      </c>
      <c r="Z130" s="22" t="s">
        <v>3095</v>
      </c>
      <c r="AA130" s="22" t="s">
        <v>3095</v>
      </c>
      <c r="AB130" s="22" t="s">
        <v>3095</v>
      </c>
      <c r="AC130" s="22" t="s">
        <v>3095</v>
      </c>
      <c r="AD130" s="22" t="s">
        <v>3095</v>
      </c>
      <c r="AE130" s="22" t="s">
        <v>3095</v>
      </c>
      <c r="AF130" s="22" t="s">
        <v>3095</v>
      </c>
    </row>
    <row r="131" ht="45.0" customHeight="1">
      <c r="A131" s="55" t="s">
        <v>605</v>
      </c>
      <c r="B131" s="62" t="s">
        <v>4571</v>
      </c>
      <c r="C131" s="22" t="str">
        <f>IMAGE("https://raw.githubusercontent.com/ltdimages/images/refs/heads/main/ClothBottomsSkirtMiniWrap_00.png")</f>
        <v/>
      </c>
      <c r="D131" s="22" t="str">
        <f>IMAGE("https://raw.githubusercontent.com/ltdimages/images/refs/heads/main/ClothBottomsSkirtMiniWrap_01.png")</f>
        <v/>
      </c>
      <c r="E131" s="22" t="str">
        <f>IMAGE("https://raw.githubusercontent.com/ltdimages/images/refs/heads/main/ClothBottomsSkirtMiniWrap_02.png")</f>
        <v/>
      </c>
      <c r="F131" s="22" t="str">
        <f>IMAGE("https://raw.githubusercontent.com/ltdimages/images/refs/heads/main/ClothBottomsSkirtMiniWrap_03.png")</f>
        <v/>
      </c>
      <c r="G131" s="22" t="str">
        <f>IMAGE("https://raw.githubusercontent.com/ltdimages/images/refs/heads/main/ClothBottomsSkirtMiniWrap_04.png")</f>
        <v/>
      </c>
      <c r="H131" s="22" t="s">
        <v>3095</v>
      </c>
      <c r="I131" s="22" t="s">
        <v>3095</v>
      </c>
      <c r="J131" s="22" t="s">
        <v>3095</v>
      </c>
      <c r="K131" s="63" t="s">
        <v>4287</v>
      </c>
      <c r="L131" s="23">
        <v>9.5</v>
      </c>
      <c r="M131" s="22" t="s">
        <v>4231</v>
      </c>
      <c r="N131" s="22" t="s">
        <v>3099</v>
      </c>
      <c r="O131" s="22" t="s">
        <v>45</v>
      </c>
      <c r="P131" s="22" t="s">
        <v>45</v>
      </c>
      <c r="Q131" s="22" t="s">
        <v>45</v>
      </c>
      <c r="R131" s="22" t="s">
        <v>45</v>
      </c>
      <c r="S131" s="22" t="s">
        <v>45</v>
      </c>
      <c r="T131" s="22" t="s">
        <v>2002</v>
      </c>
      <c r="U131" s="22" t="s">
        <v>45</v>
      </c>
      <c r="V131" s="22" t="s">
        <v>45</v>
      </c>
      <c r="W131" s="22" t="s">
        <v>5434</v>
      </c>
      <c r="X131" s="22" t="s">
        <v>3095</v>
      </c>
      <c r="Y131" s="22" t="s">
        <v>3095</v>
      </c>
      <c r="Z131" s="22" t="s">
        <v>3095</v>
      </c>
      <c r="AA131" s="22" t="s">
        <v>3095</v>
      </c>
      <c r="AB131" s="22" t="s">
        <v>3095</v>
      </c>
      <c r="AC131" s="22" t="s">
        <v>3095</v>
      </c>
      <c r="AD131" s="22" t="s">
        <v>3095</v>
      </c>
      <c r="AE131" s="22" t="s">
        <v>3095</v>
      </c>
      <c r="AF131" s="22" t="s">
        <v>3095</v>
      </c>
    </row>
    <row r="132" ht="45.0" customHeight="1">
      <c r="A132" s="55" t="s">
        <v>3095</v>
      </c>
      <c r="B132" s="62" t="s">
        <v>4745</v>
      </c>
      <c r="C132" s="22" t="str">
        <f>IMAGE("https://raw.githubusercontent.com/ltdimages/images/refs/heads/main/ClothBottomsPantsLongDefault_00.png")</f>
        <v/>
      </c>
      <c r="D132" s="22" t="str">
        <f>IMAGE("https://raw.githubusercontent.com/ltdimages/images/refs/heads/main/ClothBottomsPantsLongDefault_01.png")</f>
        <v/>
      </c>
      <c r="E132" s="22" t="str">
        <f>IMAGE("https://raw.githubusercontent.com/ltdimages/images/refs/heads/main/ClothBottomsPantsLongDefault_02.png")</f>
        <v/>
      </c>
      <c r="F132" s="22" t="str">
        <f>IMAGE("https://raw.githubusercontent.com/ltdimages/images/refs/heads/main/ClothBottomsPantsLongDefault_03.png")</f>
        <v/>
      </c>
      <c r="G132" s="22" t="str">
        <f>IMAGE("https://raw.githubusercontent.com/ltdimages/images/refs/heads/main/ClothBottomsPantsLongDefault_04.png")</f>
        <v/>
      </c>
      <c r="H132" s="22" t="str">
        <f>IMAGE("https://raw.githubusercontent.com/ltdimages/images/refs/heads/main/ClothBottomsPantsLongDefault_05.png")</f>
        <v/>
      </c>
      <c r="I132" s="22" t="str">
        <f>IMAGE("https://raw.githubusercontent.com/ltdimages/images/refs/heads/main/ClothBottomsPantsLongDefault_06.png")</f>
        <v/>
      </c>
      <c r="J132" s="22" t="str">
        <f>IMAGE("https://raw.githubusercontent.com/ltdimages/images/refs/heads/main/ClothBottomsPantsLongDefault_07.png")</f>
        <v/>
      </c>
      <c r="K132" s="63" t="s">
        <v>4287</v>
      </c>
      <c r="L132" s="23">
        <v>0.0</v>
      </c>
      <c r="M132" s="22" t="s">
        <v>3097</v>
      </c>
      <c r="N132" s="22" t="s">
        <v>3099</v>
      </c>
      <c r="O132" s="22" t="s">
        <v>45</v>
      </c>
      <c r="P132" s="22" t="s">
        <v>45</v>
      </c>
      <c r="Q132" s="22" t="s">
        <v>45</v>
      </c>
      <c r="R132" s="22" t="s">
        <v>45</v>
      </c>
      <c r="S132" s="22" t="s">
        <v>49</v>
      </c>
      <c r="T132" s="22" t="s">
        <v>2002</v>
      </c>
      <c r="U132" s="22" t="s">
        <v>45</v>
      </c>
      <c r="V132" s="22" t="s">
        <v>45</v>
      </c>
      <c r="W132" s="22" t="s">
        <v>5435</v>
      </c>
      <c r="X132" s="22" t="str">
        <f>IMAGE("https://raw.githubusercontent.com/ltdimages/images/refs/heads/main/ClothBottomsPantsLongDefault_08.png")</f>
        <v/>
      </c>
      <c r="Y132" s="22" t="str">
        <f>IMAGE("https://raw.githubusercontent.com/ltdimages/images/refs/heads/main/ClothBottomsPantsLongDefault_09.png")</f>
        <v/>
      </c>
      <c r="Z132" s="22" t="str">
        <f>IMAGE("https://raw.githubusercontent.com/ltdimages/images/refs/heads/main/ClothBottomsPantsLongDefault_10.png")</f>
        <v/>
      </c>
      <c r="AA132" s="22" t="str">
        <f>IMAGE("https://raw.githubusercontent.com/ltdimages/images/refs/heads/main/ClothBottomsPantsLongDefault_11.png")</f>
        <v/>
      </c>
      <c r="AB132" s="22" t="str">
        <f>IMAGE("https://raw.githubusercontent.com/ltdimages/images/refs/heads/main/ClothBottomsPantsLongDefault_12.png")</f>
        <v/>
      </c>
      <c r="AC132" s="22" t="str">
        <f>IMAGE("https://raw.githubusercontent.com/ltdimages/images/refs/heads/main/ClothBottomsPantsLongDefault_13.png")</f>
        <v/>
      </c>
      <c r="AD132" s="22" t="str">
        <f>IMAGE("https://raw.githubusercontent.com/ltdimages/images/refs/heads/main/ClothBottomsPantsLongDefault_14.png")</f>
        <v/>
      </c>
      <c r="AE132" s="22" t="str">
        <f>IMAGE("https://raw.githubusercontent.com/ltdimages/images/refs/heads/main/ClothBottomsPantsLongDefault_15.png")</f>
        <v/>
      </c>
      <c r="AF132" s="22" t="str">
        <f>IMAGE("https://raw.githubusercontent.com/ltdimages/images/refs/heads/main/ClothBottomsPantsLongDefault_16.png")</f>
        <v/>
      </c>
    </row>
    <row r="133" ht="45.0" customHeight="1">
      <c r="A133" s="55" t="s">
        <v>3095</v>
      </c>
      <c r="B133" s="62"/>
      <c r="C133" s="22" t="str">
        <f>IMAGE("https://raw.githubusercontent.com/ltdimages/images/refs/heads/main/ClothBottomsUgcPantsLong_00.png")</f>
        <v/>
      </c>
      <c r="D133" s="22" t="s">
        <v>3095</v>
      </c>
      <c r="E133" s="22" t="s">
        <v>3095</v>
      </c>
      <c r="F133" s="22" t="s">
        <v>3095</v>
      </c>
      <c r="G133" s="22" t="s">
        <v>3095</v>
      </c>
      <c r="H133" s="22" t="s">
        <v>3095</v>
      </c>
      <c r="I133" s="22" t="s">
        <v>3095</v>
      </c>
      <c r="J133" s="22" t="s">
        <v>3095</v>
      </c>
      <c r="K133" s="63" t="s">
        <v>4287</v>
      </c>
      <c r="L133" s="23">
        <v>0.0</v>
      </c>
      <c r="M133" s="22" t="s">
        <v>3097</v>
      </c>
      <c r="N133" s="22" t="s">
        <v>3099</v>
      </c>
      <c r="O133" s="22" t="s">
        <v>45</v>
      </c>
      <c r="P133" s="22" t="s">
        <v>45</v>
      </c>
      <c r="Q133" s="22" t="s">
        <v>45</v>
      </c>
      <c r="R133" s="22" t="s">
        <v>45</v>
      </c>
      <c r="S133" s="22" t="s">
        <v>49</v>
      </c>
      <c r="T133" s="22" t="s">
        <v>2002</v>
      </c>
      <c r="U133" s="22" t="s">
        <v>45</v>
      </c>
      <c r="V133" s="22" t="s">
        <v>45</v>
      </c>
      <c r="W133" s="22" t="s">
        <v>5436</v>
      </c>
      <c r="X133" s="22" t="s">
        <v>3095</v>
      </c>
      <c r="Y133" s="22" t="s">
        <v>3095</v>
      </c>
      <c r="Z133" s="22" t="s">
        <v>3095</v>
      </c>
      <c r="AA133" s="22" t="s">
        <v>3095</v>
      </c>
      <c r="AB133" s="22" t="s">
        <v>3095</v>
      </c>
      <c r="AC133" s="22" t="s">
        <v>3095</v>
      </c>
      <c r="AD133" s="22" t="s">
        <v>3095</v>
      </c>
      <c r="AE133" s="22" t="s">
        <v>3095</v>
      </c>
      <c r="AF133" s="22" t="s">
        <v>3095</v>
      </c>
    </row>
    <row r="134" ht="45.0" customHeight="1">
      <c r="A134" s="55" t="s">
        <v>3095</v>
      </c>
      <c r="B134" s="62"/>
      <c r="C134" s="22" t="str">
        <f>IMAGE("https://raw.githubusercontent.com/ltdimages/images/refs/heads/main/ClothBottomsUgcPantsWide_00.png")</f>
        <v/>
      </c>
      <c r="D134" s="22" t="s">
        <v>3095</v>
      </c>
      <c r="E134" s="22" t="s">
        <v>3095</v>
      </c>
      <c r="F134" s="22" t="s">
        <v>3095</v>
      </c>
      <c r="G134" s="22" t="s">
        <v>3095</v>
      </c>
      <c r="H134" s="22" t="s">
        <v>3095</v>
      </c>
      <c r="I134" s="22" t="s">
        <v>3095</v>
      </c>
      <c r="J134" s="22" t="s">
        <v>3095</v>
      </c>
      <c r="K134" s="63" t="s">
        <v>4287</v>
      </c>
      <c r="L134" s="23">
        <v>0.0</v>
      </c>
      <c r="M134" s="22" t="s">
        <v>3097</v>
      </c>
      <c r="N134" s="22" t="s">
        <v>3099</v>
      </c>
      <c r="O134" s="22" t="s">
        <v>45</v>
      </c>
      <c r="P134" s="22" t="s">
        <v>45</v>
      </c>
      <c r="Q134" s="22" t="s">
        <v>45</v>
      </c>
      <c r="R134" s="22" t="s">
        <v>45</v>
      </c>
      <c r="S134" s="22" t="s">
        <v>49</v>
      </c>
      <c r="T134" s="22" t="s">
        <v>2002</v>
      </c>
      <c r="U134" s="22" t="s">
        <v>45</v>
      </c>
      <c r="V134" s="22" t="s">
        <v>45</v>
      </c>
      <c r="W134" s="22" t="s">
        <v>5437</v>
      </c>
      <c r="X134" s="22" t="s">
        <v>3095</v>
      </c>
      <c r="Y134" s="22" t="s">
        <v>3095</v>
      </c>
      <c r="Z134" s="22" t="s">
        <v>3095</v>
      </c>
      <c r="AA134" s="22" t="s">
        <v>3095</v>
      </c>
      <c r="AB134" s="22" t="s">
        <v>3095</v>
      </c>
      <c r="AC134" s="22" t="s">
        <v>3095</v>
      </c>
      <c r="AD134" s="22" t="s">
        <v>3095</v>
      </c>
      <c r="AE134" s="22" t="s">
        <v>3095</v>
      </c>
      <c r="AF134" s="22" t="s">
        <v>3095</v>
      </c>
    </row>
    <row r="135" ht="45.0" customHeight="1">
      <c r="A135" s="55" t="s">
        <v>3095</v>
      </c>
      <c r="B135" s="62"/>
      <c r="C135" s="22" t="str">
        <f>IMAGE("https://raw.githubusercontent.com/ltdimages/images/refs/heads/main/ClothBottomsUgcSkirtLong_00.png")</f>
        <v/>
      </c>
      <c r="D135" s="22" t="s">
        <v>3095</v>
      </c>
      <c r="E135" s="22" t="s">
        <v>3095</v>
      </c>
      <c r="F135" s="22" t="s">
        <v>3095</v>
      </c>
      <c r="G135" s="22" t="s">
        <v>3095</v>
      </c>
      <c r="H135" s="22" t="s">
        <v>3095</v>
      </c>
      <c r="I135" s="22" t="s">
        <v>3095</v>
      </c>
      <c r="J135" s="22" t="s">
        <v>3095</v>
      </c>
      <c r="K135" s="63" t="s">
        <v>4287</v>
      </c>
      <c r="L135" s="23">
        <v>0.0</v>
      </c>
      <c r="M135" s="22" t="s">
        <v>3097</v>
      </c>
      <c r="N135" s="22" t="s">
        <v>3099</v>
      </c>
      <c r="O135" s="22" t="s">
        <v>45</v>
      </c>
      <c r="P135" s="22" t="s">
        <v>45</v>
      </c>
      <c r="Q135" s="22" t="s">
        <v>45</v>
      </c>
      <c r="R135" s="22" t="s">
        <v>45</v>
      </c>
      <c r="S135" s="22" t="s">
        <v>49</v>
      </c>
      <c r="T135" s="22" t="s">
        <v>2002</v>
      </c>
      <c r="U135" s="22" t="s">
        <v>45</v>
      </c>
      <c r="V135" s="22" t="s">
        <v>45</v>
      </c>
      <c r="W135" s="22" t="s">
        <v>5438</v>
      </c>
      <c r="X135" s="22" t="s">
        <v>3095</v>
      </c>
      <c r="Y135" s="22" t="s">
        <v>3095</v>
      </c>
      <c r="Z135" s="22" t="s">
        <v>3095</v>
      </c>
      <c r="AA135" s="22" t="s">
        <v>3095</v>
      </c>
      <c r="AB135" s="22" t="s">
        <v>3095</v>
      </c>
      <c r="AC135" s="22" t="s">
        <v>3095</v>
      </c>
      <c r="AD135" s="22" t="s">
        <v>3095</v>
      </c>
      <c r="AE135" s="22" t="s">
        <v>3095</v>
      </c>
      <c r="AF135" s="22" t="s">
        <v>3095</v>
      </c>
    </row>
    <row r="136" ht="45.0" customHeight="1">
      <c r="A136" s="55" t="s">
        <v>3095</v>
      </c>
      <c r="B136" s="62"/>
      <c r="C136" s="22" t="str">
        <f>IMAGE("https://raw.githubusercontent.com/ltdimages/images/refs/heads/main/ClothBottomsUgcSkirtMini_00.png")</f>
        <v/>
      </c>
      <c r="D136" s="22" t="s">
        <v>3095</v>
      </c>
      <c r="E136" s="22" t="s">
        <v>3095</v>
      </c>
      <c r="F136" s="22" t="s">
        <v>3095</v>
      </c>
      <c r="G136" s="22" t="s">
        <v>3095</v>
      </c>
      <c r="H136" s="22" t="s">
        <v>3095</v>
      </c>
      <c r="I136" s="22" t="s">
        <v>3095</v>
      </c>
      <c r="J136" s="22" t="s">
        <v>3095</v>
      </c>
      <c r="K136" s="63" t="s">
        <v>4287</v>
      </c>
      <c r="L136" s="23">
        <v>0.0</v>
      </c>
      <c r="M136" s="22" t="s">
        <v>3097</v>
      </c>
      <c r="N136" s="22" t="s">
        <v>3099</v>
      </c>
      <c r="O136" s="22" t="s">
        <v>45</v>
      </c>
      <c r="P136" s="22" t="s">
        <v>45</v>
      </c>
      <c r="Q136" s="22" t="s">
        <v>45</v>
      </c>
      <c r="R136" s="22" t="s">
        <v>45</v>
      </c>
      <c r="S136" s="22" t="s">
        <v>49</v>
      </c>
      <c r="T136" s="22" t="s">
        <v>2002</v>
      </c>
      <c r="U136" s="22" t="s">
        <v>45</v>
      </c>
      <c r="V136" s="22" t="s">
        <v>45</v>
      </c>
      <c r="W136" s="22" t="s">
        <v>5439</v>
      </c>
      <c r="X136" s="22" t="s">
        <v>3095</v>
      </c>
      <c r="Y136" s="22" t="s">
        <v>3095</v>
      </c>
      <c r="Z136" s="22" t="s">
        <v>3095</v>
      </c>
      <c r="AA136" s="22" t="s">
        <v>3095</v>
      </c>
      <c r="AB136" s="22" t="s">
        <v>3095</v>
      </c>
      <c r="AC136" s="22" t="s">
        <v>3095</v>
      </c>
      <c r="AD136" s="22" t="s">
        <v>3095</v>
      </c>
      <c r="AE136" s="22" t="s">
        <v>3095</v>
      </c>
      <c r="AF136" s="22" t="s">
        <v>3095</v>
      </c>
    </row>
  </sheetData>
  <autoFilter ref="$A$1:$AF$136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88"/>
    <col customWidth="1" min="2" max="2" width="18.0"/>
    <col customWidth="1" min="3" max="10" width="7.63"/>
    <col customWidth="1" min="11" max="11" width="15.13"/>
    <col customWidth="1" min="12" max="12" width="13.63"/>
    <col customWidth="1" min="13" max="13" width="9.5"/>
    <col customWidth="1" min="14" max="14" width="13.63"/>
    <col customWidth="1" min="15" max="15" width="8.63"/>
    <col customWidth="1" min="16" max="16" width="8.5"/>
    <col customWidth="1" min="17" max="17" width="12.63"/>
    <col customWidth="1" min="18" max="18" width="9.75"/>
    <col customWidth="1" min="19" max="19" width="15.13"/>
    <col customWidth="1" min="20" max="20" width="11.38"/>
    <col customWidth="1" min="21" max="21" width="8.38"/>
    <col customWidth="1" min="22" max="22" width="9.38"/>
    <col customWidth="1" min="23" max="23" width="31.0"/>
  </cols>
  <sheetData>
    <row r="1" ht="31.5" customHeight="1">
      <c r="A1" s="58" t="s">
        <v>23</v>
      </c>
      <c r="B1" s="59" t="s">
        <v>25</v>
      </c>
      <c r="C1" s="60" t="s">
        <v>3059</v>
      </c>
      <c r="D1" s="60" t="s">
        <v>3060</v>
      </c>
      <c r="E1" s="60" t="s">
        <v>3061</v>
      </c>
      <c r="F1" s="60" t="s">
        <v>3062</v>
      </c>
      <c r="G1" s="60" t="s">
        <v>3063</v>
      </c>
      <c r="H1" s="60" t="s">
        <v>3064</v>
      </c>
      <c r="I1" s="60" t="s">
        <v>3065</v>
      </c>
      <c r="J1" s="60" t="s">
        <v>3066</v>
      </c>
      <c r="K1" s="19" t="s">
        <v>1993</v>
      </c>
      <c r="L1" s="19" t="s">
        <v>29</v>
      </c>
      <c r="M1" s="19" t="s">
        <v>3067</v>
      </c>
      <c r="N1" s="19" t="s">
        <v>3069</v>
      </c>
      <c r="O1" s="19" t="s">
        <v>3070</v>
      </c>
      <c r="P1" s="19" t="s">
        <v>3071</v>
      </c>
      <c r="Q1" s="19" t="s">
        <v>3072</v>
      </c>
      <c r="R1" s="19" t="s">
        <v>3073</v>
      </c>
      <c r="S1" s="19" t="s">
        <v>3075</v>
      </c>
      <c r="T1" s="19" t="s">
        <v>4749</v>
      </c>
      <c r="U1" s="19" t="s">
        <v>4750</v>
      </c>
      <c r="V1" s="19" t="s">
        <v>4751</v>
      </c>
      <c r="W1" s="19" t="s">
        <v>40</v>
      </c>
    </row>
    <row r="2" ht="45.0" customHeight="1">
      <c r="A2" s="55" t="s">
        <v>41</v>
      </c>
      <c r="B2" s="62" t="s">
        <v>5440</v>
      </c>
      <c r="C2" s="22" t="str">
        <f>IMAGE("https://raw.githubusercontent.com/ltdimages/images/refs/heads/main/ClothHeadwearHatJet_00.png")</f>
        <v/>
      </c>
      <c r="D2" s="22" t="str">
        <f>IMAGE("https://raw.githubusercontent.com/ltdimages/images/refs/heads/main/ClothHeadwearHatJet_01.png")</f>
        <v/>
      </c>
      <c r="E2" s="22" t="str">
        <f>IMAGE("https://raw.githubusercontent.com/ltdimages/images/refs/heads/main/ClothHeadwearHatJet_02.png")</f>
        <v/>
      </c>
      <c r="F2" s="22" t="str">
        <f>IMAGE("https://raw.githubusercontent.com/ltdimages/images/refs/heads/main/ClothHeadwearHatJet_03.png")</f>
        <v/>
      </c>
      <c r="G2" s="22" t="str">
        <f>IMAGE("https://raw.githubusercontent.com/ltdimages/images/refs/heads/main/ClothHeadwearHatJet_04.png")</f>
        <v/>
      </c>
      <c r="H2" s="22" t="str">
        <f>IMAGE("https://raw.githubusercontent.com/ltdimages/images/refs/heads/main/ClothHeadwearHatJet_05.png")</f>
        <v/>
      </c>
      <c r="I2" s="22" t="s">
        <v>3095</v>
      </c>
      <c r="J2" s="22" t="s">
        <v>3095</v>
      </c>
      <c r="K2" s="63" t="s">
        <v>3244</v>
      </c>
      <c r="L2" s="23">
        <v>15.5</v>
      </c>
      <c r="M2" s="22" t="s">
        <v>3097</v>
      </c>
      <c r="N2" s="22" t="s">
        <v>3099</v>
      </c>
      <c r="O2" s="22" t="s">
        <v>45</v>
      </c>
      <c r="P2" s="22" t="s">
        <v>45</v>
      </c>
      <c r="Q2" s="22" t="s">
        <v>45</v>
      </c>
      <c r="R2" s="22" t="s">
        <v>45</v>
      </c>
      <c r="S2" s="22" t="s">
        <v>45</v>
      </c>
      <c r="T2" s="22" t="s">
        <v>5441</v>
      </c>
      <c r="U2" s="22" t="s">
        <v>45</v>
      </c>
      <c r="V2" s="22" t="s">
        <v>45</v>
      </c>
      <c r="W2" s="22" t="s">
        <v>5442</v>
      </c>
    </row>
    <row r="3" ht="45.0" customHeight="1">
      <c r="A3" s="55" t="s">
        <v>52</v>
      </c>
      <c r="B3" s="62" t="s">
        <v>5443</v>
      </c>
      <c r="C3" s="22" t="str">
        <f>IMAGE("https://raw.githubusercontent.com/ltdimages/images/refs/heads/main/ClothHeadwearHatAcorn_00.png")</f>
        <v/>
      </c>
      <c r="D3" s="22" t="str">
        <f>IMAGE("https://raw.githubusercontent.com/ltdimages/images/refs/heads/main/ClothHeadwearHatAcorn_01.png")</f>
        <v/>
      </c>
      <c r="E3" s="22" t="str">
        <f>IMAGE("https://raw.githubusercontent.com/ltdimages/images/refs/heads/main/ClothHeadwearHatAcorn_02.png")</f>
        <v/>
      </c>
      <c r="F3" s="22" t="str">
        <f>IMAGE("https://raw.githubusercontent.com/ltdimages/images/refs/heads/main/ClothHeadwearHatAcorn_03.png")</f>
        <v/>
      </c>
      <c r="G3" s="22" t="str">
        <f>IMAGE("https://raw.githubusercontent.com/ltdimages/images/refs/heads/main/ClothHeadwearHatAcorn_04.png")</f>
        <v/>
      </c>
      <c r="H3" s="22" t="str">
        <f>IMAGE("https://raw.githubusercontent.com/ltdimages/images/refs/heads/main/ClothHeadwearHatAcorn_05.png")</f>
        <v/>
      </c>
      <c r="I3" s="22" t="s">
        <v>3095</v>
      </c>
      <c r="J3" s="22" t="s">
        <v>3095</v>
      </c>
      <c r="K3" s="63" t="s">
        <v>3244</v>
      </c>
      <c r="L3" s="23">
        <v>18.0</v>
      </c>
      <c r="M3" s="22" t="s">
        <v>3097</v>
      </c>
      <c r="N3" s="22" t="s">
        <v>3099</v>
      </c>
      <c r="O3" s="22" t="s">
        <v>45</v>
      </c>
      <c r="P3" s="22" t="s">
        <v>45</v>
      </c>
      <c r="Q3" s="22" t="s">
        <v>45</v>
      </c>
      <c r="R3" s="22" t="s">
        <v>45</v>
      </c>
      <c r="S3" s="22" t="s">
        <v>45</v>
      </c>
      <c r="T3" s="22" t="s">
        <v>5441</v>
      </c>
      <c r="U3" s="22" t="s">
        <v>45</v>
      </c>
      <c r="V3" s="22" t="s">
        <v>45</v>
      </c>
      <c r="W3" s="22" t="s">
        <v>5444</v>
      </c>
    </row>
    <row r="4" ht="45.0" customHeight="1">
      <c r="A4" s="55" t="s">
        <v>60</v>
      </c>
      <c r="B4" s="62" t="s">
        <v>5445</v>
      </c>
      <c r="C4" s="22" t="str">
        <f>IMAGE("https://raw.githubusercontent.com/ltdimages/images/refs/heads/main/ClothHeadwearHatApple_00.png")</f>
        <v/>
      </c>
      <c r="D4" s="22" t="str">
        <f>IMAGE("https://raw.githubusercontent.com/ltdimages/images/refs/heads/main/ClothHeadwearHatApple_01.png")</f>
        <v/>
      </c>
      <c r="E4" s="22" t="s">
        <v>3095</v>
      </c>
      <c r="F4" s="22" t="s">
        <v>3095</v>
      </c>
      <c r="G4" s="22" t="s">
        <v>3095</v>
      </c>
      <c r="H4" s="22" t="s">
        <v>3095</v>
      </c>
      <c r="I4" s="22" t="s">
        <v>3095</v>
      </c>
      <c r="J4" s="22" t="s">
        <v>3095</v>
      </c>
      <c r="K4" s="63" t="s">
        <v>3244</v>
      </c>
      <c r="L4" s="23">
        <v>21.1</v>
      </c>
      <c r="M4" s="22" t="s">
        <v>3097</v>
      </c>
      <c r="N4" s="22" t="s">
        <v>3099</v>
      </c>
      <c r="O4" s="22" t="s">
        <v>45</v>
      </c>
      <c r="P4" s="22" t="s">
        <v>45</v>
      </c>
      <c r="Q4" s="22" t="s">
        <v>45</v>
      </c>
      <c r="R4" s="22" t="s">
        <v>49</v>
      </c>
      <c r="S4" s="22" t="s">
        <v>45</v>
      </c>
      <c r="T4" s="22" t="s">
        <v>5441</v>
      </c>
      <c r="U4" s="22" t="s">
        <v>45</v>
      </c>
      <c r="V4" s="22" t="s">
        <v>45</v>
      </c>
      <c r="W4" s="22" t="s">
        <v>5446</v>
      </c>
    </row>
    <row r="5" ht="45.0" customHeight="1">
      <c r="A5" s="55" t="s">
        <v>65</v>
      </c>
      <c r="B5" s="62" t="s">
        <v>5447</v>
      </c>
      <c r="C5" s="22" t="str">
        <f>IMAGE("https://raw.githubusercontent.com/ltdimages/images/refs/heads/main/ClothHeadwearHatBackHunting_00.png")</f>
        <v/>
      </c>
      <c r="D5" s="22" t="str">
        <f>IMAGE("https://raw.githubusercontent.com/ltdimages/images/refs/heads/main/ClothHeadwearHatBackHunting_01.png")</f>
        <v/>
      </c>
      <c r="E5" s="22" t="str">
        <f>IMAGE("https://raw.githubusercontent.com/ltdimages/images/refs/heads/main/ClothHeadwearHatBackHunting_02.png")</f>
        <v/>
      </c>
      <c r="F5" s="22" t="str">
        <f>IMAGE("https://raw.githubusercontent.com/ltdimages/images/refs/heads/main/ClothHeadwearHatBackHunting_03.png")</f>
        <v/>
      </c>
      <c r="G5" s="22" t="str">
        <f>IMAGE("https://raw.githubusercontent.com/ltdimages/images/refs/heads/main/ClothHeadwearHatBackHunting_04.png")</f>
        <v/>
      </c>
      <c r="H5" s="22" t="str">
        <f>IMAGE("https://raw.githubusercontent.com/ltdimages/images/refs/heads/main/ClothHeadwearHatBackHunting_05.png")</f>
        <v/>
      </c>
      <c r="I5" s="22" t="str">
        <f>IMAGE("https://raw.githubusercontent.com/ltdimages/images/refs/heads/main/ClothHeadwearHatBackHunting_06.png")</f>
        <v/>
      </c>
      <c r="J5" s="22" t="str">
        <f>IMAGE("https://raw.githubusercontent.com/ltdimages/images/refs/heads/main/ClothHeadwearHatBackHunting_07.png")</f>
        <v/>
      </c>
      <c r="K5" s="63" t="s">
        <v>3244</v>
      </c>
      <c r="L5" s="23">
        <v>14.5</v>
      </c>
      <c r="M5" s="22" t="s">
        <v>3097</v>
      </c>
      <c r="N5" s="22" t="s">
        <v>3099</v>
      </c>
      <c r="O5" s="22" t="s">
        <v>45</v>
      </c>
      <c r="P5" s="22" t="s">
        <v>45</v>
      </c>
      <c r="Q5" s="22" t="s">
        <v>45</v>
      </c>
      <c r="R5" s="22" t="s">
        <v>45</v>
      </c>
      <c r="S5" s="22" t="s">
        <v>45</v>
      </c>
      <c r="T5" s="22" t="s">
        <v>5441</v>
      </c>
      <c r="U5" s="22" t="s">
        <v>45</v>
      </c>
      <c r="V5" s="22" t="s">
        <v>45</v>
      </c>
      <c r="W5" s="22" t="s">
        <v>5448</v>
      </c>
    </row>
    <row r="6" ht="45.0" customHeight="1">
      <c r="A6" s="55" t="s">
        <v>70</v>
      </c>
      <c r="B6" s="62" t="s">
        <v>3445</v>
      </c>
      <c r="C6" s="22" t="str">
        <f>IMAGE("https://raw.githubusercontent.com/ltdimages/images/refs/heads/main/ClothHeadwearHatBackCap_00.png")</f>
        <v/>
      </c>
      <c r="D6" s="22" t="str">
        <f>IMAGE("https://raw.githubusercontent.com/ltdimages/images/refs/heads/main/ClothHeadwearHatBackCap_01.png")</f>
        <v/>
      </c>
      <c r="E6" s="22" t="str">
        <f>IMAGE("https://raw.githubusercontent.com/ltdimages/images/refs/heads/main/ClothHeadwearHatBackCap_02.png")</f>
        <v/>
      </c>
      <c r="F6" s="22" t="str">
        <f>IMAGE("https://raw.githubusercontent.com/ltdimages/images/refs/heads/main/ClothHeadwearHatBackCap_03.png")</f>
        <v/>
      </c>
      <c r="G6" s="22" t="str">
        <f>IMAGE("https://raw.githubusercontent.com/ltdimages/images/refs/heads/main/ClothHeadwearHatBackCap_04.png")</f>
        <v/>
      </c>
      <c r="H6" s="22" t="str">
        <f>IMAGE("https://raw.githubusercontent.com/ltdimages/images/refs/heads/main/ClothHeadwearHatBackCap_05.png")</f>
        <v/>
      </c>
      <c r="I6" s="22" t="s">
        <v>3095</v>
      </c>
      <c r="J6" s="22" t="s">
        <v>3095</v>
      </c>
      <c r="K6" s="63" t="s">
        <v>3244</v>
      </c>
      <c r="L6" s="23">
        <v>16.5</v>
      </c>
      <c r="M6" s="22" t="s">
        <v>3097</v>
      </c>
      <c r="N6" s="22" t="s">
        <v>3099</v>
      </c>
      <c r="O6" s="22" t="s">
        <v>45</v>
      </c>
      <c r="P6" s="22" t="s">
        <v>45</v>
      </c>
      <c r="Q6" s="22" t="s">
        <v>45</v>
      </c>
      <c r="R6" s="22" t="s">
        <v>45</v>
      </c>
      <c r="S6" s="22" t="s">
        <v>45</v>
      </c>
      <c r="T6" s="22" t="s">
        <v>5441</v>
      </c>
      <c r="U6" s="22" t="s">
        <v>45</v>
      </c>
      <c r="V6" s="22" t="s">
        <v>45</v>
      </c>
      <c r="W6" s="22" t="s">
        <v>5449</v>
      </c>
    </row>
    <row r="7" ht="45.0" customHeight="1">
      <c r="A7" s="55" t="s">
        <v>74</v>
      </c>
      <c r="B7" s="62" t="s">
        <v>5450</v>
      </c>
      <c r="C7" s="22" t="str">
        <f>IMAGE("https://raw.githubusercontent.com/ltdimages/images/refs/heads/main/ClothHeadwearHatBandana_00.png")</f>
        <v/>
      </c>
      <c r="D7" s="22" t="str">
        <f>IMAGE("https://raw.githubusercontent.com/ltdimages/images/refs/heads/main/ClothHeadwearHatBandana_01.png")</f>
        <v/>
      </c>
      <c r="E7" s="22" t="str">
        <f>IMAGE("https://raw.githubusercontent.com/ltdimages/images/refs/heads/main/ClothHeadwearHatBandana_02.png")</f>
        <v/>
      </c>
      <c r="F7" s="22" t="str">
        <f>IMAGE("https://raw.githubusercontent.com/ltdimages/images/refs/heads/main/ClothHeadwearHatBandana_03.png")</f>
        <v/>
      </c>
      <c r="G7" s="22" t="str">
        <f>IMAGE("https://raw.githubusercontent.com/ltdimages/images/refs/heads/main/ClothHeadwearHatBandana_04.png")</f>
        <v/>
      </c>
      <c r="H7" s="22" t="str">
        <f>IMAGE("https://raw.githubusercontent.com/ltdimages/images/refs/heads/main/ClothHeadwearHatBandana_05.png")</f>
        <v/>
      </c>
      <c r="I7" s="22" t="str">
        <f>IMAGE("https://raw.githubusercontent.com/ltdimages/images/refs/heads/main/ClothHeadwearHatBandana_06.png")</f>
        <v/>
      </c>
      <c r="J7" s="22" t="str">
        <f>IMAGE("https://raw.githubusercontent.com/ltdimages/images/refs/heads/main/ClothHeadwearHatBandana_07.png")</f>
        <v/>
      </c>
      <c r="K7" s="63" t="s">
        <v>3244</v>
      </c>
      <c r="L7" s="23">
        <v>15.0</v>
      </c>
      <c r="M7" s="22" t="s">
        <v>3097</v>
      </c>
      <c r="N7" s="22" t="s">
        <v>3099</v>
      </c>
      <c r="O7" s="22" t="s">
        <v>45</v>
      </c>
      <c r="P7" s="22" t="s">
        <v>45</v>
      </c>
      <c r="Q7" s="22" t="s">
        <v>45</v>
      </c>
      <c r="R7" s="22" t="s">
        <v>45</v>
      </c>
      <c r="S7" s="22" t="s">
        <v>45</v>
      </c>
      <c r="T7" s="22" t="s">
        <v>5441</v>
      </c>
      <c r="U7" s="22" t="s">
        <v>45</v>
      </c>
      <c r="V7" s="22" t="s">
        <v>45</v>
      </c>
      <c r="W7" s="22" t="s">
        <v>5451</v>
      </c>
    </row>
    <row r="8" ht="45.0" customHeight="1">
      <c r="A8" s="55" t="s">
        <v>78</v>
      </c>
      <c r="B8" s="62" t="s">
        <v>3199</v>
      </c>
      <c r="C8" s="22" t="str">
        <f>IMAGE("https://raw.githubusercontent.com/ltdimages/images/refs/heads/main/ClothHeadwearHatBaseball_00.png")</f>
        <v/>
      </c>
      <c r="D8" s="22" t="str">
        <f>IMAGE("https://raw.githubusercontent.com/ltdimages/images/refs/heads/main/ClothHeadwearHatBaseball_01.png")</f>
        <v/>
      </c>
      <c r="E8" s="22" t="str">
        <f>IMAGE("https://raw.githubusercontent.com/ltdimages/images/refs/heads/main/ClothHeadwearHatBaseball_02.png")</f>
        <v/>
      </c>
      <c r="F8" s="22" t="str">
        <f>IMAGE("https://raw.githubusercontent.com/ltdimages/images/refs/heads/main/ClothHeadwearHatBaseball_03.png")</f>
        <v/>
      </c>
      <c r="G8" s="22" t="str">
        <f>IMAGE("https://raw.githubusercontent.com/ltdimages/images/refs/heads/main/ClothHeadwearHatBaseball_04.png")</f>
        <v/>
      </c>
      <c r="H8" s="22" t="str">
        <f>IMAGE("https://raw.githubusercontent.com/ltdimages/images/refs/heads/main/ClothHeadwearHatBaseball_05.png")</f>
        <v/>
      </c>
      <c r="I8" s="22" t="s">
        <v>3095</v>
      </c>
      <c r="J8" s="22" t="s">
        <v>3095</v>
      </c>
      <c r="K8" s="63" t="s">
        <v>3244</v>
      </c>
      <c r="L8" s="23">
        <v>16.0</v>
      </c>
      <c r="M8" s="22" t="s">
        <v>3097</v>
      </c>
      <c r="N8" s="22" t="s">
        <v>3099</v>
      </c>
      <c r="O8" s="22" t="s">
        <v>45</v>
      </c>
      <c r="P8" s="22" t="s">
        <v>45</v>
      </c>
      <c r="Q8" s="22" t="s">
        <v>45</v>
      </c>
      <c r="R8" s="22" t="s">
        <v>45</v>
      </c>
      <c r="S8" s="22" t="s">
        <v>45</v>
      </c>
      <c r="T8" s="22" t="s">
        <v>5441</v>
      </c>
      <c r="U8" s="22" t="s">
        <v>45</v>
      </c>
      <c r="V8" s="22" t="s">
        <v>45</v>
      </c>
      <c r="W8" s="22" t="s">
        <v>5452</v>
      </c>
    </row>
    <row r="9" ht="45.0" customHeight="1">
      <c r="A9" s="55" t="s">
        <v>83</v>
      </c>
      <c r="B9" s="62" t="s">
        <v>4212</v>
      </c>
      <c r="C9" s="22" t="str">
        <f>IMAGE("https://raw.githubusercontent.com/ltdimages/images/refs/heads/main/ClothHeadwearHatJetSimple_00.png")</f>
        <v/>
      </c>
      <c r="D9" s="22" t="str">
        <f>IMAGE("https://raw.githubusercontent.com/ltdimages/images/refs/heads/main/ClothHeadwearHatJetSimple_01.png")</f>
        <v/>
      </c>
      <c r="E9" s="22" t="str">
        <f>IMAGE("https://raw.githubusercontent.com/ltdimages/images/refs/heads/main/ClothHeadwearHatJetSimple_02.png")</f>
        <v/>
      </c>
      <c r="F9" s="22" t="str">
        <f>IMAGE("https://raw.githubusercontent.com/ltdimages/images/refs/heads/main/ClothHeadwearHatJetSimple_03.png")</f>
        <v/>
      </c>
      <c r="G9" s="22" t="str">
        <f>IMAGE("https://raw.githubusercontent.com/ltdimages/images/refs/heads/main/ClothHeadwearHatJetSimple_04.png")</f>
        <v/>
      </c>
      <c r="H9" s="22" t="str">
        <f>IMAGE("https://raw.githubusercontent.com/ltdimages/images/refs/heads/main/ClothHeadwearHatJetSimple_05.png")</f>
        <v/>
      </c>
      <c r="I9" s="22" t="str">
        <f>IMAGE("https://raw.githubusercontent.com/ltdimages/images/refs/heads/main/ClothHeadwearHatJetSimple_06.png")</f>
        <v/>
      </c>
      <c r="J9" s="22" t="str">
        <f>IMAGE("https://raw.githubusercontent.com/ltdimages/images/refs/heads/main/ClothHeadwearHatJetSimple_07.png")</f>
        <v/>
      </c>
      <c r="K9" s="63" t="s">
        <v>3244</v>
      </c>
      <c r="L9" s="23">
        <v>15.0</v>
      </c>
      <c r="M9" s="22" t="s">
        <v>3097</v>
      </c>
      <c r="N9" s="22" t="s">
        <v>3099</v>
      </c>
      <c r="O9" s="22" t="s">
        <v>45</v>
      </c>
      <c r="P9" s="22" t="s">
        <v>45</v>
      </c>
      <c r="Q9" s="22" t="s">
        <v>45</v>
      </c>
      <c r="R9" s="22" t="s">
        <v>45</v>
      </c>
      <c r="S9" s="22" t="s">
        <v>45</v>
      </c>
      <c r="T9" s="22" t="s">
        <v>5441</v>
      </c>
      <c r="U9" s="22" t="s">
        <v>45</v>
      </c>
      <c r="V9" s="22" t="s">
        <v>45</v>
      </c>
      <c r="W9" s="22" t="s">
        <v>5453</v>
      </c>
    </row>
    <row r="10" ht="45.0" customHeight="1">
      <c r="A10" s="55" t="s">
        <v>89</v>
      </c>
      <c r="B10" s="62" t="s">
        <v>3782</v>
      </c>
      <c r="C10" s="22" t="str">
        <f>IMAGE("https://raw.githubusercontent.com/ltdimages/images/refs/heads/main/ClothHeadwearHatTowel_00.png")</f>
        <v/>
      </c>
      <c r="D10" s="22" t="str">
        <f>IMAGE("https://raw.githubusercontent.com/ltdimages/images/refs/heads/main/ClothHeadwearHatTowel_01.png")</f>
        <v/>
      </c>
      <c r="E10" s="22" t="str">
        <f>IMAGE("https://raw.githubusercontent.com/ltdimages/images/refs/heads/main/ClothHeadwearHatTowel_02.png")</f>
        <v/>
      </c>
      <c r="F10" s="22" t="str">
        <f>IMAGE("https://raw.githubusercontent.com/ltdimages/images/refs/heads/main/ClothHeadwearHatTowel_03.png")</f>
        <v/>
      </c>
      <c r="G10" s="22" t="str">
        <f>IMAGE("https://raw.githubusercontent.com/ltdimages/images/refs/heads/main/ClothHeadwearHatTowel_04.png")</f>
        <v/>
      </c>
      <c r="H10" s="22" t="str">
        <f>IMAGE("https://raw.githubusercontent.com/ltdimages/images/refs/heads/main/ClothHeadwearHatTowel_05.png")</f>
        <v/>
      </c>
      <c r="I10" s="22" t="s">
        <v>3095</v>
      </c>
      <c r="J10" s="22" t="s">
        <v>3095</v>
      </c>
      <c r="K10" s="63" t="s">
        <v>3244</v>
      </c>
      <c r="L10" s="23">
        <v>6.0</v>
      </c>
      <c r="M10" s="22" t="s">
        <v>3097</v>
      </c>
      <c r="N10" s="22" t="s">
        <v>3099</v>
      </c>
      <c r="O10" s="22" t="s">
        <v>45</v>
      </c>
      <c r="P10" s="22" t="s">
        <v>45</v>
      </c>
      <c r="Q10" s="22" t="s">
        <v>45</v>
      </c>
      <c r="R10" s="22" t="s">
        <v>45</v>
      </c>
      <c r="S10" s="22" t="s">
        <v>45</v>
      </c>
      <c r="T10" s="22" t="s">
        <v>5441</v>
      </c>
      <c r="U10" s="22" t="s">
        <v>45</v>
      </c>
      <c r="V10" s="22" t="s">
        <v>45</v>
      </c>
      <c r="W10" s="22" t="s">
        <v>5454</v>
      </c>
    </row>
    <row r="11" ht="45.0" customHeight="1">
      <c r="A11" s="55" t="s">
        <v>94</v>
      </c>
      <c r="B11" s="62" t="s">
        <v>3713</v>
      </c>
      <c r="C11" s="22" t="str">
        <f>IMAGE("https://raw.githubusercontent.com/ltdimages/images/refs/heads/main/ClothHeadwearHatSimpleCap_00.png")</f>
        <v/>
      </c>
      <c r="D11" s="22" t="str">
        <f>IMAGE("https://raw.githubusercontent.com/ltdimages/images/refs/heads/main/ClothHeadwearHatSimpleCap_01.png")</f>
        <v/>
      </c>
      <c r="E11" s="22" t="str">
        <f>IMAGE("https://raw.githubusercontent.com/ltdimages/images/refs/heads/main/ClothHeadwearHatSimpleCap_02.png")</f>
        <v/>
      </c>
      <c r="F11" s="22" t="str">
        <f>IMAGE("https://raw.githubusercontent.com/ltdimages/images/refs/heads/main/ClothHeadwearHatSimpleCap_03.png")</f>
        <v/>
      </c>
      <c r="G11" s="22" t="str">
        <f>IMAGE("https://raw.githubusercontent.com/ltdimages/images/refs/heads/main/ClothHeadwearHatSimpleCap_04.png")</f>
        <v/>
      </c>
      <c r="H11" s="22" t="str">
        <f>IMAGE("https://raw.githubusercontent.com/ltdimages/images/refs/heads/main/ClothHeadwearHatSimpleCap_05.png")</f>
        <v/>
      </c>
      <c r="I11" s="22" t="str">
        <f>IMAGE("https://raw.githubusercontent.com/ltdimages/images/refs/heads/main/ClothHeadwearHatSimpleCap_06.png")</f>
        <v/>
      </c>
      <c r="J11" s="22" t="str">
        <f>IMAGE("https://raw.githubusercontent.com/ltdimages/images/refs/heads/main/ClothHeadwearHatSimpleCap_07.png")</f>
        <v/>
      </c>
      <c r="K11" s="63" t="s">
        <v>3244</v>
      </c>
      <c r="L11" s="23">
        <v>10.0</v>
      </c>
      <c r="M11" s="22" t="s">
        <v>3097</v>
      </c>
      <c r="N11" s="22" t="s">
        <v>3099</v>
      </c>
      <c r="O11" s="22" t="s">
        <v>45</v>
      </c>
      <c r="P11" s="22" t="s">
        <v>45</v>
      </c>
      <c r="Q11" s="22" t="s">
        <v>45</v>
      </c>
      <c r="R11" s="22" t="s">
        <v>45</v>
      </c>
      <c r="S11" s="22" t="s">
        <v>45</v>
      </c>
      <c r="T11" s="22" t="s">
        <v>5441</v>
      </c>
      <c r="U11" s="22" t="s">
        <v>45</v>
      </c>
      <c r="V11" s="22" t="s">
        <v>45</v>
      </c>
      <c r="W11" s="22" t="s">
        <v>5455</v>
      </c>
    </row>
    <row r="12" ht="45.0" customHeight="1">
      <c r="A12" s="55" t="s">
        <v>98</v>
      </c>
      <c r="B12" s="62" t="s">
        <v>4487</v>
      </c>
      <c r="C12" s="22" t="str">
        <f>IMAGE("https://raw.githubusercontent.com/ltdimages/images/refs/heads/main/ClothHeadwearHatSimpleKnit_00.png")</f>
        <v/>
      </c>
      <c r="D12" s="22" t="str">
        <f>IMAGE("https://raw.githubusercontent.com/ltdimages/images/refs/heads/main/ClothHeadwearHatSimpleKnit_01.png")</f>
        <v/>
      </c>
      <c r="E12" s="22" t="str">
        <f>IMAGE("https://raw.githubusercontent.com/ltdimages/images/refs/heads/main/ClothHeadwearHatSimpleKnit_02.png")</f>
        <v/>
      </c>
      <c r="F12" s="22" t="str">
        <f>IMAGE("https://raw.githubusercontent.com/ltdimages/images/refs/heads/main/ClothHeadwearHatSimpleKnit_03.png")</f>
        <v/>
      </c>
      <c r="G12" s="22" t="str">
        <f>IMAGE("https://raw.githubusercontent.com/ltdimages/images/refs/heads/main/ClothHeadwearHatSimpleKnit_04.png")</f>
        <v/>
      </c>
      <c r="H12" s="22" t="str">
        <f>IMAGE("https://raw.githubusercontent.com/ltdimages/images/refs/heads/main/ClothHeadwearHatSimpleKnit_05.png")</f>
        <v/>
      </c>
      <c r="I12" s="22" t="str">
        <f>IMAGE("https://raw.githubusercontent.com/ltdimages/images/refs/heads/main/ClothHeadwearHatSimpleKnit_06.png")</f>
        <v/>
      </c>
      <c r="J12" s="22" t="str">
        <f>IMAGE("https://raw.githubusercontent.com/ltdimages/images/refs/heads/main/ClothHeadwearHatSimpleKnit_07.png")</f>
        <v/>
      </c>
      <c r="K12" s="63" t="s">
        <v>3244</v>
      </c>
      <c r="L12" s="23">
        <v>10.0</v>
      </c>
      <c r="M12" s="22" t="s">
        <v>3097</v>
      </c>
      <c r="N12" s="22" t="s">
        <v>3099</v>
      </c>
      <c r="O12" s="22" t="s">
        <v>45</v>
      </c>
      <c r="P12" s="22" t="s">
        <v>45</v>
      </c>
      <c r="Q12" s="22" t="s">
        <v>45</v>
      </c>
      <c r="R12" s="22" t="s">
        <v>45</v>
      </c>
      <c r="S12" s="22" t="s">
        <v>45</v>
      </c>
      <c r="T12" s="22" t="s">
        <v>5441</v>
      </c>
      <c r="U12" s="22" t="s">
        <v>45</v>
      </c>
      <c r="V12" s="22" t="s">
        <v>45</v>
      </c>
      <c r="W12" s="22" t="s">
        <v>5456</v>
      </c>
    </row>
    <row r="13" ht="45.0" customHeight="1">
      <c r="A13" s="55" t="s">
        <v>104</v>
      </c>
      <c r="B13" s="62" t="s">
        <v>4185</v>
      </c>
      <c r="C13" s="22" t="str">
        <f>IMAGE("https://raw.githubusercontent.com/ltdimages/images/refs/heads/main/ClothHeadwearHatKnit_00.png")</f>
        <v/>
      </c>
      <c r="D13" s="22" t="str">
        <f>IMAGE("https://raw.githubusercontent.com/ltdimages/images/refs/heads/main/ClothHeadwearHatKnit_01.png")</f>
        <v/>
      </c>
      <c r="E13" s="22" t="str">
        <f>IMAGE("https://raw.githubusercontent.com/ltdimages/images/refs/heads/main/ClothHeadwearHatKnit_02.png")</f>
        <v/>
      </c>
      <c r="F13" s="22" t="str">
        <f>IMAGE("https://raw.githubusercontent.com/ltdimages/images/refs/heads/main/ClothHeadwearHatKnit_03.png")</f>
        <v/>
      </c>
      <c r="G13" s="22" t="str">
        <f>IMAGE("https://raw.githubusercontent.com/ltdimages/images/refs/heads/main/ClothHeadwearHatKnit_04.png")</f>
        <v/>
      </c>
      <c r="H13" s="22" t="str">
        <f>IMAGE("https://raw.githubusercontent.com/ltdimages/images/refs/heads/main/ClothHeadwearHatKnit_05.png")</f>
        <v/>
      </c>
      <c r="I13" s="22" t="str">
        <f>IMAGE("https://raw.githubusercontent.com/ltdimages/images/refs/heads/main/ClothHeadwearHatKnit_06.png")</f>
        <v/>
      </c>
      <c r="J13" s="22" t="str">
        <f>IMAGE("https://raw.githubusercontent.com/ltdimages/images/refs/heads/main/ClothHeadwearHatKnit_07.png")</f>
        <v/>
      </c>
      <c r="K13" s="63" t="s">
        <v>3244</v>
      </c>
      <c r="L13" s="23">
        <v>15.0</v>
      </c>
      <c r="M13" s="22" t="s">
        <v>3097</v>
      </c>
      <c r="N13" s="22" t="s">
        <v>3099</v>
      </c>
      <c r="O13" s="22" t="s">
        <v>45</v>
      </c>
      <c r="P13" s="22" t="s">
        <v>45</v>
      </c>
      <c r="Q13" s="22" t="s">
        <v>45</v>
      </c>
      <c r="R13" s="22" t="s">
        <v>45</v>
      </c>
      <c r="S13" s="22" t="s">
        <v>45</v>
      </c>
      <c r="T13" s="22" t="s">
        <v>5441</v>
      </c>
      <c r="U13" s="22" t="s">
        <v>45</v>
      </c>
      <c r="V13" s="22" t="s">
        <v>45</v>
      </c>
      <c r="W13" s="22" t="s">
        <v>5457</v>
      </c>
    </row>
    <row r="14" ht="45.0" customHeight="1">
      <c r="A14" s="55" t="s">
        <v>109</v>
      </c>
      <c r="B14" s="62" t="s">
        <v>3242</v>
      </c>
      <c r="C14" s="22" t="str">
        <f>IMAGE("https://raw.githubusercontent.com/ltdimages/images/refs/heads/main/ClothHeadwearHatBear_00.png")</f>
        <v/>
      </c>
      <c r="D14" s="22" t="str">
        <f>IMAGE("https://raw.githubusercontent.com/ltdimages/images/refs/heads/main/ClothHeadwearHatBear_01.png")</f>
        <v/>
      </c>
      <c r="E14" s="22" t="str">
        <f>IMAGE("https://raw.githubusercontent.com/ltdimages/images/refs/heads/main/ClothHeadwearHatBear_02.png")</f>
        <v/>
      </c>
      <c r="F14" s="22" t="str">
        <f>IMAGE("https://raw.githubusercontent.com/ltdimages/images/refs/heads/main/ClothHeadwearHatBear_03.png")</f>
        <v/>
      </c>
      <c r="G14" s="22" t="str">
        <f>IMAGE("https://raw.githubusercontent.com/ltdimages/images/refs/heads/main/ClothHeadwearHatBear_04.png")</f>
        <v/>
      </c>
      <c r="H14" s="22" t="str">
        <f>IMAGE("https://raw.githubusercontent.com/ltdimages/images/refs/heads/main/ClothHeadwearHatBear_05.png")</f>
        <v/>
      </c>
      <c r="I14" s="22" t="s">
        <v>3095</v>
      </c>
      <c r="J14" s="22" t="s">
        <v>3095</v>
      </c>
      <c r="K14" s="63" t="s">
        <v>3244</v>
      </c>
      <c r="L14" s="23">
        <v>17.0</v>
      </c>
      <c r="M14" s="22" t="s">
        <v>3097</v>
      </c>
      <c r="N14" s="22" t="s">
        <v>3099</v>
      </c>
      <c r="O14" s="22" t="s">
        <v>45</v>
      </c>
      <c r="P14" s="22" t="s">
        <v>45</v>
      </c>
      <c r="Q14" s="22" t="s">
        <v>45</v>
      </c>
      <c r="R14" s="22" t="s">
        <v>45</v>
      </c>
      <c r="S14" s="22" t="s">
        <v>45</v>
      </c>
      <c r="T14" s="22" t="s">
        <v>5441</v>
      </c>
      <c r="U14" s="22" t="s">
        <v>45</v>
      </c>
      <c r="V14" s="22" t="s">
        <v>45</v>
      </c>
      <c r="W14" s="22" t="s">
        <v>5458</v>
      </c>
    </row>
    <row r="15" ht="45.0" customHeight="1">
      <c r="A15" s="55" t="s">
        <v>115</v>
      </c>
      <c r="B15" s="62" t="s">
        <v>3248</v>
      </c>
      <c r="C15" s="22" t="str">
        <f>IMAGE("https://raw.githubusercontent.com/ltdimages/images/refs/heads/main/ClothHeadwearHatBee_00.png")</f>
        <v/>
      </c>
      <c r="D15" s="22" t="s">
        <v>3095</v>
      </c>
      <c r="E15" s="22" t="s">
        <v>3095</v>
      </c>
      <c r="F15" s="22" t="s">
        <v>3095</v>
      </c>
      <c r="G15" s="22" t="s">
        <v>3095</v>
      </c>
      <c r="H15" s="22" t="s">
        <v>3095</v>
      </c>
      <c r="I15" s="22" t="s">
        <v>3095</v>
      </c>
      <c r="J15" s="22" t="s">
        <v>3095</v>
      </c>
      <c r="K15" s="63" t="s">
        <v>3244</v>
      </c>
      <c r="L15" s="23">
        <v>18.0</v>
      </c>
      <c r="M15" s="22" t="s">
        <v>3097</v>
      </c>
      <c r="N15" s="22" t="s">
        <v>3099</v>
      </c>
      <c r="O15" s="22" t="s">
        <v>45</v>
      </c>
      <c r="P15" s="22" t="s">
        <v>45</v>
      </c>
      <c r="Q15" s="22" t="s">
        <v>45</v>
      </c>
      <c r="R15" s="22" t="s">
        <v>49</v>
      </c>
      <c r="S15" s="22" t="s">
        <v>45</v>
      </c>
      <c r="T15" s="22" t="s">
        <v>5441</v>
      </c>
      <c r="U15" s="22" t="s">
        <v>45</v>
      </c>
      <c r="V15" s="22" t="s">
        <v>45</v>
      </c>
      <c r="W15" s="22" t="s">
        <v>5459</v>
      </c>
    </row>
    <row r="16" ht="45.0" customHeight="1">
      <c r="A16" s="55" t="s">
        <v>119</v>
      </c>
      <c r="B16" s="62" t="s">
        <v>4275</v>
      </c>
      <c r="C16" s="22" t="str">
        <f>IMAGE("https://raw.githubusercontent.com/ltdimages/images/refs/heads/main/ClothHeadwearHatBeret_00.png")</f>
        <v/>
      </c>
      <c r="D16" s="22" t="str">
        <f>IMAGE("https://raw.githubusercontent.com/ltdimages/images/refs/heads/main/ClothHeadwearHatBeret_01.png")</f>
        <v/>
      </c>
      <c r="E16" s="22" t="str">
        <f>IMAGE("https://raw.githubusercontent.com/ltdimages/images/refs/heads/main/ClothHeadwearHatBeret_02.png")</f>
        <v/>
      </c>
      <c r="F16" s="22" t="str">
        <f>IMAGE("https://raw.githubusercontent.com/ltdimages/images/refs/heads/main/ClothHeadwearHatBeret_03.png")</f>
        <v/>
      </c>
      <c r="G16" s="22" t="str">
        <f>IMAGE("https://raw.githubusercontent.com/ltdimages/images/refs/heads/main/ClothHeadwearHatBeret_04.png")</f>
        <v/>
      </c>
      <c r="H16" s="22" t="str">
        <f>IMAGE("https://raw.githubusercontent.com/ltdimages/images/refs/heads/main/ClothHeadwearHatBeret_05.png")</f>
        <v/>
      </c>
      <c r="I16" s="22" t="str">
        <f>IMAGE("https://raw.githubusercontent.com/ltdimages/images/refs/heads/main/ClothHeadwearHatBeret_06.png")</f>
        <v/>
      </c>
      <c r="J16" s="22" t="str">
        <f>IMAGE("https://raw.githubusercontent.com/ltdimages/images/refs/heads/main/ClothHeadwearHatBeret_07.png")</f>
        <v/>
      </c>
      <c r="K16" s="63" t="s">
        <v>3244</v>
      </c>
      <c r="L16" s="23">
        <v>19.0</v>
      </c>
      <c r="M16" s="22" t="s">
        <v>3097</v>
      </c>
      <c r="N16" s="22" t="s">
        <v>3099</v>
      </c>
      <c r="O16" s="22" t="s">
        <v>45</v>
      </c>
      <c r="P16" s="22" t="s">
        <v>45</v>
      </c>
      <c r="Q16" s="22" t="s">
        <v>45</v>
      </c>
      <c r="R16" s="22" t="s">
        <v>45</v>
      </c>
      <c r="S16" s="22" t="s">
        <v>45</v>
      </c>
      <c r="T16" s="22" t="s">
        <v>5441</v>
      </c>
      <c r="U16" s="22" t="s">
        <v>45</v>
      </c>
      <c r="V16" s="22" t="s">
        <v>45</v>
      </c>
      <c r="W16" s="22" t="s">
        <v>5460</v>
      </c>
    </row>
    <row r="17" ht="45.0" customHeight="1">
      <c r="A17" s="55" t="s">
        <v>124</v>
      </c>
      <c r="B17" s="62" t="s">
        <v>3411</v>
      </c>
      <c r="C17" s="22" t="str">
        <f>IMAGE("https://raw.githubusercontent.com/ltdimages/images/refs/heads/main/ClothHeadwearHatBicycle_00.png")</f>
        <v/>
      </c>
      <c r="D17" s="22" t="str">
        <f>IMAGE("https://raw.githubusercontent.com/ltdimages/images/refs/heads/main/ClothHeadwearHatBicycle_01.png")</f>
        <v/>
      </c>
      <c r="E17" s="22" t="str">
        <f>IMAGE("https://raw.githubusercontent.com/ltdimages/images/refs/heads/main/ClothHeadwearHatBicycle_02.png")</f>
        <v/>
      </c>
      <c r="F17" s="22" t="str">
        <f>IMAGE("https://raw.githubusercontent.com/ltdimages/images/refs/heads/main/ClothHeadwearHatBicycle_03.png")</f>
        <v/>
      </c>
      <c r="G17" s="22" t="str">
        <f>IMAGE("https://raw.githubusercontent.com/ltdimages/images/refs/heads/main/ClothHeadwearHatBicycle_04.png")</f>
        <v/>
      </c>
      <c r="H17" s="22" t="str">
        <f>IMAGE("https://raw.githubusercontent.com/ltdimages/images/refs/heads/main/ClothHeadwearHatBicycle_05.png")</f>
        <v/>
      </c>
      <c r="I17" s="22" t="s">
        <v>3095</v>
      </c>
      <c r="J17" s="22" t="s">
        <v>3095</v>
      </c>
      <c r="K17" s="63" t="s">
        <v>3244</v>
      </c>
      <c r="L17" s="23">
        <v>25.0</v>
      </c>
      <c r="M17" s="22" t="s">
        <v>3097</v>
      </c>
      <c r="N17" s="22" t="s">
        <v>3099</v>
      </c>
      <c r="O17" s="22" t="s">
        <v>45</v>
      </c>
      <c r="P17" s="22" t="s">
        <v>45</v>
      </c>
      <c r="Q17" s="22" t="s">
        <v>45</v>
      </c>
      <c r="R17" s="22" t="s">
        <v>45</v>
      </c>
      <c r="S17" s="22" t="s">
        <v>45</v>
      </c>
      <c r="T17" s="22" t="s">
        <v>5441</v>
      </c>
      <c r="U17" s="22" t="s">
        <v>45</v>
      </c>
      <c r="V17" s="22" t="s">
        <v>45</v>
      </c>
      <c r="W17" s="22" t="s">
        <v>5461</v>
      </c>
    </row>
    <row r="18" ht="45.0" customHeight="1">
      <c r="A18" s="55" t="s">
        <v>129</v>
      </c>
      <c r="B18" s="62" t="s">
        <v>5462</v>
      </c>
      <c r="C18" s="22" t="str">
        <f>IMAGE("https://raw.githubusercontent.com/ltdimages/images/refs/heads/main/ClothHeadwearHatBirthday_00.png")</f>
        <v/>
      </c>
      <c r="D18" s="22" t="str">
        <f>IMAGE("https://raw.githubusercontent.com/ltdimages/images/refs/heads/main/ClothHeadwearHatBirthday_01.png")</f>
        <v/>
      </c>
      <c r="E18" s="22" t="str">
        <f>IMAGE("https://raw.githubusercontent.com/ltdimages/images/refs/heads/main/ClothHeadwearHatBirthday_02.png")</f>
        <v/>
      </c>
      <c r="F18" s="22" t="s">
        <v>3095</v>
      </c>
      <c r="G18" s="22" t="s">
        <v>3095</v>
      </c>
      <c r="H18" s="22" t="s">
        <v>3095</v>
      </c>
      <c r="I18" s="22" t="s">
        <v>3095</v>
      </c>
      <c r="J18" s="22" t="s">
        <v>3095</v>
      </c>
      <c r="K18" s="63" t="s">
        <v>3244</v>
      </c>
      <c r="L18" s="23">
        <v>30.0</v>
      </c>
      <c r="M18" s="22" t="s">
        <v>3097</v>
      </c>
      <c r="N18" s="22" t="s">
        <v>3099</v>
      </c>
      <c r="O18" s="22" t="s">
        <v>45</v>
      </c>
      <c r="P18" s="22" t="s">
        <v>45</v>
      </c>
      <c r="Q18" s="22" t="s">
        <v>45</v>
      </c>
      <c r="R18" s="22" t="s">
        <v>49</v>
      </c>
      <c r="S18" s="22" t="s">
        <v>45</v>
      </c>
      <c r="T18" s="22" t="s">
        <v>5441</v>
      </c>
      <c r="U18" s="22" t="s">
        <v>45</v>
      </c>
      <c r="V18" s="22" t="s">
        <v>45</v>
      </c>
      <c r="W18" s="22" t="s">
        <v>5463</v>
      </c>
    </row>
    <row r="19" ht="45.0" customHeight="1">
      <c r="A19" s="55" t="s">
        <v>134</v>
      </c>
      <c r="B19" s="62" t="s">
        <v>5464</v>
      </c>
      <c r="C19" s="22" t="str">
        <f>IMAGE("https://raw.githubusercontent.com/ltdimages/images/refs/heads/main/ClothHeadwearHatOutdoorBotanical_00.png")</f>
        <v/>
      </c>
      <c r="D19" s="22" t="str">
        <f>IMAGE("https://raw.githubusercontent.com/ltdimages/images/refs/heads/main/ClothHeadwearHatOutdoorBotanical_01.png")</f>
        <v/>
      </c>
      <c r="E19" s="22" t="str">
        <f>IMAGE("https://raw.githubusercontent.com/ltdimages/images/refs/heads/main/ClothHeadwearHatOutdoorBotanical_02.png")</f>
        <v/>
      </c>
      <c r="F19" s="22" t="str">
        <f>IMAGE("https://raw.githubusercontent.com/ltdimages/images/refs/heads/main/ClothHeadwearHatOutdoorBotanical_03.png")</f>
        <v/>
      </c>
      <c r="G19" s="22" t="str">
        <f>IMAGE("https://raw.githubusercontent.com/ltdimages/images/refs/heads/main/ClothHeadwearHatOutdoorBotanical_04.png")</f>
        <v/>
      </c>
      <c r="H19" s="22" t="str">
        <f>IMAGE("https://raw.githubusercontent.com/ltdimages/images/refs/heads/main/ClothHeadwearHatOutdoorBotanical_05.png")</f>
        <v/>
      </c>
      <c r="I19" s="22" t="s">
        <v>3095</v>
      </c>
      <c r="J19" s="22" t="s">
        <v>3095</v>
      </c>
      <c r="K19" s="63" t="s">
        <v>3244</v>
      </c>
      <c r="L19" s="23">
        <v>18.0</v>
      </c>
      <c r="M19" s="22" t="s">
        <v>3097</v>
      </c>
      <c r="N19" s="22" t="s">
        <v>3123</v>
      </c>
      <c r="O19" s="22" t="s">
        <v>45</v>
      </c>
      <c r="P19" s="22" t="s">
        <v>45</v>
      </c>
      <c r="Q19" s="22" t="s">
        <v>45</v>
      </c>
      <c r="R19" s="22" t="s">
        <v>45</v>
      </c>
      <c r="S19" s="22" t="s">
        <v>45</v>
      </c>
      <c r="T19" s="22" t="s">
        <v>5441</v>
      </c>
      <c r="U19" s="22" t="s">
        <v>45</v>
      </c>
      <c r="V19" s="22" t="s">
        <v>45</v>
      </c>
      <c r="W19" s="22" t="s">
        <v>5465</v>
      </c>
    </row>
    <row r="20" ht="45.0" customHeight="1">
      <c r="A20" s="55" t="s">
        <v>138</v>
      </c>
      <c r="B20" s="62" t="s">
        <v>5466</v>
      </c>
      <c r="C20" s="22" t="str">
        <f>IMAGE("https://raw.githubusercontent.com/ltdimages/images/refs/heads/main/ClothHeadwearHatBowler_00.png")</f>
        <v/>
      </c>
      <c r="D20" s="22" t="str">
        <f>IMAGE("https://raw.githubusercontent.com/ltdimages/images/refs/heads/main/ClothHeadwearHatBowler_01.png")</f>
        <v/>
      </c>
      <c r="E20" s="22" t="str">
        <f>IMAGE("https://raw.githubusercontent.com/ltdimages/images/refs/heads/main/ClothHeadwearHatBowler_02.png")</f>
        <v/>
      </c>
      <c r="F20" s="22" t="str">
        <f>IMAGE("https://raw.githubusercontent.com/ltdimages/images/refs/heads/main/ClothHeadwearHatBowler_03.png")</f>
        <v/>
      </c>
      <c r="G20" s="22" t="str">
        <f>IMAGE("https://raw.githubusercontent.com/ltdimages/images/refs/heads/main/ClothHeadwearHatBowler_04.png")</f>
        <v/>
      </c>
      <c r="H20" s="22" t="str">
        <f>IMAGE("https://raw.githubusercontent.com/ltdimages/images/refs/heads/main/ClothHeadwearHatBowler_05.png")</f>
        <v/>
      </c>
      <c r="I20" s="22" t="s">
        <v>3095</v>
      </c>
      <c r="J20" s="22" t="s">
        <v>3095</v>
      </c>
      <c r="K20" s="63" t="s">
        <v>3244</v>
      </c>
      <c r="L20" s="23">
        <v>19.0</v>
      </c>
      <c r="M20" s="22" t="s">
        <v>3097</v>
      </c>
      <c r="N20" s="22" t="s">
        <v>3099</v>
      </c>
      <c r="O20" s="22" t="s">
        <v>45</v>
      </c>
      <c r="P20" s="22" t="s">
        <v>45</v>
      </c>
      <c r="Q20" s="22" t="s">
        <v>45</v>
      </c>
      <c r="R20" s="22" t="s">
        <v>45</v>
      </c>
      <c r="S20" s="22" t="s">
        <v>45</v>
      </c>
      <c r="T20" s="22" t="s">
        <v>5441</v>
      </c>
      <c r="U20" s="22" t="s">
        <v>45</v>
      </c>
      <c r="V20" s="22" t="s">
        <v>45</v>
      </c>
      <c r="W20" s="22" t="s">
        <v>5467</v>
      </c>
    </row>
    <row r="21" ht="45.0" customHeight="1">
      <c r="A21" s="55" t="s">
        <v>142</v>
      </c>
      <c r="B21" s="62" t="s">
        <v>5468</v>
      </c>
      <c r="C21" s="22" t="str">
        <f>IMAGE("https://raw.githubusercontent.com/ltdimages/images/refs/heads/main/ClothHeadwearHatColorCap_00.png")</f>
        <v/>
      </c>
      <c r="D21" s="22" t="str">
        <f>IMAGE("https://raw.githubusercontent.com/ltdimages/images/refs/heads/main/ClothHeadwearHatColorCap_01.png")</f>
        <v/>
      </c>
      <c r="E21" s="22" t="str">
        <f>IMAGE("https://raw.githubusercontent.com/ltdimages/images/refs/heads/main/ClothHeadwearHatColorCap_02.png")</f>
        <v/>
      </c>
      <c r="F21" s="22" t="str">
        <f>IMAGE("https://raw.githubusercontent.com/ltdimages/images/refs/heads/main/ClothHeadwearHatColorCap_03.png")</f>
        <v/>
      </c>
      <c r="G21" s="22" t="str">
        <f>IMAGE("https://raw.githubusercontent.com/ltdimages/images/refs/heads/main/ClothHeadwearHatColorCap_04.png")</f>
        <v/>
      </c>
      <c r="H21" s="22" t="str">
        <f>IMAGE("https://raw.githubusercontent.com/ltdimages/images/refs/heads/main/ClothHeadwearHatColorCap_05.png")</f>
        <v/>
      </c>
      <c r="I21" s="22" t="str">
        <f>IMAGE("https://raw.githubusercontent.com/ltdimages/images/refs/heads/main/ClothHeadwearHatColorCap_06.png")</f>
        <v/>
      </c>
      <c r="J21" s="22" t="str">
        <f>IMAGE("https://raw.githubusercontent.com/ltdimages/images/refs/heads/main/ClothHeadwearHatColorCap_07.png")</f>
        <v/>
      </c>
      <c r="K21" s="63" t="s">
        <v>3244</v>
      </c>
      <c r="L21" s="23">
        <v>12.1</v>
      </c>
      <c r="M21" s="22" t="s">
        <v>3097</v>
      </c>
      <c r="N21" s="22" t="s">
        <v>3099</v>
      </c>
      <c r="O21" s="22" t="s">
        <v>49</v>
      </c>
      <c r="P21" s="22" t="s">
        <v>45</v>
      </c>
      <c r="Q21" s="22" t="s">
        <v>45</v>
      </c>
      <c r="R21" s="22" t="s">
        <v>45</v>
      </c>
      <c r="S21" s="22" t="s">
        <v>45</v>
      </c>
      <c r="T21" s="22" t="s">
        <v>5441</v>
      </c>
      <c r="U21" s="22" t="s">
        <v>45</v>
      </c>
      <c r="V21" s="22" t="s">
        <v>45</v>
      </c>
      <c r="W21" s="22" t="s">
        <v>5469</v>
      </c>
    </row>
    <row r="22" ht="45.0" customHeight="1">
      <c r="A22" s="55" t="s">
        <v>147</v>
      </c>
      <c r="B22" s="62" t="s">
        <v>5470</v>
      </c>
      <c r="C22" s="22" t="str">
        <f>IMAGE("https://raw.githubusercontent.com/ltdimages/images/refs/heads/main/ClothHeadwearHatKnitCap_00.png")</f>
        <v/>
      </c>
      <c r="D22" s="22" t="str">
        <f>IMAGE("https://raw.githubusercontent.com/ltdimages/images/refs/heads/main/ClothHeadwearHatKnitCap_01.png")</f>
        <v/>
      </c>
      <c r="E22" s="22" t="str">
        <f>IMAGE("https://raw.githubusercontent.com/ltdimages/images/refs/heads/main/ClothHeadwearHatKnitCap_02.png")</f>
        <v/>
      </c>
      <c r="F22" s="22" t="str">
        <f>IMAGE("https://raw.githubusercontent.com/ltdimages/images/refs/heads/main/ClothHeadwearHatKnitCap_03.png")</f>
        <v/>
      </c>
      <c r="G22" s="22" t="str">
        <f>IMAGE("https://raw.githubusercontent.com/ltdimages/images/refs/heads/main/ClothHeadwearHatKnitCap_04.png")</f>
        <v/>
      </c>
      <c r="H22" s="22" t="str">
        <f>IMAGE("https://raw.githubusercontent.com/ltdimages/images/refs/heads/main/ClothHeadwearHatKnitCap_05.png")</f>
        <v/>
      </c>
      <c r="I22" s="22" t="str">
        <f>IMAGE("https://raw.githubusercontent.com/ltdimages/images/refs/heads/main/ClothHeadwearHatKnitCap_06.png")</f>
        <v/>
      </c>
      <c r="J22" s="22" t="str">
        <f>IMAGE("https://raw.githubusercontent.com/ltdimages/images/refs/heads/main/ClothHeadwearHatKnitCap_07.png")</f>
        <v/>
      </c>
      <c r="K22" s="63" t="s">
        <v>3244</v>
      </c>
      <c r="L22" s="23">
        <v>14.5</v>
      </c>
      <c r="M22" s="22" t="s">
        <v>3097</v>
      </c>
      <c r="N22" s="22" t="s">
        <v>3099</v>
      </c>
      <c r="O22" s="22" t="s">
        <v>45</v>
      </c>
      <c r="P22" s="22" t="s">
        <v>45</v>
      </c>
      <c r="Q22" s="22" t="s">
        <v>45</v>
      </c>
      <c r="R22" s="22" t="s">
        <v>45</v>
      </c>
      <c r="S22" s="22" t="s">
        <v>45</v>
      </c>
      <c r="T22" s="22" t="s">
        <v>5441</v>
      </c>
      <c r="U22" s="22" t="s">
        <v>45</v>
      </c>
      <c r="V22" s="22" t="s">
        <v>45</v>
      </c>
      <c r="W22" s="22" t="s">
        <v>5471</v>
      </c>
    </row>
    <row r="23" ht="45.0" customHeight="1">
      <c r="A23" s="55" t="s">
        <v>152</v>
      </c>
      <c r="B23" s="62" t="s">
        <v>3592</v>
      </c>
      <c r="C23" s="22" t="str">
        <f>IMAGE("https://raw.githubusercontent.com/ltdimages/images/refs/heads/main/ClothHeadwearHatBucket_00.png")</f>
        <v/>
      </c>
      <c r="D23" s="22" t="str">
        <f>IMAGE("https://raw.githubusercontent.com/ltdimages/images/refs/heads/main/ClothHeadwearHatBucket_01.png")</f>
        <v/>
      </c>
      <c r="E23" s="22" t="str">
        <f>IMAGE("https://raw.githubusercontent.com/ltdimages/images/refs/heads/main/ClothHeadwearHatBucket_02.png")</f>
        <v/>
      </c>
      <c r="F23" s="22" t="str">
        <f>IMAGE("https://raw.githubusercontent.com/ltdimages/images/refs/heads/main/ClothHeadwearHatBucket_03.png")</f>
        <v/>
      </c>
      <c r="G23" s="22" t="str">
        <f>IMAGE("https://raw.githubusercontent.com/ltdimages/images/refs/heads/main/ClothHeadwearHatBucket_04.png")</f>
        <v/>
      </c>
      <c r="H23" s="22" t="str">
        <f>IMAGE("https://raw.githubusercontent.com/ltdimages/images/refs/heads/main/ClothHeadwearHatBucket_05.png")</f>
        <v/>
      </c>
      <c r="I23" s="22" t="str">
        <f>IMAGE("https://raw.githubusercontent.com/ltdimages/images/refs/heads/main/ClothHeadwearHatBucket_06.png")</f>
        <v/>
      </c>
      <c r="J23" s="22" t="str">
        <f>IMAGE("https://raw.githubusercontent.com/ltdimages/images/refs/heads/main/ClothHeadwearHatBucket_07.png")</f>
        <v/>
      </c>
      <c r="K23" s="63" t="s">
        <v>3244</v>
      </c>
      <c r="L23" s="23">
        <v>16.0</v>
      </c>
      <c r="M23" s="22" t="s">
        <v>3097</v>
      </c>
      <c r="N23" s="22" t="s">
        <v>3099</v>
      </c>
      <c r="O23" s="22" t="s">
        <v>45</v>
      </c>
      <c r="P23" s="22" t="s">
        <v>45</v>
      </c>
      <c r="Q23" s="22" t="s">
        <v>45</v>
      </c>
      <c r="R23" s="22" t="s">
        <v>45</v>
      </c>
      <c r="S23" s="22" t="s">
        <v>45</v>
      </c>
      <c r="T23" s="22" t="s">
        <v>5441</v>
      </c>
      <c r="U23" s="22" t="s">
        <v>45</v>
      </c>
      <c r="V23" s="22" t="s">
        <v>45</v>
      </c>
      <c r="W23" s="22" t="s">
        <v>5472</v>
      </c>
    </row>
    <row r="24" ht="45.0" customHeight="1">
      <c r="A24" s="55" t="s">
        <v>156</v>
      </c>
      <c r="B24" s="62" t="s">
        <v>5473</v>
      </c>
      <c r="C24" s="22" t="str">
        <f>IMAGE("https://raw.githubusercontent.com/ltdimages/images/refs/heads/main/ClothHeadwearHatCamouflage_00.png")</f>
        <v/>
      </c>
      <c r="D24" s="22" t="str">
        <f>IMAGE("https://raw.githubusercontent.com/ltdimages/images/refs/heads/main/ClothHeadwearHatCamouflage_01.png")</f>
        <v/>
      </c>
      <c r="E24" s="22" t="str">
        <f>IMAGE("https://raw.githubusercontent.com/ltdimages/images/refs/heads/main/ClothHeadwearHatCamouflage_02.png")</f>
        <v/>
      </c>
      <c r="F24" s="22" t="str">
        <f>IMAGE("https://raw.githubusercontent.com/ltdimages/images/refs/heads/main/ClothHeadwearHatCamouflage_03.png")</f>
        <v/>
      </c>
      <c r="G24" s="22" t="str">
        <f>IMAGE("https://raw.githubusercontent.com/ltdimages/images/refs/heads/main/ClothHeadwearHatCamouflage_04.png")</f>
        <v/>
      </c>
      <c r="H24" s="22" t="str">
        <f>IMAGE("https://raw.githubusercontent.com/ltdimages/images/refs/heads/main/ClothHeadwearHatCamouflage_05.png")</f>
        <v/>
      </c>
      <c r="I24" s="22" t="s">
        <v>3095</v>
      </c>
      <c r="J24" s="22" t="s">
        <v>3095</v>
      </c>
      <c r="K24" s="63" t="s">
        <v>3244</v>
      </c>
      <c r="L24" s="23">
        <v>14.3</v>
      </c>
      <c r="M24" s="22" t="s">
        <v>3097</v>
      </c>
      <c r="N24" s="22" t="s">
        <v>3123</v>
      </c>
      <c r="O24" s="22" t="s">
        <v>45</v>
      </c>
      <c r="P24" s="22" t="s">
        <v>45</v>
      </c>
      <c r="Q24" s="22" t="s">
        <v>45</v>
      </c>
      <c r="R24" s="22" t="s">
        <v>45</v>
      </c>
      <c r="S24" s="22" t="s">
        <v>45</v>
      </c>
      <c r="T24" s="22" t="s">
        <v>5441</v>
      </c>
      <c r="U24" s="22" t="s">
        <v>45</v>
      </c>
      <c r="V24" s="22" t="s">
        <v>45</v>
      </c>
      <c r="W24" s="22" t="s">
        <v>5474</v>
      </c>
    </row>
    <row r="25" ht="45.0" customHeight="1">
      <c r="A25" s="55" t="s">
        <v>161</v>
      </c>
      <c r="B25" s="62" t="s">
        <v>5475</v>
      </c>
      <c r="C25" s="22" t="str">
        <f>IMAGE("https://raw.githubusercontent.com/ltdimages/images/refs/heads/main/ClothHeadwearHatBadgesCap_00.png")</f>
        <v/>
      </c>
      <c r="D25" s="22" t="str">
        <f>IMAGE("https://raw.githubusercontent.com/ltdimages/images/refs/heads/main/ClothHeadwearHatBadgesCap_01.png")</f>
        <v/>
      </c>
      <c r="E25" s="22" t="str">
        <f>IMAGE("https://raw.githubusercontent.com/ltdimages/images/refs/heads/main/ClothHeadwearHatBadgesCap_02.png")</f>
        <v/>
      </c>
      <c r="F25" s="22" t="str">
        <f>IMAGE("https://raw.githubusercontent.com/ltdimages/images/refs/heads/main/ClothHeadwearHatBadgesCap_03.png")</f>
        <v/>
      </c>
      <c r="G25" s="22" t="str">
        <f>IMAGE("https://raw.githubusercontent.com/ltdimages/images/refs/heads/main/ClothHeadwearHatBadgesCap_04.png")</f>
        <v/>
      </c>
      <c r="H25" s="22" t="str">
        <f>IMAGE("https://raw.githubusercontent.com/ltdimages/images/refs/heads/main/ClothHeadwearHatBadgesCap_05.png")</f>
        <v/>
      </c>
      <c r="I25" s="22" t="s">
        <v>3095</v>
      </c>
      <c r="J25" s="22" t="s">
        <v>3095</v>
      </c>
      <c r="K25" s="63" t="s">
        <v>3244</v>
      </c>
      <c r="L25" s="23">
        <v>15.0</v>
      </c>
      <c r="M25" s="22" t="s">
        <v>3097</v>
      </c>
      <c r="N25" s="22" t="s">
        <v>3099</v>
      </c>
      <c r="O25" s="22" t="s">
        <v>45</v>
      </c>
      <c r="P25" s="22" t="s">
        <v>45</v>
      </c>
      <c r="Q25" s="22" t="s">
        <v>45</v>
      </c>
      <c r="R25" s="22" t="s">
        <v>45</v>
      </c>
      <c r="S25" s="22" t="s">
        <v>45</v>
      </c>
      <c r="T25" s="22" t="s">
        <v>5441</v>
      </c>
      <c r="U25" s="22" t="s">
        <v>45</v>
      </c>
      <c r="V25" s="22" t="s">
        <v>45</v>
      </c>
      <c r="W25" s="22" t="s">
        <v>5476</v>
      </c>
    </row>
    <row r="26" ht="45.0" customHeight="1">
      <c r="A26" s="55" t="s">
        <v>165</v>
      </c>
      <c r="B26" s="62" t="s">
        <v>5477</v>
      </c>
      <c r="C26" s="22" t="str">
        <f>IMAGE("https://raw.githubusercontent.com/ltdimages/images/refs/heads/main/ClothHeadwearHatCatCap_00.png")</f>
        <v/>
      </c>
      <c r="D26" s="22" t="str">
        <f>IMAGE("https://raw.githubusercontent.com/ltdimages/images/refs/heads/main/ClothHeadwearHatCatCap_01.png")</f>
        <v/>
      </c>
      <c r="E26" s="22" t="str">
        <f>IMAGE("https://raw.githubusercontent.com/ltdimages/images/refs/heads/main/ClothHeadwearHatCatCap_02.png")</f>
        <v/>
      </c>
      <c r="F26" s="22" t="str">
        <f>IMAGE("https://raw.githubusercontent.com/ltdimages/images/refs/heads/main/ClothHeadwearHatCatCap_03.png")</f>
        <v/>
      </c>
      <c r="G26" s="22" t="str">
        <f>IMAGE("https://raw.githubusercontent.com/ltdimages/images/refs/heads/main/ClothHeadwearHatCatCap_04.png")</f>
        <v/>
      </c>
      <c r="H26" s="22" t="str">
        <f>IMAGE("https://raw.githubusercontent.com/ltdimages/images/refs/heads/main/ClothHeadwearHatCatCap_05.png")</f>
        <v/>
      </c>
      <c r="I26" s="22" t="str">
        <f>IMAGE("https://raw.githubusercontent.com/ltdimages/images/refs/heads/main/ClothHeadwearHatCatCap_06.png")</f>
        <v/>
      </c>
      <c r="J26" s="22" t="str">
        <f>IMAGE("https://raw.githubusercontent.com/ltdimages/images/refs/heads/main/ClothHeadwearHatCatCap_07.png")</f>
        <v/>
      </c>
      <c r="K26" s="63" t="s">
        <v>3244</v>
      </c>
      <c r="L26" s="23">
        <v>15.0</v>
      </c>
      <c r="M26" s="22" t="s">
        <v>3097</v>
      </c>
      <c r="N26" s="22" t="s">
        <v>3099</v>
      </c>
      <c r="O26" s="22" t="s">
        <v>45</v>
      </c>
      <c r="P26" s="22" t="s">
        <v>45</v>
      </c>
      <c r="Q26" s="22" t="s">
        <v>45</v>
      </c>
      <c r="R26" s="22" t="s">
        <v>45</v>
      </c>
      <c r="S26" s="22" t="s">
        <v>45</v>
      </c>
      <c r="T26" s="22" t="s">
        <v>5441</v>
      </c>
      <c r="U26" s="22" t="s">
        <v>45</v>
      </c>
      <c r="V26" s="22" t="s">
        <v>45</v>
      </c>
      <c r="W26" s="22" t="s">
        <v>5478</v>
      </c>
    </row>
    <row r="27" ht="45.0" customHeight="1">
      <c r="A27" s="55" t="s">
        <v>170</v>
      </c>
      <c r="B27" s="62" t="s">
        <v>5479</v>
      </c>
      <c r="C27" s="22" t="str">
        <f>IMAGE("https://raw.githubusercontent.com/ltdimages/images/refs/heads/main/ClothHeadwearHatKnitCat_00.png")</f>
        <v/>
      </c>
      <c r="D27" s="22" t="str">
        <f>IMAGE("https://raw.githubusercontent.com/ltdimages/images/refs/heads/main/ClothHeadwearHatKnitCat_01.png")</f>
        <v/>
      </c>
      <c r="E27" s="22" t="str">
        <f>IMAGE("https://raw.githubusercontent.com/ltdimages/images/refs/heads/main/ClothHeadwearHatKnitCat_02.png")</f>
        <v/>
      </c>
      <c r="F27" s="22" t="str">
        <f>IMAGE("https://raw.githubusercontent.com/ltdimages/images/refs/heads/main/ClothHeadwearHatKnitCat_03.png")</f>
        <v/>
      </c>
      <c r="G27" s="22" t="str">
        <f>IMAGE("https://raw.githubusercontent.com/ltdimages/images/refs/heads/main/ClothHeadwearHatKnitCat_04.png")</f>
        <v/>
      </c>
      <c r="H27" s="22" t="str">
        <f>IMAGE("https://raw.githubusercontent.com/ltdimages/images/refs/heads/main/ClothHeadwearHatKnitCat_05.png")</f>
        <v/>
      </c>
      <c r="I27" s="22" t="str">
        <f>IMAGE("https://raw.githubusercontent.com/ltdimages/images/refs/heads/main/ClothHeadwearHatKnitCat_06.png")</f>
        <v/>
      </c>
      <c r="J27" s="22" t="str">
        <f>IMAGE("https://raw.githubusercontent.com/ltdimages/images/refs/heads/main/ClothHeadwearHatKnitCat_07.png")</f>
        <v/>
      </c>
      <c r="K27" s="63" t="s">
        <v>3244</v>
      </c>
      <c r="L27" s="23">
        <v>22.2</v>
      </c>
      <c r="M27" s="22" t="s">
        <v>3097</v>
      </c>
      <c r="N27" s="22" t="s">
        <v>3114</v>
      </c>
      <c r="O27" s="22" t="s">
        <v>45</v>
      </c>
      <c r="P27" s="22" t="s">
        <v>45</v>
      </c>
      <c r="Q27" s="22" t="s">
        <v>45</v>
      </c>
      <c r="R27" s="22" t="s">
        <v>45</v>
      </c>
      <c r="S27" s="22" t="s">
        <v>45</v>
      </c>
      <c r="T27" s="22" t="s">
        <v>5441</v>
      </c>
      <c r="U27" s="22" t="s">
        <v>45</v>
      </c>
      <c r="V27" s="22" t="s">
        <v>45</v>
      </c>
      <c r="W27" s="22" t="s">
        <v>5480</v>
      </c>
    </row>
    <row r="28" ht="45.0" customHeight="1">
      <c r="A28" s="55" t="s">
        <v>175</v>
      </c>
      <c r="B28" s="62" t="s">
        <v>4329</v>
      </c>
      <c r="C28" s="22" t="str">
        <f>IMAGE("https://raw.githubusercontent.com/ltdimages/images/refs/heads/main/ClothHeadwearHatBeretCheck_00.png")</f>
        <v/>
      </c>
      <c r="D28" s="22" t="str">
        <f>IMAGE("https://raw.githubusercontent.com/ltdimages/images/refs/heads/main/ClothHeadwearHatBeretCheck_01.png")</f>
        <v/>
      </c>
      <c r="E28" s="22" t="str">
        <f>IMAGE("https://raw.githubusercontent.com/ltdimages/images/refs/heads/main/ClothHeadwearHatBeretCheck_02.png")</f>
        <v/>
      </c>
      <c r="F28" s="22" t="str">
        <f>IMAGE("https://raw.githubusercontent.com/ltdimages/images/refs/heads/main/ClothHeadwearHatBeretCheck_03.png")</f>
        <v/>
      </c>
      <c r="G28" s="22" t="str">
        <f>IMAGE("https://raw.githubusercontent.com/ltdimages/images/refs/heads/main/ClothHeadwearHatBeretCheck_04.png")</f>
        <v/>
      </c>
      <c r="H28" s="22" t="str">
        <f>IMAGE("https://raw.githubusercontent.com/ltdimages/images/refs/heads/main/ClothHeadwearHatBeretCheck_05.png")</f>
        <v/>
      </c>
      <c r="I28" s="22" t="s">
        <v>3095</v>
      </c>
      <c r="J28" s="22" t="s">
        <v>3095</v>
      </c>
      <c r="K28" s="63" t="s">
        <v>3244</v>
      </c>
      <c r="L28" s="23">
        <v>20.0</v>
      </c>
      <c r="M28" s="22" t="s">
        <v>3097</v>
      </c>
      <c r="N28" s="22" t="s">
        <v>3099</v>
      </c>
      <c r="O28" s="22" t="s">
        <v>45</v>
      </c>
      <c r="P28" s="22" t="s">
        <v>45</v>
      </c>
      <c r="Q28" s="22" t="s">
        <v>45</v>
      </c>
      <c r="R28" s="22" t="s">
        <v>45</v>
      </c>
      <c r="S28" s="22" t="s">
        <v>45</v>
      </c>
      <c r="T28" s="22" t="s">
        <v>5441</v>
      </c>
      <c r="U28" s="22" t="s">
        <v>45</v>
      </c>
      <c r="V28" s="22" t="s">
        <v>45</v>
      </c>
      <c r="W28" s="22" t="s">
        <v>5481</v>
      </c>
    </row>
    <row r="29" ht="45.0" customHeight="1">
      <c r="A29" s="55" t="s">
        <v>180</v>
      </c>
      <c r="B29" s="62" t="s">
        <v>3325</v>
      </c>
      <c r="C29" s="22" t="str">
        <f>IMAGE("https://raw.githubusercontent.com/ltdimages/images/refs/heads/main/ClothHeadwearHatCook_00.png")</f>
        <v/>
      </c>
      <c r="D29" s="22" t="str">
        <f>IMAGE("https://raw.githubusercontent.com/ltdimages/images/refs/heads/main/ClothHeadwearHatCook_01.png")</f>
        <v/>
      </c>
      <c r="E29" s="22" t="str">
        <f>IMAGE("https://raw.githubusercontent.com/ltdimages/images/refs/heads/main/ClothHeadwearHatCook_02.png")</f>
        <v/>
      </c>
      <c r="F29" s="22" t="str">
        <f>IMAGE("https://raw.githubusercontent.com/ltdimages/images/refs/heads/main/ClothHeadwearHatCook_03.png")</f>
        <v/>
      </c>
      <c r="G29" s="22" t="str">
        <f>IMAGE("https://raw.githubusercontent.com/ltdimages/images/refs/heads/main/ClothHeadwearHatCook_04.png")</f>
        <v/>
      </c>
      <c r="H29" s="22" t="str">
        <f>IMAGE("https://raw.githubusercontent.com/ltdimages/images/refs/heads/main/ClothHeadwearHatCook_05.png")</f>
        <v/>
      </c>
      <c r="I29" s="22" t="str">
        <f>IMAGE("https://raw.githubusercontent.com/ltdimages/images/refs/heads/main/ClothHeadwearHatCook_06.png")</f>
        <v/>
      </c>
      <c r="J29" s="22" t="str">
        <f>IMAGE("https://raw.githubusercontent.com/ltdimages/images/refs/heads/main/ClothHeadwearHatCook_07.png")</f>
        <v/>
      </c>
      <c r="K29" s="63" t="s">
        <v>3244</v>
      </c>
      <c r="L29" s="23">
        <v>21.0</v>
      </c>
      <c r="M29" s="22" t="s">
        <v>3097</v>
      </c>
      <c r="N29" s="22" t="s">
        <v>3099</v>
      </c>
      <c r="O29" s="22" t="s">
        <v>45</v>
      </c>
      <c r="P29" s="22" t="s">
        <v>45</v>
      </c>
      <c r="Q29" s="22" t="s">
        <v>45</v>
      </c>
      <c r="R29" s="22" t="s">
        <v>49</v>
      </c>
      <c r="S29" s="22" t="s">
        <v>45</v>
      </c>
      <c r="T29" s="22" t="s">
        <v>5441</v>
      </c>
      <c r="U29" s="22" t="s">
        <v>45</v>
      </c>
      <c r="V29" s="22" t="s">
        <v>45</v>
      </c>
      <c r="W29" s="22" t="s">
        <v>5482</v>
      </c>
    </row>
    <row r="30" ht="45.0" customHeight="1">
      <c r="A30" s="55" t="s">
        <v>185</v>
      </c>
      <c r="B30" s="62" t="s">
        <v>3949</v>
      </c>
      <c r="C30" s="22" t="str">
        <f>IMAGE("https://raw.githubusercontent.com/ltdimages/images/refs/heads/main/ClothHeadwearHatSchool_00.png")</f>
        <v/>
      </c>
      <c r="D30" s="22" t="str">
        <f>IMAGE("https://raw.githubusercontent.com/ltdimages/images/refs/heads/main/ClothHeadwearHatSchool_01.png")</f>
        <v/>
      </c>
      <c r="E30" s="22" t="str">
        <f>IMAGE("https://raw.githubusercontent.com/ltdimages/images/refs/heads/main/ClothHeadwearHatSchool_02.png")</f>
        <v/>
      </c>
      <c r="F30" s="22" t="s">
        <v>3095</v>
      </c>
      <c r="G30" s="22" t="s">
        <v>3095</v>
      </c>
      <c r="H30" s="22" t="s">
        <v>3095</v>
      </c>
      <c r="I30" s="22" t="s">
        <v>3095</v>
      </c>
      <c r="J30" s="22" t="s">
        <v>3095</v>
      </c>
      <c r="K30" s="63" t="s">
        <v>3244</v>
      </c>
      <c r="L30" s="23">
        <v>16.8</v>
      </c>
      <c r="M30" s="22" t="s">
        <v>3097</v>
      </c>
      <c r="N30" s="22" t="s">
        <v>3099</v>
      </c>
      <c r="O30" s="22" t="s">
        <v>49</v>
      </c>
      <c r="P30" s="22" t="s">
        <v>45</v>
      </c>
      <c r="Q30" s="22" t="s">
        <v>45</v>
      </c>
      <c r="R30" s="22" t="s">
        <v>45</v>
      </c>
      <c r="S30" s="22" t="s">
        <v>45</v>
      </c>
      <c r="T30" s="22" t="s">
        <v>5441</v>
      </c>
      <c r="U30" s="22" t="s">
        <v>45</v>
      </c>
      <c r="V30" s="22" t="s">
        <v>45</v>
      </c>
      <c r="W30" s="22" t="s">
        <v>5483</v>
      </c>
    </row>
    <row r="31" ht="45.0" customHeight="1">
      <c r="A31" s="55" t="s">
        <v>189</v>
      </c>
      <c r="B31" s="62" t="s">
        <v>4721</v>
      </c>
      <c r="C31" s="22" t="str">
        <f>IMAGE("https://raw.githubusercontent.com/ltdimages/images/refs/heads/main/ClothHeadwearHatCloche_00.png")</f>
        <v/>
      </c>
      <c r="D31" s="22" t="str">
        <f>IMAGE("https://raw.githubusercontent.com/ltdimages/images/refs/heads/main/ClothHeadwearHatCloche_01.png")</f>
        <v/>
      </c>
      <c r="E31" s="22" t="str">
        <f>IMAGE("https://raw.githubusercontent.com/ltdimages/images/refs/heads/main/ClothHeadwearHatCloche_02.png")</f>
        <v/>
      </c>
      <c r="F31" s="22" t="str">
        <f>IMAGE("https://raw.githubusercontent.com/ltdimages/images/refs/heads/main/ClothHeadwearHatCloche_03.png")</f>
        <v/>
      </c>
      <c r="G31" s="22" t="str">
        <f>IMAGE("https://raw.githubusercontent.com/ltdimages/images/refs/heads/main/ClothHeadwearHatCloche_04.png")</f>
        <v/>
      </c>
      <c r="H31" s="22" t="str">
        <f>IMAGE("https://raw.githubusercontent.com/ltdimages/images/refs/heads/main/ClothHeadwearHatCloche_05.png")</f>
        <v/>
      </c>
      <c r="I31" s="22" t="s">
        <v>3095</v>
      </c>
      <c r="J31" s="22" t="s">
        <v>3095</v>
      </c>
      <c r="K31" s="63" t="s">
        <v>3244</v>
      </c>
      <c r="L31" s="23">
        <v>17.0</v>
      </c>
      <c r="M31" s="22" t="s">
        <v>3097</v>
      </c>
      <c r="N31" s="22" t="s">
        <v>3099</v>
      </c>
      <c r="O31" s="22" t="s">
        <v>45</v>
      </c>
      <c r="P31" s="22" t="s">
        <v>45</v>
      </c>
      <c r="Q31" s="22" t="s">
        <v>45</v>
      </c>
      <c r="R31" s="22" t="s">
        <v>45</v>
      </c>
      <c r="S31" s="22" t="s">
        <v>45</v>
      </c>
      <c r="T31" s="22" t="s">
        <v>5441</v>
      </c>
      <c r="U31" s="22" t="s">
        <v>45</v>
      </c>
      <c r="V31" s="22" t="s">
        <v>45</v>
      </c>
      <c r="W31" s="22" t="s">
        <v>5484</v>
      </c>
    </row>
    <row r="32" ht="45.0" customHeight="1">
      <c r="A32" s="55" t="s">
        <v>194</v>
      </c>
      <c r="B32" s="62" t="s">
        <v>5485</v>
      </c>
      <c r="C32" s="22" t="str">
        <f>IMAGE("https://raw.githubusercontent.com/ltdimages/images/refs/heads/main/ClothHeadwearHatWork_00.png")</f>
        <v/>
      </c>
      <c r="D32" s="22" t="str">
        <f>IMAGE("https://raw.githubusercontent.com/ltdimages/images/refs/heads/main/ClothHeadwearHatWork_01.png")</f>
        <v/>
      </c>
      <c r="E32" s="22" t="str">
        <f>IMAGE("https://raw.githubusercontent.com/ltdimages/images/refs/heads/main/ClothHeadwearHatWork_02.png")</f>
        <v/>
      </c>
      <c r="F32" s="22" t="str">
        <f>IMAGE("https://raw.githubusercontent.com/ltdimages/images/refs/heads/main/ClothHeadwearHatWork_03.png")</f>
        <v/>
      </c>
      <c r="G32" s="22" t="str">
        <f>IMAGE("https://raw.githubusercontent.com/ltdimages/images/refs/heads/main/ClothHeadwearHatWork_04.png")</f>
        <v/>
      </c>
      <c r="H32" s="22" t="str">
        <f>IMAGE("https://raw.githubusercontent.com/ltdimages/images/refs/heads/main/ClothHeadwearHatWork_05.png")</f>
        <v/>
      </c>
      <c r="I32" s="22" t="s">
        <v>3095</v>
      </c>
      <c r="J32" s="22" t="s">
        <v>3095</v>
      </c>
      <c r="K32" s="63" t="s">
        <v>3244</v>
      </c>
      <c r="L32" s="23">
        <v>15.6</v>
      </c>
      <c r="M32" s="22" t="s">
        <v>3097</v>
      </c>
      <c r="N32" s="22" t="s">
        <v>3099</v>
      </c>
      <c r="O32" s="22" t="s">
        <v>45</v>
      </c>
      <c r="P32" s="22" t="s">
        <v>45</v>
      </c>
      <c r="Q32" s="22" t="s">
        <v>45</v>
      </c>
      <c r="R32" s="22" t="s">
        <v>45</v>
      </c>
      <c r="S32" s="22" t="s">
        <v>45</v>
      </c>
      <c r="T32" s="22" t="s">
        <v>5441</v>
      </c>
      <c r="U32" s="22" t="s">
        <v>45</v>
      </c>
      <c r="V32" s="22" t="s">
        <v>45</v>
      </c>
      <c r="W32" s="22" t="s">
        <v>5486</v>
      </c>
    </row>
    <row r="33" ht="45.0" customHeight="1">
      <c r="A33" s="55" t="s">
        <v>198</v>
      </c>
      <c r="B33" s="62" t="s">
        <v>3149</v>
      </c>
      <c r="C33" s="22" t="str">
        <f>IMAGE("https://raw.githubusercontent.com/ltdimages/images/refs/heads/main/ClothHeadwearHatKasa_00.png")</f>
        <v/>
      </c>
      <c r="D33" s="22" t="s">
        <v>3095</v>
      </c>
      <c r="E33" s="22" t="s">
        <v>3095</v>
      </c>
      <c r="F33" s="22" t="s">
        <v>3095</v>
      </c>
      <c r="G33" s="22" t="s">
        <v>3095</v>
      </c>
      <c r="H33" s="22" t="s">
        <v>3095</v>
      </c>
      <c r="I33" s="22" t="s">
        <v>3095</v>
      </c>
      <c r="J33" s="22" t="s">
        <v>3095</v>
      </c>
      <c r="K33" s="63" t="s">
        <v>3244</v>
      </c>
      <c r="L33" s="23">
        <v>8.0</v>
      </c>
      <c r="M33" s="22" t="s">
        <v>3097</v>
      </c>
      <c r="N33" s="22" t="s">
        <v>3099</v>
      </c>
      <c r="O33" s="22" t="s">
        <v>45</v>
      </c>
      <c r="P33" s="22" t="s">
        <v>45</v>
      </c>
      <c r="Q33" s="22" t="s">
        <v>45</v>
      </c>
      <c r="R33" s="22" t="s">
        <v>45</v>
      </c>
      <c r="S33" s="22" t="s">
        <v>45</v>
      </c>
      <c r="T33" s="22" t="s">
        <v>5441</v>
      </c>
      <c r="U33" s="22" t="s">
        <v>45</v>
      </c>
      <c r="V33" s="22" t="s">
        <v>45</v>
      </c>
      <c r="W33" s="22" t="s">
        <v>5487</v>
      </c>
    </row>
    <row r="34" ht="45.0" customHeight="1">
      <c r="A34" s="55" t="s">
        <v>202</v>
      </c>
      <c r="B34" s="62" t="s">
        <v>5488</v>
      </c>
      <c r="C34" s="22" t="str">
        <f>IMAGE("https://raw.githubusercontent.com/ltdimages/images/refs/heads/main/ClothHeadwearHatCorduroy_00.png")</f>
        <v/>
      </c>
      <c r="D34" s="22" t="str">
        <f>IMAGE("https://raw.githubusercontent.com/ltdimages/images/refs/heads/main/ClothHeadwearHatCorduroy_01.png")</f>
        <v/>
      </c>
      <c r="E34" s="22" t="str">
        <f>IMAGE("https://raw.githubusercontent.com/ltdimages/images/refs/heads/main/ClothHeadwearHatCorduroy_02.png")</f>
        <v/>
      </c>
      <c r="F34" s="22" t="str">
        <f>IMAGE("https://raw.githubusercontent.com/ltdimages/images/refs/heads/main/ClothHeadwearHatCorduroy_03.png")</f>
        <v/>
      </c>
      <c r="G34" s="22" t="str">
        <f>IMAGE("https://raw.githubusercontent.com/ltdimages/images/refs/heads/main/ClothHeadwearHatCorduroy_04.png")</f>
        <v/>
      </c>
      <c r="H34" s="22" t="str">
        <f>IMAGE("https://raw.githubusercontent.com/ltdimages/images/refs/heads/main/ClothHeadwearHatCorduroy_05.png")</f>
        <v/>
      </c>
      <c r="I34" s="22" t="str">
        <f>IMAGE("https://raw.githubusercontent.com/ltdimages/images/refs/heads/main/ClothHeadwearHatCorduroy_06.png")</f>
        <v/>
      </c>
      <c r="J34" s="22" t="str">
        <f>IMAGE("https://raw.githubusercontent.com/ltdimages/images/refs/heads/main/ClothHeadwearHatCorduroy_07.png")</f>
        <v/>
      </c>
      <c r="K34" s="63" t="s">
        <v>3244</v>
      </c>
      <c r="L34" s="23">
        <v>14.2</v>
      </c>
      <c r="M34" s="22" t="s">
        <v>3097</v>
      </c>
      <c r="N34" s="22" t="s">
        <v>3099</v>
      </c>
      <c r="O34" s="22" t="s">
        <v>45</v>
      </c>
      <c r="P34" s="22" t="s">
        <v>45</v>
      </c>
      <c r="Q34" s="22" t="s">
        <v>45</v>
      </c>
      <c r="R34" s="22" t="s">
        <v>45</v>
      </c>
      <c r="S34" s="22" t="s">
        <v>45</v>
      </c>
      <c r="T34" s="22" t="s">
        <v>5441</v>
      </c>
      <c r="U34" s="22" t="s">
        <v>45</v>
      </c>
      <c r="V34" s="22" t="s">
        <v>45</v>
      </c>
      <c r="W34" s="22" t="s">
        <v>5489</v>
      </c>
    </row>
    <row r="35" ht="45.0" customHeight="1">
      <c r="A35" s="55" t="s">
        <v>207</v>
      </c>
      <c r="B35" s="62" t="s">
        <v>4404</v>
      </c>
      <c r="C35" s="22" t="str">
        <f>IMAGE("https://raw.githubusercontent.com/ltdimages/images/refs/heads/main/ClothHeadwearHatCossack_00.png")</f>
        <v/>
      </c>
      <c r="D35" s="22" t="str">
        <f>IMAGE("https://raw.githubusercontent.com/ltdimages/images/refs/heads/main/ClothHeadwearHatCossack_01.png")</f>
        <v/>
      </c>
      <c r="E35" s="22" t="str">
        <f>IMAGE("https://raw.githubusercontent.com/ltdimages/images/refs/heads/main/ClothHeadwearHatCossack_02.png")</f>
        <v/>
      </c>
      <c r="F35" s="22" t="str">
        <f>IMAGE("https://raw.githubusercontent.com/ltdimages/images/refs/heads/main/ClothHeadwearHatCossack_03.png")</f>
        <v/>
      </c>
      <c r="G35" s="22" t="str">
        <f>IMAGE("https://raw.githubusercontent.com/ltdimages/images/refs/heads/main/ClothHeadwearHatCossack_04.png")</f>
        <v/>
      </c>
      <c r="H35" s="22" t="str">
        <f>IMAGE("https://raw.githubusercontent.com/ltdimages/images/refs/heads/main/ClothHeadwearHatCossack_05.png")</f>
        <v/>
      </c>
      <c r="I35" s="22" t="s">
        <v>3095</v>
      </c>
      <c r="J35" s="22" t="s">
        <v>3095</v>
      </c>
      <c r="K35" s="63" t="s">
        <v>3244</v>
      </c>
      <c r="L35" s="23">
        <v>18.0</v>
      </c>
      <c r="M35" s="22" t="s">
        <v>3097</v>
      </c>
      <c r="N35" s="22" t="s">
        <v>3114</v>
      </c>
      <c r="O35" s="22" t="s">
        <v>45</v>
      </c>
      <c r="P35" s="22" t="s">
        <v>45</v>
      </c>
      <c r="Q35" s="22" t="s">
        <v>45</v>
      </c>
      <c r="R35" s="22" t="s">
        <v>45</v>
      </c>
      <c r="S35" s="22" t="s">
        <v>45</v>
      </c>
      <c r="T35" s="22" t="s">
        <v>5441</v>
      </c>
      <c r="U35" s="22" t="s">
        <v>45</v>
      </c>
      <c r="V35" s="22" t="s">
        <v>45</v>
      </c>
      <c r="W35" s="22" t="s">
        <v>5490</v>
      </c>
    </row>
    <row r="36" ht="45.0" customHeight="1">
      <c r="A36" s="55" t="s">
        <v>211</v>
      </c>
      <c r="B36" s="62" t="s">
        <v>3913</v>
      </c>
      <c r="C36" s="22" t="str">
        <f>IMAGE("https://raw.githubusercontent.com/ltdimages/images/refs/heads/main/ClothHeadwearHatCrown_00.png")</f>
        <v/>
      </c>
      <c r="D36" s="22" t="str">
        <f>IMAGE("https://raw.githubusercontent.com/ltdimages/images/refs/heads/main/ClothHeadwearHatCrown_01.png")</f>
        <v/>
      </c>
      <c r="E36" s="22" t="s">
        <v>3095</v>
      </c>
      <c r="F36" s="22" t="s">
        <v>3095</v>
      </c>
      <c r="G36" s="22" t="s">
        <v>3095</v>
      </c>
      <c r="H36" s="22" t="s">
        <v>3095</v>
      </c>
      <c r="I36" s="22" t="s">
        <v>3095</v>
      </c>
      <c r="J36" s="22" t="s">
        <v>3095</v>
      </c>
      <c r="K36" s="63" t="s">
        <v>3244</v>
      </c>
      <c r="L36" s="23">
        <v>1000.0</v>
      </c>
      <c r="M36" s="22" t="s">
        <v>3097</v>
      </c>
      <c r="N36" s="22" t="s">
        <v>3099</v>
      </c>
      <c r="O36" s="22" t="s">
        <v>45</v>
      </c>
      <c r="P36" s="22" t="s">
        <v>45</v>
      </c>
      <c r="Q36" s="22" t="s">
        <v>45</v>
      </c>
      <c r="R36" s="22" t="s">
        <v>49</v>
      </c>
      <c r="S36" s="22" t="s">
        <v>45</v>
      </c>
      <c r="T36" s="22" t="s">
        <v>5441</v>
      </c>
      <c r="U36" s="22" t="s">
        <v>45</v>
      </c>
      <c r="V36" s="22" t="s">
        <v>45</v>
      </c>
      <c r="W36" s="22" t="s">
        <v>5491</v>
      </c>
    </row>
    <row r="37" ht="45.0" customHeight="1">
      <c r="A37" s="55" t="s">
        <v>215</v>
      </c>
      <c r="B37" s="62" t="s">
        <v>3419</v>
      </c>
      <c r="C37" s="22" t="str">
        <f>IMAGE("https://raw.githubusercontent.com/ltdimages/images/refs/heads/main/ClothHeadwearHatDetectives_00.png")</f>
        <v/>
      </c>
      <c r="D37" s="22" t="str">
        <f>IMAGE("https://raw.githubusercontent.com/ltdimages/images/refs/heads/main/ClothHeadwearHatDetectives_01.png")</f>
        <v/>
      </c>
      <c r="E37" s="22" t="str">
        <f>IMAGE("https://raw.githubusercontent.com/ltdimages/images/refs/heads/main/ClothHeadwearHatDetectives_02.png")</f>
        <v/>
      </c>
      <c r="F37" s="22" t="s">
        <v>3095</v>
      </c>
      <c r="G37" s="22" t="s">
        <v>3095</v>
      </c>
      <c r="H37" s="22" t="s">
        <v>3095</v>
      </c>
      <c r="I37" s="22" t="s">
        <v>3095</v>
      </c>
      <c r="J37" s="22" t="s">
        <v>3095</v>
      </c>
      <c r="K37" s="63" t="s">
        <v>3244</v>
      </c>
      <c r="L37" s="23">
        <v>22.0</v>
      </c>
      <c r="M37" s="22" t="s">
        <v>3097</v>
      </c>
      <c r="N37" s="22" t="s">
        <v>3099</v>
      </c>
      <c r="O37" s="22" t="s">
        <v>45</v>
      </c>
      <c r="P37" s="22" t="s">
        <v>45</v>
      </c>
      <c r="Q37" s="22" t="s">
        <v>45</v>
      </c>
      <c r="R37" s="22" t="s">
        <v>49</v>
      </c>
      <c r="S37" s="22" t="s">
        <v>45</v>
      </c>
      <c r="T37" s="22" t="s">
        <v>5441</v>
      </c>
      <c r="U37" s="22" t="s">
        <v>45</v>
      </c>
      <c r="V37" s="22" t="s">
        <v>45</v>
      </c>
      <c r="W37" s="22" t="s">
        <v>5492</v>
      </c>
    </row>
    <row r="38" ht="45.0" customHeight="1">
      <c r="A38" s="55" t="s">
        <v>220</v>
      </c>
      <c r="B38" s="62" t="s">
        <v>5493</v>
      </c>
      <c r="C38" s="22" t="str">
        <f>IMAGE("https://raw.githubusercontent.com/ltdimages/images/refs/heads/main/ClothHeadwearHatDiner_00.png")</f>
        <v/>
      </c>
      <c r="D38" s="22" t="str">
        <f>IMAGE("https://raw.githubusercontent.com/ltdimages/images/refs/heads/main/ClothHeadwearHatDiner_01.png")</f>
        <v/>
      </c>
      <c r="E38" s="22" t="str">
        <f>IMAGE("https://raw.githubusercontent.com/ltdimages/images/refs/heads/main/ClothHeadwearHatDiner_02.png")</f>
        <v/>
      </c>
      <c r="F38" s="22" t="str">
        <f>IMAGE("https://raw.githubusercontent.com/ltdimages/images/refs/heads/main/ClothHeadwearHatDiner_03.png")</f>
        <v/>
      </c>
      <c r="G38" s="22" t="str">
        <f>IMAGE("https://raw.githubusercontent.com/ltdimages/images/refs/heads/main/ClothHeadwearHatDiner_04.png")</f>
        <v/>
      </c>
      <c r="H38" s="22" t="str">
        <f>IMAGE("https://raw.githubusercontent.com/ltdimages/images/refs/heads/main/ClothHeadwearHatDiner_05.png")</f>
        <v/>
      </c>
      <c r="I38" s="22" t="str">
        <f>IMAGE("https://raw.githubusercontent.com/ltdimages/images/refs/heads/main/ClothHeadwearHatDiner_06.png")</f>
        <v/>
      </c>
      <c r="J38" s="22" t="str">
        <f>IMAGE("https://raw.githubusercontent.com/ltdimages/images/refs/heads/main/ClothHeadwearHatDiner_07.png")</f>
        <v/>
      </c>
      <c r="K38" s="63" t="s">
        <v>3244</v>
      </c>
      <c r="L38" s="23">
        <v>17.9</v>
      </c>
      <c r="M38" s="22" t="s">
        <v>3097</v>
      </c>
      <c r="N38" s="22" t="s">
        <v>3099</v>
      </c>
      <c r="O38" s="22" t="s">
        <v>45</v>
      </c>
      <c r="P38" s="22" t="s">
        <v>45</v>
      </c>
      <c r="Q38" s="22" t="s">
        <v>45</v>
      </c>
      <c r="R38" s="22" t="s">
        <v>49</v>
      </c>
      <c r="S38" s="22" t="s">
        <v>45</v>
      </c>
      <c r="T38" s="22" t="s">
        <v>5441</v>
      </c>
      <c r="U38" s="22" t="s">
        <v>45</v>
      </c>
      <c r="V38" s="22" t="s">
        <v>45</v>
      </c>
      <c r="W38" s="22" t="s">
        <v>5494</v>
      </c>
    </row>
    <row r="39" ht="45.0" customHeight="1">
      <c r="A39" s="55" t="s">
        <v>224</v>
      </c>
      <c r="B39" s="62" t="s">
        <v>4199</v>
      </c>
      <c r="C39" s="22" t="str">
        <f>IMAGE("https://raw.githubusercontent.com/ltdimages/images/refs/heads/main/ClothHeadwearHatEarflaps_00.png")</f>
        <v/>
      </c>
      <c r="D39" s="22" t="str">
        <f>IMAGE("https://raw.githubusercontent.com/ltdimages/images/refs/heads/main/ClothHeadwearHatEarflaps_01.png")</f>
        <v/>
      </c>
      <c r="E39" s="22" t="str">
        <f>IMAGE("https://raw.githubusercontent.com/ltdimages/images/refs/heads/main/ClothHeadwearHatEarflaps_02.png")</f>
        <v/>
      </c>
      <c r="F39" s="22" t="str">
        <f>IMAGE("https://raw.githubusercontent.com/ltdimages/images/refs/heads/main/ClothHeadwearHatEarflaps_03.png")</f>
        <v/>
      </c>
      <c r="G39" s="22" t="str">
        <f>IMAGE("https://raw.githubusercontent.com/ltdimages/images/refs/heads/main/ClothHeadwearHatEarflaps_04.png")</f>
        <v/>
      </c>
      <c r="H39" s="22" t="str">
        <f>IMAGE("https://raw.githubusercontent.com/ltdimages/images/refs/heads/main/ClothHeadwearHatEarflaps_05.png")</f>
        <v/>
      </c>
      <c r="I39" s="22" t="str">
        <f>IMAGE("https://raw.githubusercontent.com/ltdimages/images/refs/heads/main/ClothHeadwearHatEarflaps_06.png")</f>
        <v/>
      </c>
      <c r="J39" s="22" t="str">
        <f>IMAGE("https://raw.githubusercontent.com/ltdimages/images/refs/heads/main/ClothHeadwearHatEarflaps_07.png")</f>
        <v/>
      </c>
      <c r="K39" s="63" t="s">
        <v>3244</v>
      </c>
      <c r="L39" s="23">
        <v>21.0</v>
      </c>
      <c r="M39" s="22" t="s">
        <v>3097</v>
      </c>
      <c r="N39" s="22" t="s">
        <v>3114</v>
      </c>
      <c r="O39" s="22" t="s">
        <v>45</v>
      </c>
      <c r="P39" s="22" t="s">
        <v>45</v>
      </c>
      <c r="Q39" s="22" t="s">
        <v>45</v>
      </c>
      <c r="R39" s="22" t="s">
        <v>45</v>
      </c>
      <c r="S39" s="22" t="s">
        <v>45</v>
      </c>
      <c r="T39" s="22" t="s">
        <v>5441</v>
      </c>
      <c r="U39" s="22" t="s">
        <v>45</v>
      </c>
      <c r="V39" s="22" t="s">
        <v>45</v>
      </c>
      <c r="W39" s="22" t="s">
        <v>5495</v>
      </c>
    </row>
    <row r="40" ht="45.0" customHeight="1">
      <c r="A40" s="55" t="s">
        <v>229</v>
      </c>
      <c r="B40" s="62" t="s">
        <v>3182</v>
      </c>
      <c r="C40" s="22" t="str">
        <f>IMAGE("https://raw.githubusercontent.com/ltdimages/images/refs/heads/main/ClothHeadwearHatEgg_00.png")</f>
        <v/>
      </c>
      <c r="D40" s="22" t="str">
        <f>IMAGE("https://raw.githubusercontent.com/ltdimages/images/refs/heads/main/ClothHeadwearHatEgg_01.png")</f>
        <v/>
      </c>
      <c r="E40" s="22" t="str">
        <f>IMAGE("https://raw.githubusercontent.com/ltdimages/images/refs/heads/main/ClothHeadwearHatEgg_02.png")</f>
        <v/>
      </c>
      <c r="F40" s="22" t="str">
        <f>IMAGE("https://raw.githubusercontent.com/ltdimages/images/refs/heads/main/ClothHeadwearHatEgg_03.png")</f>
        <v/>
      </c>
      <c r="G40" s="22" t="str">
        <f>IMAGE("https://raw.githubusercontent.com/ltdimages/images/refs/heads/main/ClothHeadwearHatEgg_04.png")</f>
        <v/>
      </c>
      <c r="H40" s="22" t="str">
        <f>IMAGE("https://raw.githubusercontent.com/ltdimages/images/refs/heads/main/ClothHeadwearHatEgg_05.png")</f>
        <v/>
      </c>
      <c r="I40" s="22" t="str">
        <f>IMAGE("https://raw.githubusercontent.com/ltdimages/images/refs/heads/main/ClothHeadwearHatEgg_06.png")</f>
        <v/>
      </c>
      <c r="J40" s="22" t="str">
        <f>IMAGE("https://raw.githubusercontent.com/ltdimages/images/refs/heads/main/ClothHeadwearHatEgg_07.png")</f>
        <v/>
      </c>
      <c r="K40" s="63" t="s">
        <v>3244</v>
      </c>
      <c r="L40" s="23">
        <v>17.0</v>
      </c>
      <c r="M40" s="22" t="s">
        <v>3097</v>
      </c>
      <c r="N40" s="22" t="s">
        <v>3099</v>
      </c>
      <c r="O40" s="22" t="s">
        <v>45</v>
      </c>
      <c r="P40" s="22" t="s">
        <v>45</v>
      </c>
      <c r="Q40" s="22" t="s">
        <v>45</v>
      </c>
      <c r="R40" s="22" t="s">
        <v>49</v>
      </c>
      <c r="S40" s="22" t="s">
        <v>45</v>
      </c>
      <c r="T40" s="22" t="s">
        <v>5441</v>
      </c>
      <c r="U40" s="22" t="s">
        <v>45</v>
      </c>
      <c r="V40" s="22" t="s">
        <v>45</v>
      </c>
      <c r="W40" s="22" t="s">
        <v>5496</v>
      </c>
    </row>
    <row r="41" ht="45.0" customHeight="1">
      <c r="A41" s="55" t="s">
        <v>233</v>
      </c>
      <c r="B41" s="62" t="s">
        <v>3482</v>
      </c>
      <c r="C41" s="22" t="str">
        <f>IMAGE("https://raw.githubusercontent.com/ltdimages/images/refs/heads/main/ClothHeadwearHatExplorer_00.png")</f>
        <v/>
      </c>
      <c r="D41" s="22" t="str">
        <f>IMAGE("https://raw.githubusercontent.com/ltdimages/images/refs/heads/main/ClothHeadwearHatExplorer_01.png")</f>
        <v/>
      </c>
      <c r="E41" s="22" t="str">
        <f>IMAGE("https://raw.githubusercontent.com/ltdimages/images/refs/heads/main/ClothHeadwearHatExplorer_02.png")</f>
        <v/>
      </c>
      <c r="F41" s="22" t="str">
        <f>IMAGE("https://raw.githubusercontent.com/ltdimages/images/refs/heads/main/ClothHeadwearHatExplorer_03.png")</f>
        <v/>
      </c>
      <c r="G41" s="22" t="s">
        <v>3095</v>
      </c>
      <c r="H41" s="22" t="s">
        <v>3095</v>
      </c>
      <c r="I41" s="22" t="s">
        <v>3095</v>
      </c>
      <c r="J41" s="22" t="s">
        <v>3095</v>
      </c>
      <c r="K41" s="63" t="s">
        <v>3244</v>
      </c>
      <c r="L41" s="23">
        <v>18.2</v>
      </c>
      <c r="M41" s="22" t="s">
        <v>3097</v>
      </c>
      <c r="N41" s="22" t="s">
        <v>3099</v>
      </c>
      <c r="O41" s="22" t="s">
        <v>45</v>
      </c>
      <c r="P41" s="22" t="s">
        <v>45</v>
      </c>
      <c r="Q41" s="22" t="s">
        <v>45</v>
      </c>
      <c r="R41" s="22" t="s">
        <v>49</v>
      </c>
      <c r="S41" s="22" t="s">
        <v>45</v>
      </c>
      <c r="T41" s="22" t="s">
        <v>5441</v>
      </c>
      <c r="U41" s="22" t="s">
        <v>45</v>
      </c>
      <c r="V41" s="22" t="s">
        <v>45</v>
      </c>
      <c r="W41" s="22" t="s">
        <v>5497</v>
      </c>
    </row>
    <row r="42" ht="45.0" customHeight="1">
      <c r="A42" s="55" t="s">
        <v>237</v>
      </c>
      <c r="B42" s="62" t="s">
        <v>5498</v>
      </c>
      <c r="C42" s="22" t="str">
        <f>IMAGE("https://raw.githubusercontent.com/ltdimages/images/refs/heads/main/ClothHeadwearHatDress_00.png")</f>
        <v/>
      </c>
      <c r="D42" s="22" t="str">
        <f>IMAGE("https://raw.githubusercontent.com/ltdimages/images/refs/heads/main/ClothHeadwearHatDress_01.png")</f>
        <v/>
      </c>
      <c r="E42" s="22" t="str">
        <f>IMAGE("https://raw.githubusercontent.com/ltdimages/images/refs/heads/main/ClothHeadwearHatDress_02.png")</f>
        <v/>
      </c>
      <c r="F42" s="22" t="str">
        <f>IMAGE("https://raw.githubusercontent.com/ltdimages/images/refs/heads/main/ClothHeadwearHatDress_03.png")</f>
        <v/>
      </c>
      <c r="G42" s="22" t="str">
        <f>IMAGE("https://raw.githubusercontent.com/ltdimages/images/refs/heads/main/ClothHeadwearHatDress_04.png")</f>
        <v/>
      </c>
      <c r="H42" s="22" t="str">
        <f>IMAGE("https://raw.githubusercontent.com/ltdimages/images/refs/heads/main/ClothHeadwearHatDress_05.png")</f>
        <v/>
      </c>
      <c r="I42" s="22" t="str">
        <f>IMAGE("https://raw.githubusercontent.com/ltdimages/images/refs/heads/main/ClothHeadwearHatDress_06.png")</f>
        <v/>
      </c>
      <c r="J42" s="22" t="str">
        <f>IMAGE("https://raw.githubusercontent.com/ltdimages/images/refs/heads/main/ClothHeadwearHatDress_07.png")</f>
        <v/>
      </c>
      <c r="K42" s="63" t="s">
        <v>3244</v>
      </c>
      <c r="L42" s="23">
        <v>40.0</v>
      </c>
      <c r="M42" s="22" t="s">
        <v>4231</v>
      </c>
      <c r="N42" s="22" t="s">
        <v>3099</v>
      </c>
      <c r="O42" s="22" t="s">
        <v>45</v>
      </c>
      <c r="P42" s="22" t="s">
        <v>45</v>
      </c>
      <c r="Q42" s="22" t="s">
        <v>45</v>
      </c>
      <c r="R42" s="22" t="s">
        <v>45</v>
      </c>
      <c r="S42" s="22" t="s">
        <v>45</v>
      </c>
      <c r="T42" s="22" t="s">
        <v>5441</v>
      </c>
      <c r="U42" s="22" t="s">
        <v>45</v>
      </c>
      <c r="V42" s="22" t="s">
        <v>45</v>
      </c>
      <c r="W42" s="22" t="s">
        <v>5499</v>
      </c>
    </row>
    <row r="43" ht="45.0" customHeight="1">
      <c r="A43" s="55" t="s">
        <v>241</v>
      </c>
      <c r="B43" s="62" t="s">
        <v>3141</v>
      </c>
      <c r="C43" s="22" t="str">
        <f>IMAGE("https://raw.githubusercontent.com/ltdimages/images/refs/heads/main/ClothHeadwearHatShallow_00.png")</f>
        <v/>
      </c>
      <c r="D43" s="22" t="str">
        <f>IMAGE("https://raw.githubusercontent.com/ltdimages/images/refs/heads/main/ClothHeadwearHatShallow_01.png")</f>
        <v/>
      </c>
      <c r="E43" s="22" t="str">
        <f>IMAGE("https://raw.githubusercontent.com/ltdimages/images/refs/heads/main/ClothHeadwearHatShallow_02.png")</f>
        <v/>
      </c>
      <c r="F43" s="22" t="str">
        <f>IMAGE("https://raw.githubusercontent.com/ltdimages/images/refs/heads/main/ClothHeadwearHatShallow_03.png")</f>
        <v/>
      </c>
      <c r="G43" s="22" t="str">
        <f>IMAGE("https://raw.githubusercontent.com/ltdimages/images/refs/heads/main/ClothHeadwearHatShallow_04.png")</f>
        <v/>
      </c>
      <c r="H43" s="22" t="str">
        <f>IMAGE("https://raw.githubusercontent.com/ltdimages/images/refs/heads/main/ClothHeadwearHatShallow_05.png")</f>
        <v/>
      </c>
      <c r="I43" s="22" t="str">
        <f>IMAGE("https://raw.githubusercontent.com/ltdimages/images/refs/heads/main/ClothHeadwearHatShallow_06.png")</f>
        <v/>
      </c>
      <c r="J43" s="22" t="str">
        <f>IMAGE("https://raw.githubusercontent.com/ltdimages/images/refs/heads/main/ClothHeadwearHatShallow_07.png")</f>
        <v/>
      </c>
      <c r="K43" s="63" t="s">
        <v>3244</v>
      </c>
      <c r="L43" s="23">
        <v>12.9</v>
      </c>
      <c r="M43" s="22" t="s">
        <v>3097</v>
      </c>
      <c r="N43" s="22" t="s">
        <v>3099</v>
      </c>
      <c r="O43" s="22" t="s">
        <v>45</v>
      </c>
      <c r="P43" s="22" t="s">
        <v>45</v>
      </c>
      <c r="Q43" s="22" t="s">
        <v>45</v>
      </c>
      <c r="R43" s="22" t="s">
        <v>45</v>
      </c>
      <c r="S43" s="22" t="s">
        <v>45</v>
      </c>
      <c r="T43" s="22" t="s">
        <v>5441</v>
      </c>
      <c r="U43" s="22" t="s">
        <v>45</v>
      </c>
      <c r="V43" s="22" t="s">
        <v>45</v>
      </c>
      <c r="W43" s="22" t="s">
        <v>5500</v>
      </c>
    </row>
    <row r="44" ht="45.0" customHeight="1">
      <c r="A44" s="55" t="s">
        <v>245</v>
      </c>
      <c r="B44" s="62" t="s">
        <v>4340</v>
      </c>
      <c r="C44" s="22" t="str">
        <f>IMAGE("https://raw.githubusercontent.com/ltdimages/images/refs/heads/main/ClothHeadwearHatFleece_00.png")</f>
        <v/>
      </c>
      <c r="D44" s="22" t="str">
        <f>IMAGE("https://raw.githubusercontent.com/ltdimages/images/refs/heads/main/ClothHeadwearHatFleece_01.png")</f>
        <v/>
      </c>
      <c r="E44" s="22" t="str">
        <f>IMAGE("https://raw.githubusercontent.com/ltdimages/images/refs/heads/main/ClothHeadwearHatFleece_02.png")</f>
        <v/>
      </c>
      <c r="F44" s="22" t="str">
        <f>IMAGE("https://raw.githubusercontent.com/ltdimages/images/refs/heads/main/ClothHeadwearHatFleece_03.png")</f>
        <v/>
      </c>
      <c r="G44" s="22" t="str">
        <f>IMAGE("https://raw.githubusercontent.com/ltdimages/images/refs/heads/main/ClothHeadwearHatFleece_04.png")</f>
        <v/>
      </c>
      <c r="H44" s="22" t="str">
        <f>IMAGE("https://raw.githubusercontent.com/ltdimages/images/refs/heads/main/ClothHeadwearHatFleece_05.png")</f>
        <v/>
      </c>
      <c r="I44" s="22" t="s">
        <v>3095</v>
      </c>
      <c r="J44" s="22" t="s">
        <v>3095</v>
      </c>
      <c r="K44" s="63" t="s">
        <v>3244</v>
      </c>
      <c r="L44" s="23">
        <v>15.4</v>
      </c>
      <c r="M44" s="22" t="s">
        <v>3097</v>
      </c>
      <c r="N44" s="22" t="s">
        <v>3114</v>
      </c>
      <c r="O44" s="22" t="s">
        <v>45</v>
      </c>
      <c r="P44" s="22" t="s">
        <v>45</v>
      </c>
      <c r="Q44" s="22" t="s">
        <v>45</v>
      </c>
      <c r="R44" s="22" t="s">
        <v>45</v>
      </c>
      <c r="S44" s="22" t="s">
        <v>45</v>
      </c>
      <c r="T44" s="22" t="s">
        <v>5441</v>
      </c>
      <c r="U44" s="22" t="s">
        <v>45</v>
      </c>
      <c r="V44" s="22" t="s">
        <v>45</v>
      </c>
      <c r="W44" s="22" t="s">
        <v>5501</v>
      </c>
    </row>
    <row r="45" ht="45.0" customHeight="1">
      <c r="A45" s="55" t="s">
        <v>249</v>
      </c>
      <c r="B45" s="62" t="s">
        <v>4417</v>
      </c>
      <c r="C45" s="22" t="str">
        <f>IMAGE("https://raw.githubusercontent.com/ltdimages/images/refs/heads/main/ClothHeadwearHatCA_00.png")</f>
        <v/>
      </c>
      <c r="D45" s="22" t="str">
        <f>IMAGE("https://raw.githubusercontent.com/ltdimages/images/refs/heads/main/ClothHeadwearHatCA_01.png")</f>
        <v/>
      </c>
      <c r="E45" s="22" t="str">
        <f>IMAGE("https://raw.githubusercontent.com/ltdimages/images/refs/heads/main/ClothHeadwearHatCA_02.png")</f>
        <v/>
      </c>
      <c r="F45" s="22" t="str">
        <f>IMAGE("https://raw.githubusercontent.com/ltdimages/images/refs/heads/main/ClothHeadwearHatCA_03.png")</f>
        <v/>
      </c>
      <c r="G45" s="22" t="str">
        <f>IMAGE("https://raw.githubusercontent.com/ltdimages/images/refs/heads/main/ClothHeadwearHatCA_04.png")</f>
        <v/>
      </c>
      <c r="H45" s="22" t="s">
        <v>3095</v>
      </c>
      <c r="I45" s="22" t="s">
        <v>3095</v>
      </c>
      <c r="J45" s="22" t="s">
        <v>3095</v>
      </c>
      <c r="K45" s="63" t="s">
        <v>3244</v>
      </c>
      <c r="L45" s="23">
        <v>21.0</v>
      </c>
      <c r="M45" s="22" t="s">
        <v>4231</v>
      </c>
      <c r="N45" s="22" t="s">
        <v>3099</v>
      </c>
      <c r="O45" s="22" t="s">
        <v>45</v>
      </c>
      <c r="P45" s="22" t="s">
        <v>45</v>
      </c>
      <c r="Q45" s="22" t="s">
        <v>45</v>
      </c>
      <c r="R45" s="22" t="s">
        <v>49</v>
      </c>
      <c r="S45" s="22" t="s">
        <v>45</v>
      </c>
      <c r="T45" s="22" t="s">
        <v>5441</v>
      </c>
      <c r="U45" s="22" t="s">
        <v>45</v>
      </c>
      <c r="V45" s="22" t="s">
        <v>45</v>
      </c>
      <c r="W45" s="22" t="s">
        <v>5502</v>
      </c>
    </row>
    <row r="46" ht="45.0" customHeight="1">
      <c r="A46" s="55" t="s">
        <v>253</v>
      </c>
      <c r="B46" s="62" t="s">
        <v>4425</v>
      </c>
      <c r="C46" s="22" t="str">
        <f>IMAGE("https://raw.githubusercontent.com/ltdimages/images/refs/heads/main/ClothHeadwearHatFlowerCrown_00.png")</f>
        <v/>
      </c>
      <c r="D46" s="22" t="str">
        <f>IMAGE("https://raw.githubusercontent.com/ltdimages/images/refs/heads/main/ClothHeadwearHatFlowerCrown_01.png")</f>
        <v/>
      </c>
      <c r="E46" s="22" t="str">
        <f>IMAGE("https://raw.githubusercontent.com/ltdimages/images/refs/heads/main/ClothHeadwearHatFlowerCrown_02.png")</f>
        <v/>
      </c>
      <c r="F46" s="22" t="str">
        <f>IMAGE("https://raw.githubusercontent.com/ltdimages/images/refs/heads/main/ClothHeadwearHatFlowerCrown_03.png")</f>
        <v/>
      </c>
      <c r="G46" s="22" t="str">
        <f>IMAGE("https://raw.githubusercontent.com/ltdimages/images/refs/heads/main/ClothHeadwearHatFlowerCrown_04.png")</f>
        <v/>
      </c>
      <c r="H46" s="22" t="str">
        <f>IMAGE("https://raw.githubusercontent.com/ltdimages/images/refs/heads/main/ClothHeadwearHatFlowerCrown_05.png")</f>
        <v/>
      </c>
      <c r="I46" s="22" t="str">
        <f>IMAGE("https://raw.githubusercontent.com/ltdimages/images/refs/heads/main/ClothHeadwearHatFlowerCrown_06.png")</f>
        <v/>
      </c>
      <c r="J46" s="22" t="str">
        <f>IMAGE("https://raw.githubusercontent.com/ltdimages/images/refs/heads/main/ClothHeadwearHatFlowerCrown_07.png")</f>
        <v/>
      </c>
      <c r="K46" s="63" t="s">
        <v>3244</v>
      </c>
      <c r="L46" s="23">
        <v>15.0</v>
      </c>
      <c r="M46" s="22" t="s">
        <v>3097</v>
      </c>
      <c r="N46" s="22" t="s">
        <v>3099</v>
      </c>
      <c r="O46" s="22" t="s">
        <v>45</v>
      </c>
      <c r="P46" s="22" t="s">
        <v>45</v>
      </c>
      <c r="Q46" s="22" t="s">
        <v>45</v>
      </c>
      <c r="R46" s="22" t="s">
        <v>49</v>
      </c>
      <c r="S46" s="22" t="s">
        <v>45</v>
      </c>
      <c r="T46" s="22" t="s">
        <v>5441</v>
      </c>
      <c r="U46" s="22" t="s">
        <v>45</v>
      </c>
      <c r="V46" s="22" t="s">
        <v>45</v>
      </c>
      <c r="W46" s="22" t="s">
        <v>5503</v>
      </c>
    </row>
    <row r="47" ht="45.0" customHeight="1">
      <c r="A47" s="55" t="s">
        <v>257</v>
      </c>
      <c r="B47" s="62" t="s">
        <v>3587</v>
      </c>
      <c r="C47" s="22" t="str">
        <f>IMAGE("https://raw.githubusercontent.com/ltdimages/images/refs/heads/main/ClothHeadwearHatAcademic_00.png")</f>
        <v/>
      </c>
      <c r="D47" s="22" t="str">
        <f>IMAGE("https://raw.githubusercontent.com/ltdimages/images/refs/heads/main/ClothHeadwearHatAcademic_01.png")</f>
        <v/>
      </c>
      <c r="E47" s="22" t="str">
        <f>IMAGE("https://raw.githubusercontent.com/ltdimages/images/refs/heads/main/ClothHeadwearHatAcademic_02.png")</f>
        <v/>
      </c>
      <c r="F47" s="22" t="str">
        <f>IMAGE("https://raw.githubusercontent.com/ltdimages/images/refs/heads/main/ClothHeadwearHatAcademic_03.png")</f>
        <v/>
      </c>
      <c r="G47" s="22" t="s">
        <v>3095</v>
      </c>
      <c r="H47" s="22" t="s">
        <v>3095</v>
      </c>
      <c r="I47" s="22" t="s">
        <v>3095</v>
      </c>
      <c r="J47" s="22" t="s">
        <v>3095</v>
      </c>
      <c r="K47" s="63" t="s">
        <v>3244</v>
      </c>
      <c r="L47" s="23">
        <v>19.0</v>
      </c>
      <c r="M47" s="22" t="s">
        <v>3097</v>
      </c>
      <c r="N47" s="22" t="s">
        <v>3099</v>
      </c>
      <c r="O47" s="22" t="s">
        <v>45</v>
      </c>
      <c r="P47" s="22" t="s">
        <v>45</v>
      </c>
      <c r="Q47" s="22" t="s">
        <v>45</v>
      </c>
      <c r="R47" s="22" t="s">
        <v>45</v>
      </c>
      <c r="S47" s="22" t="s">
        <v>45</v>
      </c>
      <c r="T47" s="22" t="s">
        <v>5441</v>
      </c>
      <c r="U47" s="22" t="s">
        <v>45</v>
      </c>
      <c r="V47" s="22" t="s">
        <v>45</v>
      </c>
      <c r="W47" s="22" t="s">
        <v>5504</v>
      </c>
    </row>
    <row r="48" ht="45.0" customHeight="1">
      <c r="A48" s="55" t="s">
        <v>261</v>
      </c>
      <c r="B48" s="62" t="s">
        <v>5505</v>
      </c>
      <c r="C48" s="22" t="str">
        <f>IMAGE("https://raw.githubusercontent.com/ltdimages/images/refs/heads/main/ClothHeadwearHatGuapimao_00.png")</f>
        <v/>
      </c>
      <c r="D48" s="22" t="str">
        <f>IMAGE("https://raw.githubusercontent.com/ltdimages/images/refs/heads/main/ClothHeadwearHatGuapimao_01.png")</f>
        <v/>
      </c>
      <c r="E48" s="22" t="str">
        <f>IMAGE("https://raw.githubusercontent.com/ltdimages/images/refs/heads/main/ClothHeadwearHatGuapimao_02.png")</f>
        <v/>
      </c>
      <c r="F48" s="22" t="str">
        <f>IMAGE("https://raw.githubusercontent.com/ltdimages/images/refs/heads/main/ClothHeadwearHatGuapimao_03.png")</f>
        <v/>
      </c>
      <c r="G48" s="22" t="s">
        <v>3095</v>
      </c>
      <c r="H48" s="22" t="s">
        <v>3095</v>
      </c>
      <c r="I48" s="22" t="s">
        <v>3095</v>
      </c>
      <c r="J48" s="22" t="s">
        <v>3095</v>
      </c>
      <c r="K48" s="63" t="s">
        <v>3244</v>
      </c>
      <c r="L48" s="23">
        <v>25.0</v>
      </c>
      <c r="M48" s="22" t="s">
        <v>3097</v>
      </c>
      <c r="N48" s="22" t="s">
        <v>3099</v>
      </c>
      <c r="O48" s="22" t="s">
        <v>45</v>
      </c>
      <c r="P48" s="22" t="s">
        <v>45</v>
      </c>
      <c r="Q48" s="22" t="s">
        <v>45</v>
      </c>
      <c r="R48" s="22" t="s">
        <v>45</v>
      </c>
      <c r="S48" s="22" t="s">
        <v>45</v>
      </c>
      <c r="T48" s="22" t="s">
        <v>5441</v>
      </c>
      <c r="U48" s="22" t="s">
        <v>45</v>
      </c>
      <c r="V48" s="22" t="s">
        <v>45</v>
      </c>
      <c r="W48" s="22" t="s">
        <v>5506</v>
      </c>
    </row>
    <row r="49" ht="45.0" customHeight="1">
      <c r="A49" s="55" t="s">
        <v>265</v>
      </c>
      <c r="B49" s="62" t="s">
        <v>3600</v>
      </c>
      <c r="C49" s="22" t="str">
        <f>IMAGE("https://raw.githubusercontent.com/ltdimages/images/refs/heads/main/ClothHeadwearHatHeart_00.png")</f>
        <v/>
      </c>
      <c r="D49" s="22" t="str">
        <f>IMAGE("https://raw.githubusercontent.com/ltdimages/images/refs/heads/main/ClothHeadwearHatHeart_01.png")</f>
        <v/>
      </c>
      <c r="E49" s="22" t="str">
        <f>IMAGE("https://raw.githubusercontent.com/ltdimages/images/refs/heads/main/ClothHeadwearHatHeart_02.png")</f>
        <v/>
      </c>
      <c r="F49" s="22" t="str">
        <f>IMAGE("https://raw.githubusercontent.com/ltdimages/images/refs/heads/main/ClothHeadwearHatHeart_03.png")</f>
        <v/>
      </c>
      <c r="G49" s="22" t="str">
        <f>IMAGE("https://raw.githubusercontent.com/ltdimages/images/refs/heads/main/ClothHeadwearHatHeart_04.png")</f>
        <v/>
      </c>
      <c r="H49" s="22" t="str">
        <f>IMAGE("https://raw.githubusercontent.com/ltdimages/images/refs/heads/main/ClothHeadwearHatHeart_05.png")</f>
        <v/>
      </c>
      <c r="I49" s="22" t="str">
        <f>IMAGE("https://raw.githubusercontent.com/ltdimages/images/refs/heads/main/ClothHeadwearHatHeart_06.png")</f>
        <v/>
      </c>
      <c r="J49" s="22" t="str">
        <f>IMAGE("https://raw.githubusercontent.com/ltdimages/images/refs/heads/main/ClothHeadwearHatHeart_07.png")</f>
        <v/>
      </c>
      <c r="K49" s="63" t="s">
        <v>3244</v>
      </c>
      <c r="L49" s="23">
        <v>11.0</v>
      </c>
      <c r="M49" s="22" t="s">
        <v>3097</v>
      </c>
      <c r="N49" s="22" t="s">
        <v>3099</v>
      </c>
      <c r="O49" s="22" t="s">
        <v>45</v>
      </c>
      <c r="P49" s="22" t="s">
        <v>45</v>
      </c>
      <c r="Q49" s="22" t="s">
        <v>45</v>
      </c>
      <c r="R49" s="22" t="s">
        <v>45</v>
      </c>
      <c r="S49" s="22" t="s">
        <v>45</v>
      </c>
      <c r="T49" s="22" t="s">
        <v>5441</v>
      </c>
      <c r="U49" s="22" t="s">
        <v>45</v>
      </c>
      <c r="V49" s="22" t="s">
        <v>45</v>
      </c>
      <c r="W49" s="22" t="s">
        <v>5507</v>
      </c>
    </row>
    <row r="50" ht="45.0" customHeight="1">
      <c r="A50" s="55" t="s">
        <v>269</v>
      </c>
      <c r="B50" s="62" t="s">
        <v>5508</v>
      </c>
      <c r="C50" s="22" t="str">
        <f>IMAGE("https://raw.githubusercontent.com/ltdimages/images/refs/heads/main/ClothHeadwearHatHologram_00.png")</f>
        <v/>
      </c>
      <c r="D50" s="22" t="str">
        <f>IMAGE("https://raw.githubusercontent.com/ltdimages/images/refs/heads/main/ClothHeadwearHatHologram_01.png")</f>
        <v/>
      </c>
      <c r="E50" s="22" t="str">
        <f>IMAGE("https://raw.githubusercontent.com/ltdimages/images/refs/heads/main/ClothHeadwearHatHologram_02.png")</f>
        <v/>
      </c>
      <c r="F50" s="22" t="s">
        <v>3095</v>
      </c>
      <c r="G50" s="22" t="s">
        <v>3095</v>
      </c>
      <c r="H50" s="22" t="s">
        <v>3095</v>
      </c>
      <c r="I50" s="22" t="s">
        <v>3095</v>
      </c>
      <c r="J50" s="22" t="s">
        <v>3095</v>
      </c>
      <c r="K50" s="63" t="s">
        <v>3244</v>
      </c>
      <c r="L50" s="23">
        <v>17.8</v>
      </c>
      <c r="M50" s="22" t="s">
        <v>3097</v>
      </c>
      <c r="N50" s="22" t="s">
        <v>3099</v>
      </c>
      <c r="O50" s="22" t="s">
        <v>45</v>
      </c>
      <c r="P50" s="22" t="s">
        <v>45</v>
      </c>
      <c r="Q50" s="22" t="s">
        <v>45</v>
      </c>
      <c r="R50" s="22" t="s">
        <v>49</v>
      </c>
      <c r="S50" s="22" t="s">
        <v>45</v>
      </c>
      <c r="T50" s="22" t="s">
        <v>5441</v>
      </c>
      <c r="U50" s="22" t="s">
        <v>45</v>
      </c>
      <c r="V50" s="22" t="s">
        <v>45</v>
      </c>
      <c r="W50" s="22" t="s">
        <v>5509</v>
      </c>
    </row>
    <row r="51" ht="45.0" customHeight="1">
      <c r="A51" s="55" t="s">
        <v>273</v>
      </c>
      <c r="B51" s="62" t="s">
        <v>4172</v>
      </c>
      <c r="C51" s="22" t="str">
        <f>IMAGE("https://raw.githubusercontent.com/ltdimages/images/refs/heads/main/ClothHeadwearHatHunting_00.png")</f>
        <v/>
      </c>
      <c r="D51" s="22" t="str">
        <f>IMAGE("https://raw.githubusercontent.com/ltdimages/images/refs/heads/main/ClothHeadwearHatHunting_01.png")</f>
        <v/>
      </c>
      <c r="E51" s="22" t="str">
        <f>IMAGE("https://raw.githubusercontent.com/ltdimages/images/refs/heads/main/ClothHeadwearHatHunting_02.png")</f>
        <v/>
      </c>
      <c r="F51" s="22" t="str">
        <f>IMAGE("https://raw.githubusercontent.com/ltdimages/images/refs/heads/main/ClothHeadwearHatHunting_03.png")</f>
        <v/>
      </c>
      <c r="G51" s="22" t="str">
        <f>IMAGE("https://raw.githubusercontent.com/ltdimages/images/refs/heads/main/ClothHeadwearHatHunting_04.png")</f>
        <v/>
      </c>
      <c r="H51" s="22" t="str">
        <f>IMAGE("https://raw.githubusercontent.com/ltdimages/images/refs/heads/main/ClothHeadwearHatHunting_05.png")</f>
        <v/>
      </c>
      <c r="I51" s="22" t="str">
        <f>IMAGE("https://raw.githubusercontent.com/ltdimages/images/refs/heads/main/ClothHeadwearHatHunting_06.png")</f>
        <v/>
      </c>
      <c r="J51" s="22" t="str">
        <f>IMAGE("https://raw.githubusercontent.com/ltdimages/images/refs/heads/main/ClothHeadwearHatHunting_07.png")</f>
        <v/>
      </c>
      <c r="K51" s="63" t="s">
        <v>3244</v>
      </c>
      <c r="L51" s="23">
        <v>16.0</v>
      </c>
      <c r="M51" s="22" t="s">
        <v>3097</v>
      </c>
      <c r="N51" s="22" t="s">
        <v>3099</v>
      </c>
      <c r="O51" s="22" t="s">
        <v>45</v>
      </c>
      <c r="P51" s="22" t="s">
        <v>45</v>
      </c>
      <c r="Q51" s="22" t="s">
        <v>45</v>
      </c>
      <c r="R51" s="22" t="s">
        <v>45</v>
      </c>
      <c r="S51" s="22" t="s">
        <v>45</v>
      </c>
      <c r="T51" s="22" t="s">
        <v>5441</v>
      </c>
      <c r="U51" s="22" t="s">
        <v>45</v>
      </c>
      <c r="V51" s="22" t="s">
        <v>45</v>
      </c>
      <c r="W51" s="22" t="s">
        <v>5510</v>
      </c>
    </row>
    <row r="52" ht="45.0" customHeight="1">
      <c r="A52" s="55" t="s">
        <v>277</v>
      </c>
      <c r="B52" s="62" t="s">
        <v>3662</v>
      </c>
      <c r="C52" s="22" t="str">
        <f>IMAGE("https://raw.githubusercontent.com/ltdimages/images/refs/heads/main/ClothHeadwearHatJapan_00.png")</f>
        <v/>
      </c>
      <c r="D52" s="22" t="str">
        <f>IMAGE("https://raw.githubusercontent.com/ltdimages/images/refs/heads/main/ClothHeadwearHatJapan_01.png")</f>
        <v/>
      </c>
      <c r="E52" s="22" t="str">
        <f>IMAGE("https://raw.githubusercontent.com/ltdimages/images/refs/heads/main/ClothHeadwearHatJapan_02.png")</f>
        <v/>
      </c>
      <c r="F52" s="22" t="str">
        <f>IMAGE("https://raw.githubusercontent.com/ltdimages/images/refs/heads/main/ClothHeadwearHatJapan_03.png")</f>
        <v/>
      </c>
      <c r="G52" s="22" t="s">
        <v>3095</v>
      </c>
      <c r="H52" s="22" t="s">
        <v>3095</v>
      </c>
      <c r="I52" s="22" t="s">
        <v>3095</v>
      </c>
      <c r="J52" s="22" t="s">
        <v>3095</v>
      </c>
      <c r="K52" s="63" t="s">
        <v>3244</v>
      </c>
      <c r="L52" s="23">
        <v>16.5</v>
      </c>
      <c r="M52" s="22" t="s">
        <v>3097</v>
      </c>
      <c r="N52" s="22" t="s">
        <v>3099</v>
      </c>
      <c r="O52" s="22" t="s">
        <v>45</v>
      </c>
      <c r="P52" s="22" t="s">
        <v>45</v>
      </c>
      <c r="Q52" s="22" t="s">
        <v>45</v>
      </c>
      <c r="R52" s="22" t="s">
        <v>45</v>
      </c>
      <c r="S52" s="22" t="s">
        <v>45</v>
      </c>
      <c r="T52" s="22" t="s">
        <v>5441</v>
      </c>
      <c r="U52" s="22" t="s">
        <v>45</v>
      </c>
      <c r="V52" s="22" t="s">
        <v>45</v>
      </c>
      <c r="W52" s="22" t="s">
        <v>5511</v>
      </c>
    </row>
    <row r="53" ht="45.0" customHeight="1">
      <c r="A53" s="55" t="s">
        <v>281</v>
      </c>
      <c r="B53" s="62" t="s">
        <v>3666</v>
      </c>
      <c r="C53" s="22" t="str">
        <f>IMAGE("https://raw.githubusercontent.com/ltdimages/images/refs/heads/main/ClothHeadwearHatPierrot_00.png")</f>
        <v/>
      </c>
      <c r="D53" s="22" t="str">
        <f>IMAGE("https://raw.githubusercontent.com/ltdimages/images/refs/heads/main/ClothHeadwearHatPierrot_01.png")</f>
        <v/>
      </c>
      <c r="E53" s="22" t="str">
        <f>IMAGE("https://raw.githubusercontent.com/ltdimages/images/refs/heads/main/ClothHeadwearHatPierrot_02.png")</f>
        <v/>
      </c>
      <c r="F53" s="22" t="str">
        <f>IMAGE("https://raw.githubusercontent.com/ltdimages/images/refs/heads/main/ClothHeadwearHatPierrot_03.png")</f>
        <v/>
      </c>
      <c r="G53" s="22" t="s">
        <v>3095</v>
      </c>
      <c r="H53" s="22" t="s">
        <v>3095</v>
      </c>
      <c r="I53" s="22" t="s">
        <v>3095</v>
      </c>
      <c r="J53" s="22" t="s">
        <v>3095</v>
      </c>
      <c r="K53" s="63" t="s">
        <v>3244</v>
      </c>
      <c r="L53" s="23">
        <v>22.0</v>
      </c>
      <c r="M53" s="22" t="s">
        <v>3097</v>
      </c>
      <c r="N53" s="22" t="s">
        <v>3099</v>
      </c>
      <c r="O53" s="22" t="s">
        <v>45</v>
      </c>
      <c r="P53" s="22" t="s">
        <v>45</v>
      </c>
      <c r="Q53" s="22" t="s">
        <v>45</v>
      </c>
      <c r="R53" s="22" t="s">
        <v>49</v>
      </c>
      <c r="S53" s="22" t="s">
        <v>45</v>
      </c>
      <c r="T53" s="22" t="s">
        <v>5441</v>
      </c>
      <c r="U53" s="22" t="s">
        <v>45</v>
      </c>
      <c r="V53" s="22" t="s">
        <v>45</v>
      </c>
      <c r="W53" s="22" t="s">
        <v>5512</v>
      </c>
    </row>
    <row r="54" ht="45.0" customHeight="1">
      <c r="A54" s="55" t="s">
        <v>285</v>
      </c>
      <c r="B54" s="62" t="s">
        <v>3672</v>
      </c>
      <c r="C54" s="22" t="str">
        <f>IMAGE("https://raw.githubusercontent.com/ltdimages/images/refs/heads/main/ClothHeadwearHatJockey_00.png")</f>
        <v/>
      </c>
      <c r="D54" s="22" t="str">
        <f>IMAGE("https://raw.githubusercontent.com/ltdimages/images/refs/heads/main/ClothHeadwearHatJockey_01.png")</f>
        <v/>
      </c>
      <c r="E54" s="22" t="str">
        <f>IMAGE("https://raw.githubusercontent.com/ltdimages/images/refs/heads/main/ClothHeadwearHatJockey_02.png")</f>
        <v/>
      </c>
      <c r="F54" s="22" t="str">
        <f>IMAGE("https://raw.githubusercontent.com/ltdimages/images/refs/heads/main/ClothHeadwearHatJockey_03.png")</f>
        <v/>
      </c>
      <c r="G54" s="22" t="str">
        <f>IMAGE("https://raw.githubusercontent.com/ltdimages/images/refs/heads/main/ClothHeadwearHatJockey_04.png")</f>
        <v/>
      </c>
      <c r="H54" s="22" t="str">
        <f>IMAGE("https://raw.githubusercontent.com/ltdimages/images/refs/heads/main/ClothHeadwearHatJockey_05.png")</f>
        <v/>
      </c>
      <c r="I54" s="22" t="str">
        <f>IMAGE("https://raw.githubusercontent.com/ltdimages/images/refs/heads/main/ClothHeadwearHatJockey_06.png")</f>
        <v/>
      </c>
      <c r="J54" s="22" t="str">
        <f>IMAGE("https://raw.githubusercontent.com/ltdimages/images/refs/heads/main/ClothHeadwearHatJockey_07.png")</f>
        <v/>
      </c>
      <c r="K54" s="63" t="s">
        <v>3244</v>
      </c>
      <c r="L54" s="23">
        <v>17.0</v>
      </c>
      <c r="M54" s="22" t="s">
        <v>3097</v>
      </c>
      <c r="N54" s="22" t="s">
        <v>3099</v>
      </c>
      <c r="O54" s="22" t="s">
        <v>45</v>
      </c>
      <c r="P54" s="22" t="s">
        <v>45</v>
      </c>
      <c r="Q54" s="22" t="s">
        <v>45</v>
      </c>
      <c r="R54" s="22" t="s">
        <v>45</v>
      </c>
      <c r="S54" s="22" t="s">
        <v>45</v>
      </c>
      <c r="T54" s="22" t="s">
        <v>5441</v>
      </c>
      <c r="U54" s="22" t="s">
        <v>45</v>
      </c>
      <c r="V54" s="22" t="s">
        <v>45</v>
      </c>
      <c r="W54" s="22" t="s">
        <v>5513</v>
      </c>
    </row>
    <row r="55" ht="45.0" customHeight="1">
      <c r="A55" s="55" t="s">
        <v>289</v>
      </c>
      <c r="B55" s="62" t="s">
        <v>5514</v>
      </c>
      <c r="C55" s="22" t="str">
        <f>IMAGE("https://raw.githubusercontent.com/ltdimages/images/refs/heads/main/ClothHeadwearHatKerchief_00.png")</f>
        <v/>
      </c>
      <c r="D55" s="22" t="str">
        <f>IMAGE("https://raw.githubusercontent.com/ltdimages/images/refs/heads/main/ClothHeadwearHatKerchief_01.png")</f>
        <v/>
      </c>
      <c r="E55" s="22" t="str">
        <f>IMAGE("https://raw.githubusercontent.com/ltdimages/images/refs/heads/main/ClothHeadwearHatKerchief_02.png")</f>
        <v/>
      </c>
      <c r="F55" s="22" t="str">
        <f>IMAGE("https://raw.githubusercontent.com/ltdimages/images/refs/heads/main/ClothHeadwearHatKerchief_03.png")</f>
        <v/>
      </c>
      <c r="G55" s="22" t="str">
        <f>IMAGE("https://raw.githubusercontent.com/ltdimages/images/refs/heads/main/ClothHeadwearHatKerchief_04.png")</f>
        <v/>
      </c>
      <c r="H55" s="22" t="str">
        <f>IMAGE("https://raw.githubusercontent.com/ltdimages/images/refs/heads/main/ClothHeadwearHatKerchief_05.png")</f>
        <v/>
      </c>
      <c r="I55" s="22" t="str">
        <f>IMAGE("https://raw.githubusercontent.com/ltdimages/images/refs/heads/main/ClothHeadwearHatKerchief_06.png")</f>
        <v/>
      </c>
      <c r="J55" s="22" t="str">
        <f>IMAGE("https://raw.githubusercontent.com/ltdimages/images/refs/heads/main/ClothHeadwearHatKerchief_07.png")</f>
        <v/>
      </c>
      <c r="K55" s="63" t="s">
        <v>3244</v>
      </c>
      <c r="L55" s="23">
        <v>9.0</v>
      </c>
      <c r="M55" s="22" t="s">
        <v>3097</v>
      </c>
      <c r="N55" s="22" t="s">
        <v>3099</v>
      </c>
      <c r="O55" s="22" t="s">
        <v>45</v>
      </c>
      <c r="P55" s="22" t="s">
        <v>45</v>
      </c>
      <c r="Q55" s="22" t="s">
        <v>45</v>
      </c>
      <c r="R55" s="22" t="s">
        <v>45</v>
      </c>
      <c r="S55" s="22" t="s">
        <v>45</v>
      </c>
      <c r="T55" s="22" t="s">
        <v>5441</v>
      </c>
      <c r="U55" s="22" t="s">
        <v>45</v>
      </c>
      <c r="V55" s="22" t="s">
        <v>45</v>
      </c>
      <c r="W55" s="22" t="s">
        <v>5515</v>
      </c>
    </row>
    <row r="56" ht="45.0" customHeight="1">
      <c r="A56" s="55" t="s">
        <v>293</v>
      </c>
      <c r="B56" s="62" t="s">
        <v>5516</v>
      </c>
      <c r="C56" s="22" t="str">
        <f>IMAGE("https://raw.githubusercontent.com/ltdimages/images/refs/heads/main/ClothHeadwearHatMesh_00.png")</f>
        <v/>
      </c>
      <c r="D56" s="22" t="str">
        <f>IMAGE("https://raw.githubusercontent.com/ltdimages/images/refs/heads/main/ClothHeadwearHatMesh_01.png")</f>
        <v/>
      </c>
      <c r="E56" s="22" t="str">
        <f>IMAGE("https://raw.githubusercontent.com/ltdimages/images/refs/heads/main/ClothHeadwearHatMesh_02.png")</f>
        <v/>
      </c>
      <c r="F56" s="22" t="str">
        <f>IMAGE("https://raw.githubusercontent.com/ltdimages/images/refs/heads/main/ClothHeadwearHatMesh_03.png")</f>
        <v/>
      </c>
      <c r="G56" s="22" t="str">
        <f>IMAGE("https://raw.githubusercontent.com/ltdimages/images/refs/heads/main/ClothHeadwearHatMesh_04.png")</f>
        <v/>
      </c>
      <c r="H56" s="22" t="str">
        <f>IMAGE("https://raw.githubusercontent.com/ltdimages/images/refs/heads/main/ClothHeadwearHatMesh_05.png")</f>
        <v/>
      </c>
      <c r="I56" s="22" t="s">
        <v>3095</v>
      </c>
      <c r="J56" s="22" t="s">
        <v>3095</v>
      </c>
      <c r="K56" s="63" t="s">
        <v>3244</v>
      </c>
      <c r="L56" s="23">
        <v>16.0</v>
      </c>
      <c r="M56" s="22" t="s">
        <v>3097</v>
      </c>
      <c r="N56" s="22" t="s">
        <v>3099</v>
      </c>
      <c r="O56" s="22" t="s">
        <v>45</v>
      </c>
      <c r="P56" s="22" t="s">
        <v>45</v>
      </c>
      <c r="Q56" s="22" t="s">
        <v>45</v>
      </c>
      <c r="R56" s="22" t="s">
        <v>45</v>
      </c>
      <c r="S56" s="22" t="s">
        <v>45</v>
      </c>
      <c r="T56" s="22" t="s">
        <v>5441</v>
      </c>
      <c r="U56" s="22" t="s">
        <v>45</v>
      </c>
      <c r="V56" s="22" t="s">
        <v>45</v>
      </c>
      <c r="W56" s="22" t="s">
        <v>5517</v>
      </c>
    </row>
    <row r="57" ht="45.0" customHeight="1">
      <c r="A57" s="55" t="s">
        <v>297</v>
      </c>
      <c r="B57" s="62" t="s">
        <v>3887</v>
      </c>
      <c r="C57" s="22" t="str">
        <f>IMAGE("https://raw.githubusercontent.com/ltdimages/images/refs/heads/main/ClothHeadwearHatMetro_00.png")</f>
        <v/>
      </c>
      <c r="D57" s="22" t="str">
        <f>IMAGE("https://raw.githubusercontent.com/ltdimages/images/refs/heads/main/ClothHeadwearHatMetro_01.png")</f>
        <v/>
      </c>
      <c r="E57" s="22" t="str">
        <f>IMAGE("https://raw.githubusercontent.com/ltdimages/images/refs/heads/main/ClothHeadwearHatMetro_02.png")</f>
        <v/>
      </c>
      <c r="F57" s="22" t="str">
        <f>IMAGE("https://raw.githubusercontent.com/ltdimages/images/refs/heads/main/ClothHeadwearHatMetro_03.png")</f>
        <v/>
      </c>
      <c r="G57" s="22" t="str">
        <f>IMAGE("https://raw.githubusercontent.com/ltdimages/images/refs/heads/main/ClothHeadwearHatMetro_04.png")</f>
        <v/>
      </c>
      <c r="H57" s="22" t="str">
        <f>IMAGE("https://raw.githubusercontent.com/ltdimages/images/refs/heads/main/ClothHeadwearHatMetro_05.png")</f>
        <v/>
      </c>
      <c r="I57" s="22" t="str">
        <f>IMAGE("https://raw.githubusercontent.com/ltdimages/images/refs/heads/main/ClothHeadwearHatMetro_06.png")</f>
        <v/>
      </c>
      <c r="J57" s="22" t="str">
        <f>IMAGE("https://raw.githubusercontent.com/ltdimages/images/refs/heads/main/ClothHeadwearHatMetro_07.png")</f>
        <v/>
      </c>
      <c r="K57" s="63" t="s">
        <v>3244</v>
      </c>
      <c r="L57" s="23">
        <v>17.0</v>
      </c>
      <c r="M57" s="22" t="s">
        <v>3097</v>
      </c>
      <c r="N57" s="22" t="s">
        <v>3099</v>
      </c>
      <c r="O57" s="22" t="s">
        <v>45</v>
      </c>
      <c r="P57" s="22" t="s">
        <v>45</v>
      </c>
      <c r="Q57" s="22" t="s">
        <v>45</v>
      </c>
      <c r="R57" s="22" t="s">
        <v>45</v>
      </c>
      <c r="S57" s="22" t="s">
        <v>45</v>
      </c>
      <c r="T57" s="22" t="s">
        <v>5441</v>
      </c>
      <c r="U57" s="22" t="s">
        <v>45</v>
      </c>
      <c r="V57" s="22" t="s">
        <v>45</v>
      </c>
      <c r="W57" s="22" t="s">
        <v>5518</v>
      </c>
    </row>
    <row r="58" ht="45.0" customHeight="1">
      <c r="A58" s="55" t="s">
        <v>301</v>
      </c>
      <c r="B58" s="62" t="s">
        <v>3742</v>
      </c>
      <c r="C58" s="22" t="str">
        <f>IMAGE("https://raw.githubusercontent.com/ltdimages/images/refs/heads/main/ClothHeadwearHatMummy_00.png")</f>
        <v/>
      </c>
      <c r="D58" s="22" t="s">
        <v>3095</v>
      </c>
      <c r="E58" s="22" t="s">
        <v>3095</v>
      </c>
      <c r="F58" s="22" t="s">
        <v>3095</v>
      </c>
      <c r="G58" s="22" t="s">
        <v>3095</v>
      </c>
      <c r="H58" s="22" t="s">
        <v>3095</v>
      </c>
      <c r="I58" s="22" t="s">
        <v>3095</v>
      </c>
      <c r="J58" s="22" t="s">
        <v>3095</v>
      </c>
      <c r="K58" s="63" t="s">
        <v>3244</v>
      </c>
      <c r="L58" s="23">
        <v>25.0</v>
      </c>
      <c r="M58" s="22" t="s">
        <v>3097</v>
      </c>
      <c r="N58" s="22" t="s">
        <v>3099</v>
      </c>
      <c r="O58" s="22" t="s">
        <v>45</v>
      </c>
      <c r="P58" s="22" t="s">
        <v>45</v>
      </c>
      <c r="Q58" s="22" t="s">
        <v>45</v>
      </c>
      <c r="R58" s="22" t="s">
        <v>49</v>
      </c>
      <c r="S58" s="22" t="s">
        <v>45</v>
      </c>
      <c r="T58" s="22" t="s">
        <v>5441</v>
      </c>
      <c r="U58" s="22" t="s">
        <v>45</v>
      </c>
      <c r="V58" s="22" t="s">
        <v>45</v>
      </c>
      <c r="W58" s="22" t="s">
        <v>5519</v>
      </c>
    </row>
    <row r="59" ht="45.0" customHeight="1">
      <c r="A59" s="55" t="s">
        <v>305</v>
      </c>
      <c r="B59" s="62" t="s">
        <v>3746</v>
      </c>
      <c r="C59" s="22" t="str">
        <f>IMAGE("https://raw.githubusercontent.com/ltdimages/images/refs/heads/main/ClothHeadwearHatMushroom_00.png")</f>
        <v/>
      </c>
      <c r="D59" s="22" t="str">
        <f>IMAGE("https://raw.githubusercontent.com/ltdimages/images/refs/heads/main/ClothHeadwearHatMushroom_01.png")</f>
        <v/>
      </c>
      <c r="E59" s="22" t="str">
        <f>IMAGE("https://raw.githubusercontent.com/ltdimages/images/refs/heads/main/ClothHeadwearHatMushroom_02.png")</f>
        <v/>
      </c>
      <c r="F59" s="22" t="str">
        <f>IMAGE("https://raw.githubusercontent.com/ltdimages/images/refs/heads/main/ClothHeadwearHatMushroom_03.png")</f>
        <v/>
      </c>
      <c r="G59" s="22" t="str">
        <f>IMAGE("https://raw.githubusercontent.com/ltdimages/images/refs/heads/main/ClothHeadwearHatMushroom_04.png")</f>
        <v/>
      </c>
      <c r="H59" s="22" t="str">
        <f>IMAGE("https://raw.githubusercontent.com/ltdimages/images/refs/heads/main/ClothHeadwearHatMushroom_05.png")</f>
        <v/>
      </c>
      <c r="I59" s="22" t="str">
        <f>IMAGE("https://raw.githubusercontent.com/ltdimages/images/refs/heads/main/ClothHeadwearHatMushroom_06.png")</f>
        <v/>
      </c>
      <c r="J59" s="22" t="str">
        <f>IMAGE("https://raw.githubusercontent.com/ltdimages/images/refs/heads/main/ClothHeadwearHatMushroom_07.png")</f>
        <v/>
      </c>
      <c r="K59" s="63" t="s">
        <v>3244</v>
      </c>
      <c r="L59" s="23">
        <v>21.0</v>
      </c>
      <c r="M59" s="22" t="s">
        <v>3097</v>
      </c>
      <c r="N59" s="22" t="s">
        <v>3099</v>
      </c>
      <c r="O59" s="22" t="s">
        <v>45</v>
      </c>
      <c r="P59" s="22" t="s">
        <v>45</v>
      </c>
      <c r="Q59" s="22" t="s">
        <v>45</v>
      </c>
      <c r="R59" s="22" t="s">
        <v>49</v>
      </c>
      <c r="S59" s="22" t="s">
        <v>45</v>
      </c>
      <c r="T59" s="22" t="s">
        <v>5441</v>
      </c>
      <c r="U59" s="22" t="s">
        <v>45</v>
      </c>
      <c r="V59" s="22" t="s">
        <v>45</v>
      </c>
      <c r="W59" s="22" t="s">
        <v>5520</v>
      </c>
    </row>
    <row r="60" ht="45.0" customHeight="1">
      <c r="A60" s="55" t="s">
        <v>309</v>
      </c>
      <c r="B60" s="62" t="s">
        <v>4334</v>
      </c>
      <c r="C60" s="22" t="str">
        <f>IMAGE("https://raw.githubusercontent.com/ltdimages/images/refs/heads/main/ClothHeadwearHatNewsboy_00.png")</f>
        <v/>
      </c>
      <c r="D60" s="22" t="str">
        <f>IMAGE("https://raw.githubusercontent.com/ltdimages/images/refs/heads/main/ClothHeadwearHatNewsboy_01.png")</f>
        <v/>
      </c>
      <c r="E60" s="22" t="str">
        <f>IMAGE("https://raw.githubusercontent.com/ltdimages/images/refs/heads/main/ClothHeadwearHatNewsboy_02.png")</f>
        <v/>
      </c>
      <c r="F60" s="22" t="str">
        <f>IMAGE("https://raw.githubusercontent.com/ltdimages/images/refs/heads/main/ClothHeadwearHatNewsboy_03.png")</f>
        <v/>
      </c>
      <c r="G60" s="22" t="str">
        <f>IMAGE("https://raw.githubusercontent.com/ltdimages/images/refs/heads/main/ClothHeadwearHatNewsboy_04.png")</f>
        <v/>
      </c>
      <c r="H60" s="22" t="str">
        <f>IMAGE("https://raw.githubusercontent.com/ltdimages/images/refs/heads/main/ClothHeadwearHatNewsboy_05.png")</f>
        <v/>
      </c>
      <c r="I60" s="22" t="str">
        <f>IMAGE("https://raw.githubusercontent.com/ltdimages/images/refs/heads/main/ClothHeadwearHatNewsboy_06.png")</f>
        <v/>
      </c>
      <c r="J60" s="22" t="str">
        <f>IMAGE("https://raw.githubusercontent.com/ltdimages/images/refs/heads/main/ClothHeadwearHatNewsboy_07.png")</f>
        <v/>
      </c>
      <c r="K60" s="63" t="s">
        <v>3244</v>
      </c>
      <c r="L60" s="23">
        <v>18.0</v>
      </c>
      <c r="M60" s="22" t="s">
        <v>3097</v>
      </c>
      <c r="N60" s="22" t="s">
        <v>3099</v>
      </c>
      <c r="O60" s="22" t="s">
        <v>45</v>
      </c>
      <c r="P60" s="22" t="s">
        <v>45</v>
      </c>
      <c r="Q60" s="22" t="s">
        <v>45</v>
      </c>
      <c r="R60" s="22" t="s">
        <v>45</v>
      </c>
      <c r="S60" s="22" t="s">
        <v>45</v>
      </c>
      <c r="T60" s="22" t="s">
        <v>5441</v>
      </c>
      <c r="U60" s="22" t="s">
        <v>45</v>
      </c>
      <c r="V60" s="22" t="s">
        <v>45</v>
      </c>
      <c r="W60" s="22" t="s">
        <v>5521</v>
      </c>
    </row>
    <row r="61" ht="45.0" customHeight="1">
      <c r="A61" s="55" t="s">
        <v>313</v>
      </c>
      <c r="B61" s="62" t="s">
        <v>3511</v>
      </c>
      <c r="C61" s="22" t="str">
        <f>IMAGE("https://raw.githubusercontent.com/ltdimages/images/refs/heads/main/ClothHeadwearHatOutdoor_00.png")</f>
        <v/>
      </c>
      <c r="D61" s="22" t="str">
        <f>IMAGE("https://raw.githubusercontent.com/ltdimages/images/refs/heads/main/ClothHeadwearHatOutdoor_01.png")</f>
        <v/>
      </c>
      <c r="E61" s="22" t="str">
        <f>IMAGE("https://raw.githubusercontent.com/ltdimages/images/refs/heads/main/ClothHeadwearHatOutdoor_02.png")</f>
        <v/>
      </c>
      <c r="F61" s="22" t="str">
        <f>IMAGE("https://raw.githubusercontent.com/ltdimages/images/refs/heads/main/ClothHeadwearHatOutdoor_03.png")</f>
        <v/>
      </c>
      <c r="G61" s="22" t="str">
        <f>IMAGE("https://raw.githubusercontent.com/ltdimages/images/refs/heads/main/ClothHeadwearHatOutdoor_04.png")</f>
        <v/>
      </c>
      <c r="H61" s="22" t="str">
        <f>IMAGE("https://raw.githubusercontent.com/ltdimages/images/refs/heads/main/ClothHeadwearHatOutdoor_05.png")</f>
        <v/>
      </c>
      <c r="I61" s="22" t="str">
        <f>IMAGE("https://raw.githubusercontent.com/ltdimages/images/refs/heads/main/ClothHeadwearHatOutdoor_06.png")</f>
        <v/>
      </c>
      <c r="J61" s="22" t="str">
        <f>IMAGE("https://raw.githubusercontent.com/ltdimages/images/refs/heads/main/ClothHeadwearHatOutdoor_07.png")</f>
        <v/>
      </c>
      <c r="K61" s="63" t="s">
        <v>3244</v>
      </c>
      <c r="L61" s="23">
        <v>16.0</v>
      </c>
      <c r="M61" s="22" t="s">
        <v>3097</v>
      </c>
      <c r="N61" s="22" t="s">
        <v>3099</v>
      </c>
      <c r="O61" s="22" t="s">
        <v>45</v>
      </c>
      <c r="P61" s="22" t="s">
        <v>45</v>
      </c>
      <c r="Q61" s="22" t="s">
        <v>45</v>
      </c>
      <c r="R61" s="22" t="s">
        <v>45</v>
      </c>
      <c r="S61" s="22" t="s">
        <v>45</v>
      </c>
      <c r="T61" s="22" t="s">
        <v>5441</v>
      </c>
      <c r="U61" s="22" t="s">
        <v>45</v>
      </c>
      <c r="V61" s="22" t="s">
        <v>45</v>
      </c>
      <c r="W61" s="22" t="s">
        <v>5522</v>
      </c>
    </row>
    <row r="62" ht="45.0" customHeight="1">
      <c r="A62" s="55" t="s">
        <v>317</v>
      </c>
      <c r="B62" s="62" t="s">
        <v>4070</v>
      </c>
      <c r="C62" s="22" t="str">
        <f>IMAGE("https://raw.githubusercontent.com/ltdimages/images/refs/heads/main/ClothHeadwearHatPanama_00.png")</f>
        <v/>
      </c>
      <c r="D62" s="22" t="str">
        <f>IMAGE("https://raw.githubusercontent.com/ltdimages/images/refs/heads/main/ClothHeadwearHatPanama_01.png")</f>
        <v/>
      </c>
      <c r="E62" s="22" t="str">
        <f>IMAGE("https://raw.githubusercontent.com/ltdimages/images/refs/heads/main/ClothHeadwearHatPanama_02.png")</f>
        <v/>
      </c>
      <c r="F62" s="22" t="str">
        <f>IMAGE("https://raw.githubusercontent.com/ltdimages/images/refs/heads/main/ClothHeadwearHatPanama_03.png")</f>
        <v/>
      </c>
      <c r="G62" s="22" t="s">
        <v>3095</v>
      </c>
      <c r="H62" s="22" t="s">
        <v>3095</v>
      </c>
      <c r="I62" s="22" t="s">
        <v>3095</v>
      </c>
      <c r="J62" s="22" t="s">
        <v>3095</v>
      </c>
      <c r="K62" s="63" t="s">
        <v>3244</v>
      </c>
      <c r="L62" s="23">
        <v>17.5</v>
      </c>
      <c r="M62" s="22" t="s">
        <v>3097</v>
      </c>
      <c r="N62" s="22" t="s">
        <v>3123</v>
      </c>
      <c r="O62" s="22" t="s">
        <v>45</v>
      </c>
      <c r="P62" s="22" t="s">
        <v>45</v>
      </c>
      <c r="Q62" s="22" t="s">
        <v>45</v>
      </c>
      <c r="R62" s="22" t="s">
        <v>45</v>
      </c>
      <c r="S62" s="22" t="s">
        <v>45</v>
      </c>
      <c r="T62" s="22" t="s">
        <v>5441</v>
      </c>
      <c r="U62" s="22" t="s">
        <v>45</v>
      </c>
      <c r="V62" s="22" t="s">
        <v>45</v>
      </c>
      <c r="W62" s="22" t="s">
        <v>5523</v>
      </c>
    </row>
    <row r="63" ht="45.0" customHeight="1">
      <c r="A63" s="55" t="s">
        <v>321</v>
      </c>
      <c r="B63" s="62" t="s">
        <v>5524</v>
      </c>
      <c r="C63" s="22" t="str">
        <f>IMAGE("https://raw.githubusercontent.com/ltdimages/images/refs/heads/main/ClothHeadwearHatParty_00.png")</f>
        <v/>
      </c>
      <c r="D63" s="22" t="str">
        <f>IMAGE("https://raw.githubusercontent.com/ltdimages/images/refs/heads/main/ClothHeadwearHatParty_01.png")</f>
        <v/>
      </c>
      <c r="E63" s="22" t="str">
        <f>IMAGE("https://raw.githubusercontent.com/ltdimages/images/refs/heads/main/ClothHeadwearHatParty_02.png")</f>
        <v/>
      </c>
      <c r="F63" s="22" t="str">
        <f>IMAGE("https://raw.githubusercontent.com/ltdimages/images/refs/heads/main/ClothHeadwearHatParty_03.png")</f>
        <v/>
      </c>
      <c r="G63" s="22" t="str">
        <f>IMAGE("https://raw.githubusercontent.com/ltdimages/images/refs/heads/main/ClothHeadwearHatParty_04.png")</f>
        <v/>
      </c>
      <c r="H63" s="22" t="str">
        <f>IMAGE("https://raw.githubusercontent.com/ltdimages/images/refs/heads/main/ClothHeadwearHatParty_05.png")</f>
        <v/>
      </c>
      <c r="I63" s="22" t="str">
        <f>IMAGE("https://raw.githubusercontent.com/ltdimages/images/refs/heads/main/ClothHeadwearHatParty_06.png")</f>
        <v/>
      </c>
      <c r="J63" s="22" t="str">
        <f>IMAGE("https://raw.githubusercontent.com/ltdimages/images/refs/heads/main/ClothHeadwearHatParty_07.png")</f>
        <v/>
      </c>
      <c r="K63" s="63" t="s">
        <v>3244</v>
      </c>
      <c r="L63" s="23">
        <v>7.5</v>
      </c>
      <c r="M63" s="22" t="s">
        <v>3097</v>
      </c>
      <c r="N63" s="22" t="s">
        <v>3099</v>
      </c>
      <c r="O63" s="22" t="s">
        <v>45</v>
      </c>
      <c r="P63" s="22" t="s">
        <v>45</v>
      </c>
      <c r="Q63" s="22" t="s">
        <v>45</v>
      </c>
      <c r="R63" s="22" t="s">
        <v>49</v>
      </c>
      <c r="S63" s="22" t="s">
        <v>45</v>
      </c>
      <c r="T63" s="22" t="s">
        <v>5441</v>
      </c>
      <c r="U63" s="22" t="s">
        <v>45</v>
      </c>
      <c r="V63" s="22" t="s">
        <v>45</v>
      </c>
      <c r="W63" s="22" t="s">
        <v>5525</v>
      </c>
    </row>
    <row r="64" ht="45.0" customHeight="1">
      <c r="A64" s="55" t="s">
        <v>325</v>
      </c>
      <c r="B64" s="62" t="s">
        <v>5526</v>
      </c>
      <c r="C64" s="22" t="str">
        <f>IMAGE("https://raw.githubusercontent.com/ltdimages/images/refs/heads/main/ClothHeadwearHatToque_00.png")</f>
        <v/>
      </c>
      <c r="D64" s="22" t="str">
        <f>IMAGE("https://raw.githubusercontent.com/ltdimages/images/refs/heads/main/ClothHeadwearHatToque_01.png")</f>
        <v/>
      </c>
      <c r="E64" s="22" t="str">
        <f>IMAGE("https://raw.githubusercontent.com/ltdimages/images/refs/heads/main/ClothHeadwearHatToque_02.png")</f>
        <v/>
      </c>
      <c r="F64" s="22" t="str">
        <f>IMAGE("https://raw.githubusercontent.com/ltdimages/images/refs/heads/main/ClothHeadwearHatToque_03.png")</f>
        <v/>
      </c>
      <c r="G64" s="22" t="str">
        <f>IMAGE("https://raw.githubusercontent.com/ltdimages/images/refs/heads/main/ClothHeadwearHatToque_04.png")</f>
        <v/>
      </c>
      <c r="H64" s="22" t="str">
        <f>IMAGE("https://raw.githubusercontent.com/ltdimages/images/refs/heads/main/ClothHeadwearHatToque_05.png")</f>
        <v/>
      </c>
      <c r="I64" s="22" t="str">
        <f>IMAGE("https://raw.githubusercontent.com/ltdimages/images/refs/heads/main/ClothHeadwearHatToque_06.png")</f>
        <v/>
      </c>
      <c r="J64" s="22" t="str">
        <f>IMAGE("https://raw.githubusercontent.com/ltdimages/images/refs/heads/main/ClothHeadwearHatToque_07.png")</f>
        <v/>
      </c>
      <c r="K64" s="63" t="s">
        <v>3244</v>
      </c>
      <c r="L64" s="23">
        <v>30.0</v>
      </c>
      <c r="M64" s="22" t="s">
        <v>4231</v>
      </c>
      <c r="N64" s="22" t="s">
        <v>3099</v>
      </c>
      <c r="O64" s="22" t="s">
        <v>45</v>
      </c>
      <c r="P64" s="22" t="s">
        <v>45</v>
      </c>
      <c r="Q64" s="22" t="s">
        <v>45</v>
      </c>
      <c r="R64" s="22" t="s">
        <v>45</v>
      </c>
      <c r="S64" s="22" t="s">
        <v>45</v>
      </c>
      <c r="T64" s="22" t="s">
        <v>5441</v>
      </c>
      <c r="U64" s="22" t="s">
        <v>45</v>
      </c>
      <c r="V64" s="22" t="s">
        <v>45</v>
      </c>
      <c r="W64" s="22" t="s">
        <v>5527</v>
      </c>
    </row>
    <row r="65" ht="45.0" customHeight="1">
      <c r="A65" s="55" t="s">
        <v>329</v>
      </c>
      <c r="B65" s="62" t="s">
        <v>3827</v>
      </c>
      <c r="C65" s="22" t="str">
        <f>IMAGE("https://raw.githubusercontent.com/ltdimages/images/refs/heads/main/ClothHeadwearHatPineapple_00.png")</f>
        <v/>
      </c>
      <c r="D65" s="22" t="s">
        <v>3095</v>
      </c>
      <c r="E65" s="22" t="s">
        <v>3095</v>
      </c>
      <c r="F65" s="22" t="s">
        <v>3095</v>
      </c>
      <c r="G65" s="22" t="s">
        <v>3095</v>
      </c>
      <c r="H65" s="22" t="s">
        <v>3095</v>
      </c>
      <c r="I65" s="22" t="s">
        <v>3095</v>
      </c>
      <c r="J65" s="22" t="s">
        <v>3095</v>
      </c>
      <c r="K65" s="63" t="s">
        <v>3244</v>
      </c>
      <c r="L65" s="23">
        <v>21.1</v>
      </c>
      <c r="M65" s="22" t="s">
        <v>3097</v>
      </c>
      <c r="N65" s="22" t="s">
        <v>3123</v>
      </c>
      <c r="O65" s="22" t="s">
        <v>45</v>
      </c>
      <c r="P65" s="22" t="s">
        <v>45</v>
      </c>
      <c r="Q65" s="22" t="s">
        <v>45</v>
      </c>
      <c r="R65" s="22" t="s">
        <v>49</v>
      </c>
      <c r="S65" s="22" t="s">
        <v>45</v>
      </c>
      <c r="T65" s="22" t="s">
        <v>5441</v>
      </c>
      <c r="U65" s="22" t="s">
        <v>45</v>
      </c>
      <c r="V65" s="22" t="s">
        <v>45</v>
      </c>
      <c r="W65" s="22" t="s">
        <v>5528</v>
      </c>
    </row>
    <row r="66" ht="45.0" customHeight="1">
      <c r="A66" s="55" t="s">
        <v>333</v>
      </c>
      <c r="B66" s="62" t="s">
        <v>3833</v>
      </c>
      <c r="C66" s="22" t="str">
        <f>IMAGE("https://raw.githubusercontent.com/ltdimages/images/refs/heads/main/ClothHeadwearHatPirate_00.png")</f>
        <v/>
      </c>
      <c r="D66" s="22" t="s">
        <v>3095</v>
      </c>
      <c r="E66" s="22" t="s">
        <v>3095</v>
      </c>
      <c r="F66" s="22" t="s">
        <v>3095</v>
      </c>
      <c r="G66" s="22" t="s">
        <v>3095</v>
      </c>
      <c r="H66" s="22" t="s">
        <v>3095</v>
      </c>
      <c r="I66" s="22" t="s">
        <v>3095</v>
      </c>
      <c r="J66" s="22" t="s">
        <v>3095</v>
      </c>
      <c r="K66" s="63" t="s">
        <v>3244</v>
      </c>
      <c r="L66" s="23">
        <v>24.0</v>
      </c>
      <c r="M66" s="22" t="s">
        <v>3097</v>
      </c>
      <c r="N66" s="22" t="s">
        <v>3099</v>
      </c>
      <c r="O66" s="22" t="s">
        <v>45</v>
      </c>
      <c r="P66" s="22" t="s">
        <v>45</v>
      </c>
      <c r="Q66" s="22" t="s">
        <v>45</v>
      </c>
      <c r="R66" s="22" t="s">
        <v>49</v>
      </c>
      <c r="S66" s="22" t="s">
        <v>45</v>
      </c>
      <c r="T66" s="22" t="s">
        <v>5441</v>
      </c>
      <c r="U66" s="22" t="s">
        <v>45</v>
      </c>
      <c r="V66" s="22" t="s">
        <v>45</v>
      </c>
      <c r="W66" s="22" t="s">
        <v>5529</v>
      </c>
    </row>
    <row r="67" ht="45.0" customHeight="1">
      <c r="A67" s="55" t="s">
        <v>337</v>
      </c>
      <c r="B67" s="62" t="s">
        <v>4089</v>
      </c>
      <c r="C67" s="22" t="str">
        <f>IMAGE("https://raw.githubusercontent.com/ltdimages/images/refs/heads/main/ClothHeadwearHatNewsboyCheck_00.png")</f>
        <v/>
      </c>
      <c r="D67" s="22" t="str">
        <f>IMAGE("https://raw.githubusercontent.com/ltdimages/images/refs/heads/main/ClothHeadwearHatNewsboyCheck_01.png")</f>
        <v/>
      </c>
      <c r="E67" s="22" t="str">
        <f>IMAGE("https://raw.githubusercontent.com/ltdimages/images/refs/heads/main/ClothHeadwearHatNewsboyCheck_02.png")</f>
        <v/>
      </c>
      <c r="F67" s="22" t="str">
        <f>IMAGE("https://raw.githubusercontent.com/ltdimages/images/refs/heads/main/ClothHeadwearHatNewsboyCheck_03.png")</f>
        <v/>
      </c>
      <c r="G67" s="22" t="str">
        <f>IMAGE("https://raw.githubusercontent.com/ltdimages/images/refs/heads/main/ClothHeadwearHatNewsboyCheck_04.png")</f>
        <v/>
      </c>
      <c r="H67" s="22" t="str">
        <f>IMAGE("https://raw.githubusercontent.com/ltdimages/images/refs/heads/main/ClothHeadwearHatNewsboyCheck_05.png")</f>
        <v/>
      </c>
      <c r="I67" s="22" t="s">
        <v>3095</v>
      </c>
      <c r="J67" s="22" t="s">
        <v>3095</v>
      </c>
      <c r="K67" s="63" t="s">
        <v>3244</v>
      </c>
      <c r="L67" s="23">
        <v>18.5</v>
      </c>
      <c r="M67" s="22" t="s">
        <v>3097</v>
      </c>
      <c r="N67" s="22" t="s">
        <v>3099</v>
      </c>
      <c r="O67" s="22" t="s">
        <v>45</v>
      </c>
      <c r="P67" s="22" t="s">
        <v>45</v>
      </c>
      <c r="Q67" s="22" t="s">
        <v>45</v>
      </c>
      <c r="R67" s="22" t="s">
        <v>45</v>
      </c>
      <c r="S67" s="22" t="s">
        <v>45</v>
      </c>
      <c r="T67" s="22" t="s">
        <v>5441</v>
      </c>
      <c r="U67" s="22" t="s">
        <v>45</v>
      </c>
      <c r="V67" s="22" t="s">
        <v>45</v>
      </c>
      <c r="W67" s="22" t="s">
        <v>5530</v>
      </c>
    </row>
    <row r="68" ht="45.0" customHeight="1">
      <c r="A68" s="55" t="s">
        <v>341</v>
      </c>
      <c r="B68" s="62" t="s">
        <v>3549</v>
      </c>
      <c r="C68" s="22" t="str">
        <f>IMAGE("https://raw.githubusercontent.com/ltdimages/images/refs/heads/main/ClothHeadwearHatPointy_00.png")</f>
        <v/>
      </c>
      <c r="D68" s="22" t="str">
        <f>IMAGE("https://raw.githubusercontent.com/ltdimages/images/refs/heads/main/ClothHeadwearHatPointy_01.png")</f>
        <v/>
      </c>
      <c r="E68" s="22" t="str">
        <f>IMAGE("https://raw.githubusercontent.com/ltdimages/images/refs/heads/main/ClothHeadwearHatPointy_02.png")</f>
        <v/>
      </c>
      <c r="F68" s="22" t="str">
        <f>IMAGE("https://raw.githubusercontent.com/ltdimages/images/refs/heads/main/ClothHeadwearHatPointy_03.png")</f>
        <v/>
      </c>
      <c r="G68" s="22" t="str">
        <f>IMAGE("https://raw.githubusercontent.com/ltdimages/images/refs/heads/main/ClothHeadwearHatPointy_04.png")</f>
        <v/>
      </c>
      <c r="H68" s="22" t="str">
        <f>IMAGE("https://raw.githubusercontent.com/ltdimages/images/refs/heads/main/ClothHeadwearHatPointy_05.png")</f>
        <v/>
      </c>
      <c r="I68" s="22" t="str">
        <f>IMAGE("https://raw.githubusercontent.com/ltdimages/images/refs/heads/main/ClothHeadwearHatPointy_06.png")</f>
        <v/>
      </c>
      <c r="J68" s="22" t="str">
        <f>IMAGE("https://raw.githubusercontent.com/ltdimages/images/refs/heads/main/ClothHeadwearHatPointy_07.png")</f>
        <v/>
      </c>
      <c r="K68" s="63" t="s">
        <v>3244</v>
      </c>
      <c r="L68" s="23">
        <v>20.0</v>
      </c>
      <c r="M68" s="22" t="s">
        <v>3097</v>
      </c>
      <c r="N68" s="22" t="s">
        <v>3099</v>
      </c>
      <c r="O68" s="22" t="s">
        <v>45</v>
      </c>
      <c r="P68" s="22" t="s">
        <v>45</v>
      </c>
      <c r="Q68" s="22" t="s">
        <v>45</v>
      </c>
      <c r="R68" s="22" t="s">
        <v>49</v>
      </c>
      <c r="S68" s="22" t="s">
        <v>45</v>
      </c>
      <c r="T68" s="22" t="s">
        <v>5441</v>
      </c>
      <c r="U68" s="22" t="s">
        <v>45</v>
      </c>
      <c r="V68" s="22" t="s">
        <v>45</v>
      </c>
      <c r="W68" s="22" t="s">
        <v>5531</v>
      </c>
    </row>
    <row r="69" ht="45.0" customHeight="1">
      <c r="A69" s="55" t="s">
        <v>345</v>
      </c>
      <c r="B69" s="62" t="s">
        <v>3851</v>
      </c>
      <c r="C69" s="22" t="str">
        <f>IMAGE("https://raw.githubusercontent.com/ltdimages/images/refs/heads/main/ClothHeadwearHatPolice_00.png")</f>
        <v/>
      </c>
      <c r="D69" s="22" t="s">
        <v>3095</v>
      </c>
      <c r="E69" s="22" t="s">
        <v>3095</v>
      </c>
      <c r="F69" s="22" t="s">
        <v>3095</v>
      </c>
      <c r="G69" s="22" t="s">
        <v>3095</v>
      </c>
      <c r="H69" s="22" t="s">
        <v>3095</v>
      </c>
      <c r="I69" s="22" t="s">
        <v>3095</v>
      </c>
      <c r="J69" s="22" t="s">
        <v>3095</v>
      </c>
      <c r="K69" s="63" t="s">
        <v>3244</v>
      </c>
      <c r="L69" s="23">
        <v>25.0</v>
      </c>
      <c r="M69" s="22" t="s">
        <v>3097</v>
      </c>
      <c r="N69" s="22" t="s">
        <v>3099</v>
      </c>
      <c r="O69" s="22" t="s">
        <v>45</v>
      </c>
      <c r="P69" s="22" t="s">
        <v>45</v>
      </c>
      <c r="Q69" s="22" t="s">
        <v>45</v>
      </c>
      <c r="R69" s="22" t="s">
        <v>49</v>
      </c>
      <c r="S69" s="22" t="s">
        <v>45</v>
      </c>
      <c r="T69" s="22" t="s">
        <v>5441</v>
      </c>
      <c r="U69" s="22" t="s">
        <v>45</v>
      </c>
      <c r="V69" s="22" t="s">
        <v>45</v>
      </c>
      <c r="W69" s="22" t="s">
        <v>5532</v>
      </c>
    </row>
    <row r="70" ht="45.0" customHeight="1">
      <c r="A70" s="55" t="s">
        <v>349</v>
      </c>
      <c r="B70" s="62" t="s">
        <v>4557</v>
      </c>
      <c r="C70" s="22" t="str">
        <f>IMAGE("https://raw.githubusercontent.com/ltdimages/images/refs/heads/main/ClothHeadwearHatKnitPompom_00.png")</f>
        <v/>
      </c>
      <c r="D70" s="22" t="str">
        <f>IMAGE("https://raw.githubusercontent.com/ltdimages/images/refs/heads/main/ClothHeadwearHatKnitPompom_01.png")</f>
        <v/>
      </c>
      <c r="E70" s="22" t="str">
        <f>IMAGE("https://raw.githubusercontent.com/ltdimages/images/refs/heads/main/ClothHeadwearHatKnitPompom_02.png")</f>
        <v/>
      </c>
      <c r="F70" s="22" t="str">
        <f>IMAGE("https://raw.githubusercontent.com/ltdimages/images/refs/heads/main/ClothHeadwearHatKnitPompom_03.png")</f>
        <v/>
      </c>
      <c r="G70" s="22" t="str">
        <f>IMAGE("https://raw.githubusercontent.com/ltdimages/images/refs/heads/main/ClothHeadwearHatKnitPompom_04.png")</f>
        <v/>
      </c>
      <c r="H70" s="22" t="str">
        <f>IMAGE("https://raw.githubusercontent.com/ltdimages/images/refs/heads/main/ClothHeadwearHatKnitPompom_05.png")</f>
        <v/>
      </c>
      <c r="I70" s="22" t="str">
        <f>IMAGE("https://raw.githubusercontent.com/ltdimages/images/refs/heads/main/ClothHeadwearHatKnitPompom_06.png")</f>
        <v/>
      </c>
      <c r="J70" s="22" t="str">
        <f>IMAGE("https://raw.githubusercontent.com/ltdimages/images/refs/heads/main/ClothHeadwearHatKnitPompom_07.png")</f>
        <v/>
      </c>
      <c r="K70" s="63" t="s">
        <v>3244</v>
      </c>
      <c r="L70" s="23">
        <v>15.5</v>
      </c>
      <c r="M70" s="22" t="s">
        <v>3097</v>
      </c>
      <c r="N70" s="22" t="s">
        <v>3114</v>
      </c>
      <c r="O70" s="22" t="s">
        <v>45</v>
      </c>
      <c r="P70" s="22" t="s">
        <v>45</v>
      </c>
      <c r="Q70" s="22" t="s">
        <v>45</v>
      </c>
      <c r="R70" s="22" t="s">
        <v>45</v>
      </c>
      <c r="S70" s="22" t="s">
        <v>45</v>
      </c>
      <c r="T70" s="22" t="s">
        <v>5441</v>
      </c>
      <c r="U70" s="22" t="s">
        <v>45</v>
      </c>
      <c r="V70" s="22" t="s">
        <v>45</v>
      </c>
      <c r="W70" s="22" t="s">
        <v>5533</v>
      </c>
    </row>
    <row r="71" ht="45.0" customHeight="1">
      <c r="A71" s="55" t="s">
        <v>354</v>
      </c>
      <c r="B71" s="62" t="s">
        <v>5534</v>
      </c>
      <c r="C71" s="22" t="str">
        <f>IMAGE("https://raw.githubusercontent.com/ltdimages/images/refs/heads/main/ClothHeadwearHatPot_00.png")</f>
        <v/>
      </c>
      <c r="D71" s="22" t="str">
        <f>IMAGE("https://raw.githubusercontent.com/ltdimages/images/refs/heads/main/ClothHeadwearHatPot_01.png")</f>
        <v/>
      </c>
      <c r="E71" s="22" t="s">
        <v>3095</v>
      </c>
      <c r="F71" s="22" t="s">
        <v>3095</v>
      </c>
      <c r="G71" s="22" t="s">
        <v>3095</v>
      </c>
      <c r="H71" s="22" t="s">
        <v>3095</v>
      </c>
      <c r="I71" s="22" t="s">
        <v>3095</v>
      </c>
      <c r="J71" s="22" t="s">
        <v>3095</v>
      </c>
      <c r="K71" s="63" t="s">
        <v>3244</v>
      </c>
      <c r="L71" s="23">
        <v>19.8</v>
      </c>
      <c r="M71" s="22" t="s">
        <v>3097</v>
      </c>
      <c r="N71" s="22" t="s">
        <v>3099</v>
      </c>
      <c r="O71" s="22" t="s">
        <v>45</v>
      </c>
      <c r="P71" s="22" t="s">
        <v>45</v>
      </c>
      <c r="Q71" s="22" t="s">
        <v>45</v>
      </c>
      <c r="R71" s="22" t="s">
        <v>49</v>
      </c>
      <c r="S71" s="22" t="s">
        <v>45</v>
      </c>
      <c r="T71" s="22" t="s">
        <v>5441</v>
      </c>
      <c r="U71" s="22" t="s">
        <v>45</v>
      </c>
      <c r="V71" s="22" t="s">
        <v>45</v>
      </c>
      <c r="W71" s="22" t="s">
        <v>5535</v>
      </c>
    </row>
    <row r="72" ht="45.0" customHeight="1">
      <c r="A72" s="55" t="s">
        <v>358</v>
      </c>
      <c r="B72" s="62" t="s">
        <v>5536</v>
      </c>
      <c r="C72" s="22" t="str">
        <f>IMAGE("https://raw.githubusercontent.com/ltdimages/images/refs/heads/main/ClothHeadwearHatPropellerCap_00.png")</f>
        <v/>
      </c>
      <c r="D72" s="22" t="s">
        <v>3095</v>
      </c>
      <c r="E72" s="22" t="s">
        <v>3095</v>
      </c>
      <c r="F72" s="22" t="s">
        <v>3095</v>
      </c>
      <c r="G72" s="22" t="s">
        <v>3095</v>
      </c>
      <c r="H72" s="22" t="s">
        <v>3095</v>
      </c>
      <c r="I72" s="22" t="s">
        <v>3095</v>
      </c>
      <c r="J72" s="22" t="s">
        <v>3095</v>
      </c>
      <c r="K72" s="63" t="s">
        <v>3244</v>
      </c>
      <c r="L72" s="23">
        <v>11.0</v>
      </c>
      <c r="M72" s="22" t="s">
        <v>3097</v>
      </c>
      <c r="N72" s="22" t="s">
        <v>3099</v>
      </c>
      <c r="O72" s="22" t="s">
        <v>45</v>
      </c>
      <c r="P72" s="22" t="s">
        <v>45</v>
      </c>
      <c r="Q72" s="22" t="s">
        <v>45</v>
      </c>
      <c r="R72" s="22" t="s">
        <v>49</v>
      </c>
      <c r="S72" s="22" t="s">
        <v>45</v>
      </c>
      <c r="T72" s="22" t="s">
        <v>5441</v>
      </c>
      <c r="U72" s="22" t="s">
        <v>45</v>
      </c>
      <c r="V72" s="22" t="s">
        <v>45</v>
      </c>
      <c r="W72" s="22" t="s">
        <v>5537</v>
      </c>
    </row>
    <row r="73" ht="45.0" customHeight="1">
      <c r="A73" s="55" t="s">
        <v>362</v>
      </c>
      <c r="B73" s="62" t="s">
        <v>5538</v>
      </c>
      <c r="C73" s="22" t="str">
        <f>IMAGE("https://raw.githubusercontent.com/ltdimages/images/refs/heads/main/ClothHeadwearHatRhinestone_00.png")</f>
        <v/>
      </c>
      <c r="D73" s="22" t="str">
        <f>IMAGE("https://raw.githubusercontent.com/ltdimages/images/refs/heads/main/ClothHeadwearHatRhinestone_01.png")</f>
        <v/>
      </c>
      <c r="E73" s="22" t="str">
        <f>IMAGE("https://raw.githubusercontent.com/ltdimages/images/refs/heads/main/ClothHeadwearHatRhinestone_02.png")</f>
        <v/>
      </c>
      <c r="F73" s="22" t="str">
        <f>IMAGE("https://raw.githubusercontent.com/ltdimages/images/refs/heads/main/ClothHeadwearHatRhinestone_03.png")</f>
        <v/>
      </c>
      <c r="G73" s="22" t="str">
        <f>IMAGE("https://raw.githubusercontent.com/ltdimages/images/refs/heads/main/ClothHeadwearHatRhinestone_04.png")</f>
        <v/>
      </c>
      <c r="H73" s="22" t="str">
        <f>IMAGE("https://raw.githubusercontent.com/ltdimages/images/refs/heads/main/ClothHeadwearHatRhinestone_05.png")</f>
        <v/>
      </c>
      <c r="I73" s="22" t="s">
        <v>3095</v>
      </c>
      <c r="J73" s="22" t="s">
        <v>3095</v>
      </c>
      <c r="K73" s="63" t="s">
        <v>3244</v>
      </c>
      <c r="L73" s="23">
        <v>16.0</v>
      </c>
      <c r="M73" s="22" t="s">
        <v>3097</v>
      </c>
      <c r="N73" s="22" t="s">
        <v>3099</v>
      </c>
      <c r="O73" s="22" t="s">
        <v>45</v>
      </c>
      <c r="P73" s="22" t="s">
        <v>45</v>
      </c>
      <c r="Q73" s="22" t="s">
        <v>45</v>
      </c>
      <c r="R73" s="22" t="s">
        <v>45</v>
      </c>
      <c r="S73" s="22" t="s">
        <v>45</v>
      </c>
      <c r="T73" s="22" t="s">
        <v>5441</v>
      </c>
      <c r="U73" s="22" t="s">
        <v>45</v>
      </c>
      <c r="V73" s="22" t="s">
        <v>45</v>
      </c>
      <c r="W73" s="22" t="s">
        <v>5539</v>
      </c>
    </row>
    <row r="74" ht="45.0" customHeight="1">
      <c r="A74" s="55" t="s">
        <v>367</v>
      </c>
      <c r="B74" s="62" t="s">
        <v>4083</v>
      </c>
      <c r="C74" s="22" t="str">
        <f>IMAGE("https://raw.githubusercontent.com/ltdimages/images/refs/heads/main/ClothHeadwearHatHelmet_00.png")</f>
        <v/>
      </c>
      <c r="D74" s="22" t="str">
        <f>IMAGE("https://raw.githubusercontent.com/ltdimages/images/refs/heads/main/ClothHeadwearHatHelmet_01.png")</f>
        <v/>
      </c>
      <c r="E74" s="22" t="str">
        <f>IMAGE("https://raw.githubusercontent.com/ltdimages/images/refs/heads/main/ClothHeadwearHatHelmet_02.png")</f>
        <v/>
      </c>
      <c r="F74" s="22" t="str">
        <f>IMAGE("https://raw.githubusercontent.com/ltdimages/images/refs/heads/main/ClothHeadwearHatHelmet_03.png")</f>
        <v/>
      </c>
      <c r="G74" s="22" t="str">
        <f>IMAGE("https://raw.githubusercontent.com/ltdimages/images/refs/heads/main/ClothHeadwearHatHelmet_04.png")</f>
        <v/>
      </c>
      <c r="H74" s="22" t="s">
        <v>3095</v>
      </c>
      <c r="I74" s="22" t="s">
        <v>3095</v>
      </c>
      <c r="J74" s="22" t="s">
        <v>3095</v>
      </c>
      <c r="K74" s="63" t="s">
        <v>3244</v>
      </c>
      <c r="L74" s="23">
        <v>15.0</v>
      </c>
      <c r="M74" s="22" t="s">
        <v>3097</v>
      </c>
      <c r="N74" s="22" t="s">
        <v>3099</v>
      </c>
      <c r="O74" s="22" t="s">
        <v>45</v>
      </c>
      <c r="P74" s="22" t="s">
        <v>45</v>
      </c>
      <c r="Q74" s="22" t="s">
        <v>45</v>
      </c>
      <c r="R74" s="22" t="s">
        <v>45</v>
      </c>
      <c r="S74" s="22" t="s">
        <v>45</v>
      </c>
      <c r="T74" s="22" t="s">
        <v>5441</v>
      </c>
      <c r="U74" s="22" t="s">
        <v>45</v>
      </c>
      <c r="V74" s="22" t="s">
        <v>45</v>
      </c>
      <c r="W74" s="22" t="s">
        <v>5540</v>
      </c>
    </row>
    <row r="75" ht="45.0" customHeight="1">
      <c r="A75" s="55" t="s">
        <v>371</v>
      </c>
      <c r="B75" s="62" t="s">
        <v>3751</v>
      </c>
      <c r="C75" s="22" t="str">
        <f>IMAGE("https://raw.githubusercontent.com/ltdimages/images/refs/heads/main/ClothHeadwearHatMarine_00.png")</f>
        <v/>
      </c>
      <c r="D75" s="22" t="str">
        <f>IMAGE("https://raw.githubusercontent.com/ltdimages/images/refs/heads/main/ClothHeadwearHatMarine_01.png")</f>
        <v/>
      </c>
      <c r="E75" s="22" t="str">
        <f>IMAGE("https://raw.githubusercontent.com/ltdimages/images/refs/heads/main/ClothHeadwearHatMarine_02.png")</f>
        <v/>
      </c>
      <c r="F75" s="22" t="str">
        <f>IMAGE("https://raw.githubusercontent.com/ltdimages/images/refs/heads/main/ClothHeadwearHatMarine_03.png")</f>
        <v/>
      </c>
      <c r="G75" s="22" t="str">
        <f>IMAGE("https://raw.githubusercontent.com/ltdimages/images/refs/heads/main/ClothHeadwearHatMarine_04.png")</f>
        <v/>
      </c>
      <c r="H75" s="22" t="str">
        <f>IMAGE("https://raw.githubusercontent.com/ltdimages/images/refs/heads/main/ClothHeadwearHatMarine_05.png")</f>
        <v/>
      </c>
      <c r="I75" s="22" t="str">
        <f>IMAGE("https://raw.githubusercontent.com/ltdimages/images/refs/heads/main/ClothHeadwearHatMarine_06.png")</f>
        <v/>
      </c>
      <c r="J75" s="22" t="str">
        <f>IMAGE("https://raw.githubusercontent.com/ltdimages/images/refs/heads/main/ClothHeadwearHatMarine_07.png")</f>
        <v/>
      </c>
      <c r="K75" s="63" t="s">
        <v>3244</v>
      </c>
      <c r="L75" s="23">
        <v>21.0</v>
      </c>
      <c r="M75" s="22" t="s">
        <v>3097</v>
      </c>
      <c r="N75" s="22" t="s">
        <v>3099</v>
      </c>
      <c r="O75" s="22" t="s">
        <v>45</v>
      </c>
      <c r="P75" s="22" t="s">
        <v>45</v>
      </c>
      <c r="Q75" s="22" t="s">
        <v>45</v>
      </c>
      <c r="R75" s="22" t="s">
        <v>45</v>
      </c>
      <c r="S75" s="22" t="s">
        <v>45</v>
      </c>
      <c r="T75" s="22" t="s">
        <v>5441</v>
      </c>
      <c r="U75" s="22" t="s">
        <v>45</v>
      </c>
      <c r="V75" s="22" t="s">
        <v>45</v>
      </c>
      <c r="W75" s="22" t="s">
        <v>5541</v>
      </c>
    </row>
    <row r="76" ht="45.0" customHeight="1">
      <c r="A76" s="55" t="s">
        <v>375</v>
      </c>
      <c r="B76" s="62" t="s">
        <v>5542</v>
      </c>
      <c r="C76" s="22" t="str">
        <f>IMAGE("https://raw.githubusercontent.com/ltdimages/images/refs/heads/main/ClothHeadwearHatSailor_00.png")</f>
        <v/>
      </c>
      <c r="D76" s="22" t="s">
        <v>3095</v>
      </c>
      <c r="E76" s="22" t="s">
        <v>3095</v>
      </c>
      <c r="F76" s="22" t="s">
        <v>3095</v>
      </c>
      <c r="G76" s="22" t="s">
        <v>3095</v>
      </c>
      <c r="H76" s="22" t="s">
        <v>3095</v>
      </c>
      <c r="I76" s="22" t="s">
        <v>3095</v>
      </c>
      <c r="J76" s="22" t="s">
        <v>3095</v>
      </c>
      <c r="K76" s="63" t="s">
        <v>3244</v>
      </c>
      <c r="L76" s="23">
        <v>18.0</v>
      </c>
      <c r="M76" s="22" t="s">
        <v>3097</v>
      </c>
      <c r="N76" s="22" t="s">
        <v>3123</v>
      </c>
      <c r="O76" s="22" t="s">
        <v>45</v>
      </c>
      <c r="P76" s="22" t="s">
        <v>45</v>
      </c>
      <c r="Q76" s="22" t="s">
        <v>45</v>
      </c>
      <c r="R76" s="22" t="s">
        <v>45</v>
      </c>
      <c r="S76" s="22" t="s">
        <v>45</v>
      </c>
      <c r="T76" s="22" t="s">
        <v>5441</v>
      </c>
      <c r="U76" s="22" t="s">
        <v>45</v>
      </c>
      <c r="V76" s="22" t="s">
        <v>45</v>
      </c>
      <c r="W76" s="22" t="s">
        <v>5543</v>
      </c>
    </row>
    <row r="77" ht="45.0" customHeight="1">
      <c r="A77" s="55" t="s">
        <v>380</v>
      </c>
      <c r="B77" s="62" t="s">
        <v>3628</v>
      </c>
      <c r="C77" s="22" t="str">
        <f>IMAGE("https://raw.githubusercontent.com/ltdimages/images/refs/heads/main/ClothHeadwearHatSanta_00.png")</f>
        <v/>
      </c>
      <c r="D77" s="22" t="s">
        <v>3095</v>
      </c>
      <c r="E77" s="22" t="s">
        <v>3095</v>
      </c>
      <c r="F77" s="22" t="s">
        <v>3095</v>
      </c>
      <c r="G77" s="22" t="s">
        <v>3095</v>
      </c>
      <c r="H77" s="22" t="s">
        <v>3095</v>
      </c>
      <c r="I77" s="22" t="s">
        <v>3095</v>
      </c>
      <c r="J77" s="22" t="s">
        <v>3095</v>
      </c>
      <c r="K77" s="63" t="s">
        <v>3244</v>
      </c>
      <c r="L77" s="23">
        <v>25.0</v>
      </c>
      <c r="M77" s="22" t="s">
        <v>3097</v>
      </c>
      <c r="N77" s="22" t="s">
        <v>3114</v>
      </c>
      <c r="O77" s="22" t="s">
        <v>45</v>
      </c>
      <c r="P77" s="22" t="s">
        <v>45</v>
      </c>
      <c r="Q77" s="22" t="s">
        <v>45</v>
      </c>
      <c r="R77" s="22" t="s">
        <v>49</v>
      </c>
      <c r="S77" s="22" t="s">
        <v>45</v>
      </c>
      <c r="T77" s="22" t="s">
        <v>5441</v>
      </c>
      <c r="U77" s="22" t="s">
        <v>45</v>
      </c>
      <c r="V77" s="22" t="s">
        <v>45</v>
      </c>
      <c r="W77" s="22" t="s">
        <v>5544</v>
      </c>
    </row>
    <row r="78" ht="45.0" customHeight="1">
      <c r="A78" s="55" t="s">
        <v>384</v>
      </c>
      <c r="B78" s="62" t="s">
        <v>5545</v>
      </c>
      <c r="C78" s="22" t="str">
        <f>IMAGE("https://raw.githubusercontent.com/ltdimages/images/refs/heads/main/ClothHeadwearHatSpangle_00.png")</f>
        <v/>
      </c>
      <c r="D78" s="22" t="str">
        <f>IMAGE("https://raw.githubusercontent.com/ltdimages/images/refs/heads/main/ClothHeadwearHatSpangle_01.png")</f>
        <v/>
      </c>
      <c r="E78" s="22" t="str">
        <f>IMAGE("https://raw.githubusercontent.com/ltdimages/images/refs/heads/main/ClothHeadwearHatSpangle_02.png")</f>
        <v/>
      </c>
      <c r="F78" s="22" t="str">
        <f>IMAGE("https://raw.githubusercontent.com/ltdimages/images/refs/heads/main/ClothHeadwearHatSpangle_03.png")</f>
        <v/>
      </c>
      <c r="G78" s="22" t="str">
        <f>IMAGE("https://raw.githubusercontent.com/ltdimages/images/refs/heads/main/ClothHeadwearHatSpangle_04.png")</f>
        <v/>
      </c>
      <c r="H78" s="22" t="str">
        <f>IMAGE("https://raw.githubusercontent.com/ltdimages/images/refs/heads/main/ClothHeadwearHatSpangle_05.png")</f>
        <v/>
      </c>
      <c r="I78" s="22" t="str">
        <f>IMAGE("https://raw.githubusercontent.com/ltdimages/images/refs/heads/main/ClothHeadwearHatSpangle_06.png")</f>
        <v/>
      </c>
      <c r="J78" s="22" t="str">
        <f>IMAGE("https://raw.githubusercontent.com/ltdimages/images/refs/heads/main/ClothHeadwearHatSpangle_07.png")</f>
        <v/>
      </c>
      <c r="K78" s="63" t="s">
        <v>3244</v>
      </c>
      <c r="L78" s="23">
        <v>25.0</v>
      </c>
      <c r="M78" s="22" t="s">
        <v>3097</v>
      </c>
      <c r="N78" s="22" t="s">
        <v>3099</v>
      </c>
      <c r="O78" s="22" t="s">
        <v>45</v>
      </c>
      <c r="P78" s="22" t="s">
        <v>45</v>
      </c>
      <c r="Q78" s="22" t="s">
        <v>45</v>
      </c>
      <c r="R78" s="22" t="s">
        <v>45</v>
      </c>
      <c r="S78" s="22" t="s">
        <v>45</v>
      </c>
      <c r="T78" s="22" t="s">
        <v>5441</v>
      </c>
      <c r="U78" s="22" t="s">
        <v>45</v>
      </c>
      <c r="V78" s="22" t="s">
        <v>45</v>
      </c>
      <c r="W78" s="22" t="s">
        <v>5546</v>
      </c>
    </row>
    <row r="79" ht="45.0" customHeight="1">
      <c r="A79" s="55" t="s">
        <v>388</v>
      </c>
      <c r="B79" s="62" t="s">
        <v>3727</v>
      </c>
      <c r="C79" s="22" t="str">
        <f>IMAGE("https://raw.githubusercontent.com/ltdimages/images/refs/heads/main/ClothHeadwearHatShampoo_00.png")</f>
        <v/>
      </c>
      <c r="D79" s="22" t="str">
        <f>IMAGE("https://raw.githubusercontent.com/ltdimages/images/refs/heads/main/ClothHeadwearHatShampoo_01.png")</f>
        <v/>
      </c>
      <c r="E79" s="22" t="str">
        <f>IMAGE("https://raw.githubusercontent.com/ltdimages/images/refs/heads/main/ClothHeadwearHatShampoo_02.png")</f>
        <v/>
      </c>
      <c r="F79" s="22" t="s">
        <v>3095</v>
      </c>
      <c r="G79" s="22" t="s">
        <v>3095</v>
      </c>
      <c r="H79" s="22" t="s">
        <v>3095</v>
      </c>
      <c r="I79" s="22" t="s">
        <v>3095</v>
      </c>
      <c r="J79" s="22" t="s">
        <v>3095</v>
      </c>
      <c r="K79" s="63" t="s">
        <v>3244</v>
      </c>
      <c r="L79" s="23">
        <v>12.0</v>
      </c>
      <c r="M79" s="22" t="s">
        <v>3097</v>
      </c>
      <c r="N79" s="22" t="s">
        <v>3099</v>
      </c>
      <c r="O79" s="22" t="s">
        <v>45</v>
      </c>
      <c r="P79" s="22" t="s">
        <v>45</v>
      </c>
      <c r="Q79" s="22" t="s">
        <v>45</v>
      </c>
      <c r="R79" s="22" t="s">
        <v>45</v>
      </c>
      <c r="S79" s="22" t="s">
        <v>45</v>
      </c>
      <c r="T79" s="22" t="s">
        <v>5441</v>
      </c>
      <c r="U79" s="22" t="s">
        <v>45</v>
      </c>
      <c r="V79" s="22" t="s">
        <v>45</v>
      </c>
      <c r="W79" s="22" t="s">
        <v>5547</v>
      </c>
    </row>
    <row r="80" ht="45.0" customHeight="1">
      <c r="A80" s="55" t="s">
        <v>392</v>
      </c>
      <c r="B80" s="62" t="s">
        <v>5548</v>
      </c>
      <c r="C80" s="22" t="str">
        <f>IMAGE("https://raw.githubusercontent.com/ltdimages/images/refs/heads/main/ClothHeadwearHatSkateboard_00.png")</f>
        <v/>
      </c>
      <c r="D80" s="22" t="str">
        <f>IMAGE("https://raw.githubusercontent.com/ltdimages/images/refs/heads/main/ClothHeadwearHatSkateboard_01.png")</f>
        <v/>
      </c>
      <c r="E80" s="22" t="str">
        <f>IMAGE("https://raw.githubusercontent.com/ltdimages/images/refs/heads/main/ClothHeadwearHatSkateboard_02.png")</f>
        <v/>
      </c>
      <c r="F80" s="22" t="str">
        <f>IMAGE("https://raw.githubusercontent.com/ltdimages/images/refs/heads/main/ClothHeadwearHatSkateboard_03.png")</f>
        <v/>
      </c>
      <c r="G80" s="22" t="str">
        <f>IMAGE("https://raw.githubusercontent.com/ltdimages/images/refs/heads/main/ClothHeadwearHatSkateboard_04.png")</f>
        <v/>
      </c>
      <c r="H80" s="22" t="str">
        <f>IMAGE("https://raw.githubusercontent.com/ltdimages/images/refs/heads/main/ClothHeadwearHatSkateboard_05.png")</f>
        <v/>
      </c>
      <c r="I80" s="22" t="str">
        <f>IMAGE("https://raw.githubusercontent.com/ltdimages/images/refs/heads/main/ClothHeadwearHatSkateboard_06.png")</f>
        <v/>
      </c>
      <c r="J80" s="22" t="str">
        <f>IMAGE("https://raw.githubusercontent.com/ltdimages/images/refs/heads/main/ClothHeadwearHatSkateboard_07.png")</f>
        <v/>
      </c>
      <c r="K80" s="63" t="s">
        <v>3244</v>
      </c>
      <c r="L80" s="23">
        <v>19.0</v>
      </c>
      <c r="M80" s="22" t="s">
        <v>3097</v>
      </c>
      <c r="N80" s="22" t="s">
        <v>3099</v>
      </c>
      <c r="O80" s="22" t="s">
        <v>45</v>
      </c>
      <c r="P80" s="22" t="s">
        <v>45</v>
      </c>
      <c r="Q80" s="22" t="s">
        <v>45</v>
      </c>
      <c r="R80" s="22" t="s">
        <v>45</v>
      </c>
      <c r="S80" s="22" t="s">
        <v>45</v>
      </c>
      <c r="T80" s="22" t="s">
        <v>5441</v>
      </c>
      <c r="U80" s="22" t="s">
        <v>45</v>
      </c>
      <c r="V80" s="22" t="s">
        <v>45</v>
      </c>
      <c r="W80" s="22" t="s">
        <v>5549</v>
      </c>
    </row>
    <row r="81" ht="45.0" customHeight="1">
      <c r="A81" s="55" t="s">
        <v>396</v>
      </c>
      <c r="B81" s="62" t="s">
        <v>3985</v>
      </c>
      <c r="C81" s="22" t="str">
        <f>IMAGE("https://raw.githubusercontent.com/ltdimages/images/refs/heads/main/ClothHeadwearHatSki_00.png")</f>
        <v/>
      </c>
      <c r="D81" s="22" t="str">
        <f>IMAGE("https://raw.githubusercontent.com/ltdimages/images/refs/heads/main/ClothHeadwearHatSki_01.png")</f>
        <v/>
      </c>
      <c r="E81" s="22" t="str">
        <f>IMAGE("https://raw.githubusercontent.com/ltdimages/images/refs/heads/main/ClothHeadwearHatSki_02.png")</f>
        <v/>
      </c>
      <c r="F81" s="22" t="str">
        <f>IMAGE("https://raw.githubusercontent.com/ltdimages/images/refs/heads/main/ClothHeadwearHatSki_03.png")</f>
        <v/>
      </c>
      <c r="G81" s="22" t="str">
        <f>IMAGE("https://raw.githubusercontent.com/ltdimages/images/refs/heads/main/ClothHeadwearHatSki_04.png")</f>
        <v/>
      </c>
      <c r="H81" s="22" t="str">
        <f>IMAGE("https://raw.githubusercontent.com/ltdimages/images/refs/heads/main/ClothHeadwearHatSki_05.png")</f>
        <v/>
      </c>
      <c r="I81" s="22" t="s">
        <v>3095</v>
      </c>
      <c r="J81" s="22" t="s">
        <v>3095</v>
      </c>
      <c r="K81" s="63" t="s">
        <v>3244</v>
      </c>
      <c r="L81" s="23">
        <v>16.0</v>
      </c>
      <c r="M81" s="22" t="s">
        <v>3097</v>
      </c>
      <c r="N81" s="22" t="s">
        <v>3099</v>
      </c>
      <c r="O81" s="22" t="s">
        <v>45</v>
      </c>
      <c r="P81" s="22" t="s">
        <v>45</v>
      </c>
      <c r="Q81" s="22" t="s">
        <v>45</v>
      </c>
      <c r="R81" s="22" t="s">
        <v>45</v>
      </c>
      <c r="S81" s="22" t="s">
        <v>45</v>
      </c>
      <c r="T81" s="22" t="s">
        <v>5441</v>
      </c>
      <c r="U81" s="22" t="s">
        <v>45</v>
      </c>
      <c r="V81" s="22" t="s">
        <v>45</v>
      </c>
      <c r="W81" s="22" t="s">
        <v>5550</v>
      </c>
    </row>
    <row r="82" ht="45.0" customHeight="1">
      <c r="A82" s="55" t="s">
        <v>400</v>
      </c>
      <c r="B82" s="62" t="s">
        <v>3974</v>
      </c>
      <c r="C82" s="22" t="str">
        <f>IMAGE("https://raw.githubusercontent.com/ltdimages/images/refs/heads/main/ClothHeadwearHatRoll_00.png")</f>
        <v/>
      </c>
      <c r="D82" s="22" t="str">
        <f>IMAGE("https://raw.githubusercontent.com/ltdimages/images/refs/heads/main/ClothHeadwearHatRoll_01.png")</f>
        <v/>
      </c>
      <c r="E82" s="22" t="str">
        <f>IMAGE("https://raw.githubusercontent.com/ltdimages/images/refs/heads/main/ClothHeadwearHatRoll_02.png")</f>
        <v/>
      </c>
      <c r="F82" s="22" t="str">
        <f>IMAGE("https://raw.githubusercontent.com/ltdimages/images/refs/heads/main/ClothHeadwearHatRoll_03.png")</f>
        <v/>
      </c>
      <c r="G82" s="22" t="str">
        <f>IMAGE("https://raw.githubusercontent.com/ltdimages/images/refs/heads/main/ClothHeadwearHatRoll_04.png")</f>
        <v/>
      </c>
      <c r="H82" s="22" t="str">
        <f>IMAGE("https://raw.githubusercontent.com/ltdimages/images/refs/heads/main/ClothHeadwearHatRoll_05.png")</f>
        <v/>
      </c>
      <c r="I82" s="22" t="str">
        <f>IMAGE("https://raw.githubusercontent.com/ltdimages/images/refs/heads/main/ClothHeadwearHatRoll_06.png")</f>
        <v/>
      </c>
      <c r="J82" s="22" t="str">
        <f>IMAGE("https://raw.githubusercontent.com/ltdimages/images/refs/heads/main/ClothHeadwearHatRoll_07.png")</f>
        <v/>
      </c>
      <c r="K82" s="63" t="s">
        <v>3244</v>
      </c>
      <c r="L82" s="23">
        <v>19.0</v>
      </c>
      <c r="M82" s="22" t="s">
        <v>3097</v>
      </c>
      <c r="N82" s="22" t="s">
        <v>3099</v>
      </c>
      <c r="O82" s="22" t="s">
        <v>45</v>
      </c>
      <c r="P82" s="22" t="s">
        <v>45</v>
      </c>
      <c r="Q82" s="22" t="s">
        <v>45</v>
      </c>
      <c r="R82" s="22" t="s">
        <v>45</v>
      </c>
      <c r="S82" s="22" t="s">
        <v>45</v>
      </c>
      <c r="T82" s="22" t="s">
        <v>5441</v>
      </c>
      <c r="U82" s="22" t="s">
        <v>45</v>
      </c>
      <c r="V82" s="22" t="s">
        <v>45</v>
      </c>
      <c r="W82" s="22" t="s">
        <v>5551</v>
      </c>
    </row>
    <row r="83" ht="45.0" customHeight="1">
      <c r="A83" s="55" t="s">
        <v>404</v>
      </c>
      <c r="B83" s="62" t="s">
        <v>3576</v>
      </c>
      <c r="C83" s="22" t="str">
        <f>IMAGE("https://raw.githubusercontent.com/ltdimages/images/refs/heads/main/ClothHeadwearHatNightCap_00.png")</f>
        <v/>
      </c>
      <c r="D83" s="22" t="str">
        <f>IMAGE("https://raw.githubusercontent.com/ltdimages/images/refs/heads/main/ClothHeadwearHatNightCap_01.png")</f>
        <v/>
      </c>
      <c r="E83" s="22" t="str">
        <f>IMAGE("https://raw.githubusercontent.com/ltdimages/images/refs/heads/main/ClothHeadwearHatNightCap_02.png")</f>
        <v/>
      </c>
      <c r="F83" s="22" t="str">
        <f>IMAGE("https://raw.githubusercontent.com/ltdimages/images/refs/heads/main/ClothHeadwearHatNightCap_03.png")</f>
        <v/>
      </c>
      <c r="G83" s="22" t="str">
        <f>IMAGE("https://raw.githubusercontent.com/ltdimages/images/refs/heads/main/ClothHeadwearHatNightCap_04.png")</f>
        <v/>
      </c>
      <c r="H83" s="22" t="str">
        <f>IMAGE("https://raw.githubusercontent.com/ltdimages/images/refs/heads/main/ClothHeadwearHatNightCap_05.png")</f>
        <v/>
      </c>
      <c r="I83" s="22" t="str">
        <f>IMAGE("https://raw.githubusercontent.com/ltdimages/images/refs/heads/main/ClothHeadwearHatNightCap_06.png")</f>
        <v/>
      </c>
      <c r="J83" s="22" t="str">
        <f>IMAGE("https://raw.githubusercontent.com/ltdimages/images/refs/heads/main/ClothHeadwearHatNightCap_07.png")</f>
        <v/>
      </c>
      <c r="K83" s="63" t="s">
        <v>3244</v>
      </c>
      <c r="L83" s="23">
        <v>13.0</v>
      </c>
      <c r="M83" s="22" t="s">
        <v>3097</v>
      </c>
      <c r="N83" s="22" t="s">
        <v>3099</v>
      </c>
      <c r="O83" s="22" t="s">
        <v>45</v>
      </c>
      <c r="P83" s="22" t="s">
        <v>45</v>
      </c>
      <c r="Q83" s="22" t="s">
        <v>45</v>
      </c>
      <c r="R83" s="22" t="s">
        <v>45</v>
      </c>
      <c r="S83" s="22" t="s">
        <v>45</v>
      </c>
      <c r="T83" s="22" t="s">
        <v>5441</v>
      </c>
      <c r="U83" s="22" t="s">
        <v>45</v>
      </c>
      <c r="V83" s="22" t="s">
        <v>45</v>
      </c>
      <c r="W83" s="22" t="s">
        <v>5552</v>
      </c>
    </row>
    <row r="84" ht="45.0" customHeight="1">
      <c r="A84" s="55" t="s">
        <v>410</v>
      </c>
      <c r="B84" s="62" t="s">
        <v>4029</v>
      </c>
      <c r="C84" s="22" t="str">
        <f>IMAGE("https://raw.githubusercontent.com/ltdimages/images/refs/heads/main/ClothHeadwearHatSoftcream_00.png")</f>
        <v/>
      </c>
      <c r="D84" s="22" t="str">
        <f>IMAGE("https://raw.githubusercontent.com/ltdimages/images/refs/heads/main/ClothHeadwearHatSoftcream_01.png")</f>
        <v/>
      </c>
      <c r="E84" s="22" t="str">
        <f>IMAGE("https://raw.githubusercontent.com/ltdimages/images/refs/heads/main/ClothHeadwearHatSoftcream_02.png")</f>
        <v/>
      </c>
      <c r="F84" s="22" t="str">
        <f>IMAGE("https://raw.githubusercontent.com/ltdimages/images/refs/heads/main/ClothHeadwearHatSoftcream_03.png")</f>
        <v/>
      </c>
      <c r="G84" s="22" t="str">
        <f>IMAGE("https://raw.githubusercontent.com/ltdimages/images/refs/heads/main/ClothHeadwearHatSoftcream_04.png")</f>
        <v/>
      </c>
      <c r="H84" s="22" t="str">
        <f>IMAGE("https://raw.githubusercontent.com/ltdimages/images/refs/heads/main/ClothHeadwearHatSoftcream_05.png")</f>
        <v/>
      </c>
      <c r="I84" s="22" t="str">
        <f>IMAGE("https://raw.githubusercontent.com/ltdimages/images/refs/heads/main/ClothHeadwearHatSoftcream_06.png")</f>
        <v/>
      </c>
      <c r="J84" s="22" t="str">
        <f>IMAGE("https://raw.githubusercontent.com/ltdimages/images/refs/heads/main/ClothHeadwearHatSoftcream_07.png")</f>
        <v/>
      </c>
      <c r="K84" s="63" t="s">
        <v>3244</v>
      </c>
      <c r="L84" s="23">
        <v>27.9</v>
      </c>
      <c r="M84" s="22" t="s">
        <v>3097</v>
      </c>
      <c r="N84" s="22" t="s">
        <v>3099</v>
      </c>
      <c r="O84" s="22" t="s">
        <v>45</v>
      </c>
      <c r="P84" s="22" t="s">
        <v>45</v>
      </c>
      <c r="Q84" s="22" t="s">
        <v>45</v>
      </c>
      <c r="R84" s="22" t="s">
        <v>49</v>
      </c>
      <c r="S84" s="22" t="s">
        <v>45</v>
      </c>
      <c r="T84" s="22" t="s">
        <v>5441</v>
      </c>
      <c r="U84" s="22" t="s">
        <v>45</v>
      </c>
      <c r="V84" s="22" t="s">
        <v>45</v>
      </c>
      <c r="W84" s="22" t="s">
        <v>5553</v>
      </c>
    </row>
    <row r="85" ht="45.0" customHeight="1">
      <c r="A85" s="55" t="s">
        <v>414</v>
      </c>
      <c r="B85" s="62" t="s">
        <v>5554</v>
      </c>
      <c r="C85" s="22" t="str">
        <f>IMAGE("https://raw.githubusercontent.com/ltdimages/images/refs/heads/main/ClothHeadwearHatSombrero_00.png")</f>
        <v/>
      </c>
      <c r="D85" s="22" t="str">
        <f>IMAGE("https://raw.githubusercontent.com/ltdimages/images/refs/heads/main/ClothHeadwearHatSombrero_01.png")</f>
        <v/>
      </c>
      <c r="E85" s="22" t="str">
        <f>IMAGE("https://raw.githubusercontent.com/ltdimages/images/refs/heads/main/ClothHeadwearHatSombrero_02.png")</f>
        <v/>
      </c>
      <c r="F85" s="22" t="str">
        <f>IMAGE("https://raw.githubusercontent.com/ltdimages/images/refs/heads/main/ClothHeadwearHatSombrero_03.png")</f>
        <v/>
      </c>
      <c r="G85" s="22" t="str">
        <f>IMAGE("https://raw.githubusercontent.com/ltdimages/images/refs/heads/main/ClothHeadwearHatSombrero_04.png")</f>
        <v/>
      </c>
      <c r="H85" s="22" t="str">
        <f>IMAGE("https://raw.githubusercontent.com/ltdimages/images/refs/heads/main/ClothHeadwearHatSombrero_05.png")</f>
        <v/>
      </c>
      <c r="I85" s="22" t="s">
        <v>3095</v>
      </c>
      <c r="J85" s="22" t="s">
        <v>3095</v>
      </c>
      <c r="K85" s="63" t="s">
        <v>3244</v>
      </c>
      <c r="L85" s="23">
        <v>20.0</v>
      </c>
      <c r="M85" s="22" t="s">
        <v>3097</v>
      </c>
      <c r="N85" s="22" t="s">
        <v>3099</v>
      </c>
      <c r="O85" s="22" t="s">
        <v>45</v>
      </c>
      <c r="P85" s="22" t="s">
        <v>45</v>
      </c>
      <c r="Q85" s="22" t="s">
        <v>45</v>
      </c>
      <c r="R85" s="22" t="s">
        <v>45</v>
      </c>
      <c r="S85" s="22" t="s">
        <v>45</v>
      </c>
      <c r="T85" s="22" t="s">
        <v>5441</v>
      </c>
      <c r="U85" s="22" t="s">
        <v>45</v>
      </c>
      <c r="V85" s="22" t="s">
        <v>45</v>
      </c>
      <c r="W85" s="22" t="s">
        <v>5555</v>
      </c>
    </row>
    <row r="86" ht="45.0" customHeight="1">
      <c r="A86" s="55" t="s">
        <v>418</v>
      </c>
      <c r="B86" s="62" t="s">
        <v>5556</v>
      </c>
      <c r="C86" s="22" t="str">
        <f>IMAGE("https://raw.githubusercontent.com/ltdimages/images/refs/heads/main/ClothHeadwearHatSquare_00.png")</f>
        <v/>
      </c>
      <c r="D86" s="22" t="str">
        <f>IMAGE("https://raw.githubusercontent.com/ltdimages/images/refs/heads/main/ClothHeadwearHatSquare_01.png")</f>
        <v/>
      </c>
      <c r="E86" s="22" t="str">
        <f>IMAGE("https://raw.githubusercontent.com/ltdimages/images/refs/heads/main/ClothHeadwearHatSquare_02.png")</f>
        <v/>
      </c>
      <c r="F86" s="22" t="str">
        <f>IMAGE("https://raw.githubusercontent.com/ltdimages/images/refs/heads/main/ClothHeadwearHatSquare_03.png")</f>
        <v/>
      </c>
      <c r="G86" s="22" t="str">
        <f>IMAGE("https://raw.githubusercontent.com/ltdimages/images/refs/heads/main/ClothHeadwearHatSquare_04.png")</f>
        <v/>
      </c>
      <c r="H86" s="22" t="str">
        <f>IMAGE("https://raw.githubusercontent.com/ltdimages/images/refs/heads/main/ClothHeadwearHatSquare_05.png")</f>
        <v/>
      </c>
      <c r="I86" s="22" t="str">
        <f>IMAGE("https://raw.githubusercontent.com/ltdimages/images/refs/heads/main/ClothHeadwearHatSquare_06.png")</f>
        <v/>
      </c>
      <c r="J86" s="22" t="str">
        <f>IMAGE("https://raw.githubusercontent.com/ltdimages/images/refs/heads/main/ClothHeadwearHatSquare_07.png")</f>
        <v/>
      </c>
      <c r="K86" s="63" t="s">
        <v>3244</v>
      </c>
      <c r="L86" s="23">
        <v>15.5</v>
      </c>
      <c r="M86" s="22" t="s">
        <v>3097</v>
      </c>
      <c r="N86" s="22" t="s">
        <v>3099</v>
      </c>
      <c r="O86" s="22" t="s">
        <v>45</v>
      </c>
      <c r="P86" s="22" t="s">
        <v>45</v>
      </c>
      <c r="Q86" s="22" t="s">
        <v>45</v>
      </c>
      <c r="R86" s="22" t="s">
        <v>45</v>
      </c>
      <c r="S86" s="22" t="s">
        <v>45</v>
      </c>
      <c r="T86" s="22" t="s">
        <v>5441</v>
      </c>
      <c r="U86" s="22" t="s">
        <v>45</v>
      </c>
      <c r="V86" s="22" t="s">
        <v>45</v>
      </c>
      <c r="W86" s="22" t="s">
        <v>5557</v>
      </c>
    </row>
    <row r="87" ht="45.0" customHeight="1">
      <c r="A87" s="55" t="s">
        <v>422</v>
      </c>
      <c r="B87" s="62" t="s">
        <v>5558</v>
      </c>
      <c r="C87" s="22" t="str">
        <f>IMAGE("https://raw.githubusercontent.com/ltdimages/images/refs/heads/main/ClothHeadwearHatSteamPunk_00.png")</f>
        <v/>
      </c>
      <c r="D87" s="22" t="str">
        <f>IMAGE("https://raw.githubusercontent.com/ltdimages/images/refs/heads/main/ClothHeadwearHatSteamPunk_01.png")</f>
        <v/>
      </c>
      <c r="E87" s="22" t="str">
        <f>IMAGE("https://raw.githubusercontent.com/ltdimages/images/refs/heads/main/ClothHeadwearHatSteamPunk_02.png")</f>
        <v/>
      </c>
      <c r="F87" s="22" t="str">
        <f>IMAGE("https://raw.githubusercontent.com/ltdimages/images/refs/heads/main/ClothHeadwearHatSteamPunk_03.png")</f>
        <v/>
      </c>
      <c r="G87" s="22" t="str">
        <f>IMAGE("https://raw.githubusercontent.com/ltdimages/images/refs/heads/main/ClothHeadwearHatSteamPunk_04.png")</f>
        <v/>
      </c>
      <c r="H87" s="22" t="s">
        <v>3095</v>
      </c>
      <c r="I87" s="22" t="s">
        <v>3095</v>
      </c>
      <c r="J87" s="22" t="s">
        <v>3095</v>
      </c>
      <c r="K87" s="63" t="s">
        <v>3244</v>
      </c>
      <c r="L87" s="23">
        <v>21.0</v>
      </c>
      <c r="M87" s="22" t="s">
        <v>3097</v>
      </c>
      <c r="N87" s="22" t="s">
        <v>3099</v>
      </c>
      <c r="O87" s="22" t="s">
        <v>45</v>
      </c>
      <c r="P87" s="22" t="s">
        <v>45</v>
      </c>
      <c r="Q87" s="22" t="s">
        <v>45</v>
      </c>
      <c r="R87" s="22" t="s">
        <v>49</v>
      </c>
      <c r="S87" s="22" t="s">
        <v>45</v>
      </c>
      <c r="T87" s="22" t="s">
        <v>5441</v>
      </c>
      <c r="U87" s="22" t="s">
        <v>45</v>
      </c>
      <c r="V87" s="22" t="s">
        <v>45</v>
      </c>
      <c r="W87" s="22" t="s">
        <v>5559</v>
      </c>
    </row>
    <row r="88" ht="45.0" customHeight="1">
      <c r="A88" s="55" t="s">
        <v>426</v>
      </c>
      <c r="B88" s="62" t="s">
        <v>5560</v>
      </c>
      <c r="C88" s="22" t="str">
        <f>IMAGE("https://raw.githubusercontent.com/ltdimages/images/refs/heads/main/ClothHeadwearHatStrawberry_00.png")</f>
        <v/>
      </c>
      <c r="D88" s="22" t="str">
        <f>IMAGE("https://raw.githubusercontent.com/ltdimages/images/refs/heads/main/ClothHeadwearHatStrawberry_01.png")</f>
        <v/>
      </c>
      <c r="E88" s="22" t="s">
        <v>3095</v>
      </c>
      <c r="F88" s="22" t="s">
        <v>3095</v>
      </c>
      <c r="G88" s="22" t="s">
        <v>3095</v>
      </c>
      <c r="H88" s="22" t="s">
        <v>3095</v>
      </c>
      <c r="I88" s="22" t="s">
        <v>3095</v>
      </c>
      <c r="J88" s="22" t="s">
        <v>3095</v>
      </c>
      <c r="K88" s="63" t="s">
        <v>3244</v>
      </c>
      <c r="L88" s="23">
        <v>21.1</v>
      </c>
      <c r="M88" s="22" t="s">
        <v>3097</v>
      </c>
      <c r="N88" s="22" t="s">
        <v>3099</v>
      </c>
      <c r="O88" s="22" t="s">
        <v>45</v>
      </c>
      <c r="P88" s="22" t="s">
        <v>45</v>
      </c>
      <c r="Q88" s="22" t="s">
        <v>45</v>
      </c>
      <c r="R88" s="22" t="s">
        <v>49</v>
      </c>
      <c r="S88" s="22" t="s">
        <v>45</v>
      </c>
      <c r="T88" s="22" t="s">
        <v>5441</v>
      </c>
      <c r="U88" s="22" t="s">
        <v>45</v>
      </c>
      <c r="V88" s="22" t="s">
        <v>45</v>
      </c>
      <c r="W88" s="22" t="s">
        <v>5561</v>
      </c>
    </row>
    <row r="89" ht="45.0" customHeight="1">
      <c r="A89" s="55" t="s">
        <v>430</v>
      </c>
      <c r="B89" s="62" t="s">
        <v>4314</v>
      </c>
      <c r="C89" s="22" t="str">
        <f>IMAGE("https://raw.githubusercontent.com/ltdimages/images/refs/heads/main/ClothHeadwearHatBoater_00.png")</f>
        <v/>
      </c>
      <c r="D89" s="22" t="str">
        <f>IMAGE("https://raw.githubusercontent.com/ltdimages/images/refs/heads/main/ClothHeadwearHatBoater_01.png")</f>
        <v/>
      </c>
      <c r="E89" s="22" t="str">
        <f>IMAGE("https://raw.githubusercontent.com/ltdimages/images/refs/heads/main/ClothHeadwearHatBoater_02.png")</f>
        <v/>
      </c>
      <c r="F89" s="22" t="s">
        <v>3095</v>
      </c>
      <c r="G89" s="22" t="s">
        <v>3095</v>
      </c>
      <c r="H89" s="22" t="s">
        <v>3095</v>
      </c>
      <c r="I89" s="22" t="s">
        <v>3095</v>
      </c>
      <c r="J89" s="22" t="s">
        <v>3095</v>
      </c>
      <c r="K89" s="63" t="s">
        <v>3244</v>
      </c>
      <c r="L89" s="23">
        <v>18.0</v>
      </c>
      <c r="M89" s="22" t="s">
        <v>3097</v>
      </c>
      <c r="N89" s="22" t="s">
        <v>3099</v>
      </c>
      <c r="O89" s="22" t="s">
        <v>45</v>
      </c>
      <c r="P89" s="22" t="s">
        <v>45</v>
      </c>
      <c r="Q89" s="22" t="s">
        <v>45</v>
      </c>
      <c r="R89" s="22" t="s">
        <v>45</v>
      </c>
      <c r="S89" s="22" t="s">
        <v>45</v>
      </c>
      <c r="T89" s="22" t="s">
        <v>5441</v>
      </c>
      <c r="U89" s="22" t="s">
        <v>45</v>
      </c>
      <c r="V89" s="22" t="s">
        <v>45</v>
      </c>
      <c r="W89" s="22" t="s">
        <v>5562</v>
      </c>
    </row>
    <row r="90" ht="45.0" customHeight="1">
      <c r="A90" s="55" t="s">
        <v>434</v>
      </c>
      <c r="B90" s="62" t="s">
        <v>3126</v>
      </c>
      <c r="C90" s="22" t="str">
        <f>IMAGE("https://raw.githubusercontent.com/ltdimages/images/refs/heads/main/ClothHeadwearHatStraw_00.png")</f>
        <v/>
      </c>
      <c r="D90" s="22" t="str">
        <f>IMAGE("https://raw.githubusercontent.com/ltdimages/images/refs/heads/main/ClothHeadwearHatStraw_01.png")</f>
        <v/>
      </c>
      <c r="E90" s="22" t="str">
        <f>IMAGE("https://raw.githubusercontent.com/ltdimages/images/refs/heads/main/ClothHeadwearHatStraw_02.png")</f>
        <v/>
      </c>
      <c r="F90" s="22" t="str">
        <f>IMAGE("https://raw.githubusercontent.com/ltdimages/images/refs/heads/main/ClothHeadwearHatStraw_03.png")</f>
        <v/>
      </c>
      <c r="G90" s="22" t="s">
        <v>3095</v>
      </c>
      <c r="H90" s="22" t="s">
        <v>3095</v>
      </c>
      <c r="I90" s="22" t="s">
        <v>3095</v>
      </c>
      <c r="J90" s="22" t="s">
        <v>3095</v>
      </c>
      <c r="K90" s="63" t="s">
        <v>3244</v>
      </c>
      <c r="L90" s="23">
        <v>16.5</v>
      </c>
      <c r="M90" s="22" t="s">
        <v>3097</v>
      </c>
      <c r="N90" s="22" t="s">
        <v>3123</v>
      </c>
      <c r="O90" s="22" t="s">
        <v>45</v>
      </c>
      <c r="P90" s="22" t="s">
        <v>45</v>
      </c>
      <c r="Q90" s="22" t="s">
        <v>45</v>
      </c>
      <c r="R90" s="22" t="s">
        <v>45</v>
      </c>
      <c r="S90" s="22" t="s">
        <v>45</v>
      </c>
      <c r="T90" s="22" t="s">
        <v>5441</v>
      </c>
      <c r="U90" s="22" t="s">
        <v>45</v>
      </c>
      <c r="V90" s="22" t="s">
        <v>45</v>
      </c>
      <c r="W90" s="22" t="s">
        <v>5563</v>
      </c>
    </row>
    <row r="91" ht="45.0" customHeight="1">
      <c r="A91" s="55" t="s">
        <v>438</v>
      </c>
      <c r="B91" s="62" t="s">
        <v>4712</v>
      </c>
      <c r="C91" s="22" t="str">
        <f>IMAGE("https://raw.githubusercontent.com/ltdimages/images/refs/heads/main/ClothHeadwearHatStudsCasquette_00.png")</f>
        <v/>
      </c>
      <c r="D91" s="22" t="str">
        <f>IMAGE("https://raw.githubusercontent.com/ltdimages/images/refs/heads/main/ClothHeadwearHatStudsCasquette_01.png")</f>
        <v/>
      </c>
      <c r="E91" s="22" t="s">
        <v>3095</v>
      </c>
      <c r="F91" s="22" t="s">
        <v>3095</v>
      </c>
      <c r="G91" s="22" t="s">
        <v>3095</v>
      </c>
      <c r="H91" s="22" t="s">
        <v>3095</v>
      </c>
      <c r="I91" s="22" t="s">
        <v>3095</v>
      </c>
      <c r="J91" s="22" t="s">
        <v>3095</v>
      </c>
      <c r="K91" s="63" t="s">
        <v>3244</v>
      </c>
      <c r="L91" s="23">
        <v>19.5</v>
      </c>
      <c r="M91" s="22" t="s">
        <v>3097</v>
      </c>
      <c r="N91" s="22" t="s">
        <v>3099</v>
      </c>
      <c r="O91" s="22" t="s">
        <v>45</v>
      </c>
      <c r="P91" s="22" t="s">
        <v>45</v>
      </c>
      <c r="Q91" s="22" t="s">
        <v>45</v>
      </c>
      <c r="R91" s="22" t="s">
        <v>45</v>
      </c>
      <c r="S91" s="22" t="s">
        <v>45</v>
      </c>
      <c r="T91" s="22" t="s">
        <v>5441</v>
      </c>
      <c r="U91" s="22" t="s">
        <v>45</v>
      </c>
      <c r="V91" s="22" t="s">
        <v>45</v>
      </c>
      <c r="W91" s="22" t="s">
        <v>5564</v>
      </c>
    </row>
    <row r="92" ht="45.0" customHeight="1">
      <c r="A92" s="55" t="s">
        <v>442</v>
      </c>
      <c r="B92" s="62" t="s">
        <v>5565</v>
      </c>
      <c r="C92" s="22" t="str">
        <f>IMAGE("https://raw.githubusercontent.com/ltdimages/images/refs/heads/main/ClothHeadwearHatStudent_00.png")</f>
        <v/>
      </c>
      <c r="D92" s="22" t="str">
        <f>IMAGE("https://raw.githubusercontent.com/ltdimages/images/refs/heads/main/ClothHeadwearHatStudent_01.png")</f>
        <v/>
      </c>
      <c r="E92" s="22" t="s">
        <v>3095</v>
      </c>
      <c r="F92" s="22" t="s">
        <v>3095</v>
      </c>
      <c r="G92" s="22" t="s">
        <v>3095</v>
      </c>
      <c r="H92" s="22" t="s">
        <v>3095</v>
      </c>
      <c r="I92" s="22" t="s">
        <v>3095</v>
      </c>
      <c r="J92" s="22" t="s">
        <v>3095</v>
      </c>
      <c r="K92" s="63" t="s">
        <v>3244</v>
      </c>
      <c r="L92" s="23">
        <v>14.0</v>
      </c>
      <c r="M92" s="22" t="s">
        <v>3097</v>
      </c>
      <c r="N92" s="22" t="s">
        <v>3099</v>
      </c>
      <c r="O92" s="22" t="s">
        <v>45</v>
      </c>
      <c r="P92" s="22" t="s">
        <v>45</v>
      </c>
      <c r="Q92" s="22" t="s">
        <v>45</v>
      </c>
      <c r="R92" s="22" t="s">
        <v>45</v>
      </c>
      <c r="S92" s="22" t="s">
        <v>45</v>
      </c>
      <c r="T92" s="22" t="s">
        <v>5441</v>
      </c>
      <c r="U92" s="22" t="s">
        <v>45</v>
      </c>
      <c r="V92" s="22" t="s">
        <v>45</v>
      </c>
      <c r="W92" s="22" t="s">
        <v>5566</v>
      </c>
    </row>
    <row r="93" ht="45.0" customHeight="1">
      <c r="A93" s="55" t="s">
        <v>446</v>
      </c>
      <c r="B93" s="62" t="s">
        <v>4106</v>
      </c>
      <c r="C93" s="22" t="str">
        <f>IMAGE("https://raw.githubusercontent.com/ltdimages/images/refs/heads/main/ClothHeadwearHatTam_00.png")</f>
        <v/>
      </c>
      <c r="D93" s="22" t="str">
        <f>IMAGE("https://raw.githubusercontent.com/ltdimages/images/refs/heads/main/ClothHeadwearHatTam_01.png")</f>
        <v/>
      </c>
      <c r="E93" s="22" t="str">
        <f>IMAGE("https://raw.githubusercontent.com/ltdimages/images/refs/heads/main/ClothHeadwearHatTam_02.png")</f>
        <v/>
      </c>
      <c r="F93" s="22" t="str">
        <f>IMAGE("https://raw.githubusercontent.com/ltdimages/images/refs/heads/main/ClothHeadwearHatTam_03.png")</f>
        <v/>
      </c>
      <c r="G93" s="22" t="str">
        <f>IMAGE("https://raw.githubusercontent.com/ltdimages/images/refs/heads/main/ClothHeadwearHatTam_04.png")</f>
        <v/>
      </c>
      <c r="H93" s="22" t="str">
        <f>IMAGE("https://raw.githubusercontent.com/ltdimages/images/refs/heads/main/ClothHeadwearHatTam_05.png")</f>
        <v/>
      </c>
      <c r="I93" s="22" t="s">
        <v>3095</v>
      </c>
      <c r="J93" s="22" t="s">
        <v>3095</v>
      </c>
      <c r="K93" s="63" t="s">
        <v>3244</v>
      </c>
      <c r="L93" s="23">
        <v>20.0</v>
      </c>
      <c r="M93" s="22" t="s">
        <v>3097</v>
      </c>
      <c r="N93" s="22" t="s">
        <v>3099</v>
      </c>
      <c r="O93" s="22" t="s">
        <v>45</v>
      </c>
      <c r="P93" s="22" t="s">
        <v>45</v>
      </c>
      <c r="Q93" s="22" t="s">
        <v>45</v>
      </c>
      <c r="R93" s="22" t="s">
        <v>45</v>
      </c>
      <c r="S93" s="22" t="s">
        <v>45</v>
      </c>
      <c r="T93" s="22" t="s">
        <v>5441</v>
      </c>
      <c r="U93" s="22" t="s">
        <v>45</v>
      </c>
      <c r="V93" s="22" t="s">
        <v>45</v>
      </c>
      <c r="W93" s="22" t="s">
        <v>5567</v>
      </c>
    </row>
    <row r="94" ht="45.0" customHeight="1">
      <c r="A94" s="55" t="s">
        <v>450</v>
      </c>
      <c r="B94" s="62" t="s">
        <v>3907</v>
      </c>
      <c r="C94" s="22" t="str">
        <f>IMAGE("https://raw.githubusercontent.com/ltdimages/images/refs/heads/main/ClothHeadwearHatCawboy_00.png")</f>
        <v/>
      </c>
      <c r="D94" s="22" t="str">
        <f>IMAGE("https://raw.githubusercontent.com/ltdimages/images/refs/heads/main/ClothHeadwearHatCawboy_01.png")</f>
        <v/>
      </c>
      <c r="E94" s="22" t="str">
        <f>IMAGE("https://raw.githubusercontent.com/ltdimages/images/refs/heads/main/ClothHeadwearHatCawboy_02.png")</f>
        <v/>
      </c>
      <c r="F94" s="22" t="str">
        <f>IMAGE("https://raw.githubusercontent.com/ltdimages/images/refs/heads/main/ClothHeadwearHatCawboy_03.png")</f>
        <v/>
      </c>
      <c r="G94" s="22" t="str">
        <f>IMAGE("https://raw.githubusercontent.com/ltdimages/images/refs/heads/main/ClothHeadwearHatCawboy_04.png")</f>
        <v/>
      </c>
      <c r="H94" s="22" t="s">
        <v>3095</v>
      </c>
      <c r="I94" s="22" t="s">
        <v>3095</v>
      </c>
      <c r="J94" s="22" t="s">
        <v>3095</v>
      </c>
      <c r="K94" s="63" t="s">
        <v>3244</v>
      </c>
      <c r="L94" s="23">
        <v>21.0</v>
      </c>
      <c r="M94" s="22" t="s">
        <v>3097</v>
      </c>
      <c r="N94" s="22" t="s">
        <v>3099</v>
      </c>
      <c r="O94" s="22" t="s">
        <v>45</v>
      </c>
      <c r="P94" s="22" t="s">
        <v>45</v>
      </c>
      <c r="Q94" s="22" t="s">
        <v>45</v>
      </c>
      <c r="R94" s="22" t="s">
        <v>45</v>
      </c>
      <c r="S94" s="22" t="s">
        <v>45</v>
      </c>
      <c r="T94" s="22" t="s">
        <v>5441</v>
      </c>
      <c r="U94" s="22" t="s">
        <v>45</v>
      </c>
      <c r="V94" s="22" t="s">
        <v>45</v>
      </c>
      <c r="W94" s="22" t="s">
        <v>5568</v>
      </c>
    </row>
    <row r="95" ht="45.0" customHeight="1">
      <c r="A95" s="55" t="s">
        <v>454</v>
      </c>
      <c r="B95" s="62" t="s">
        <v>3559</v>
      </c>
      <c r="C95" s="22" t="str">
        <f>IMAGE("https://raw.githubusercontent.com/ltdimages/images/refs/heads/main/ClothHeadwearHatTiedye_00.png")</f>
        <v/>
      </c>
      <c r="D95" s="22" t="str">
        <f>IMAGE("https://raw.githubusercontent.com/ltdimages/images/refs/heads/main/ClothHeadwearHatTiedye_01.png")</f>
        <v/>
      </c>
      <c r="E95" s="22" t="str">
        <f>IMAGE("https://raw.githubusercontent.com/ltdimages/images/refs/heads/main/ClothHeadwearHatTiedye_02.png")</f>
        <v/>
      </c>
      <c r="F95" s="22" t="str">
        <f>IMAGE("https://raw.githubusercontent.com/ltdimages/images/refs/heads/main/ClothHeadwearHatTiedye_03.png")</f>
        <v/>
      </c>
      <c r="G95" s="22" t="str">
        <f>IMAGE("https://raw.githubusercontent.com/ltdimages/images/refs/heads/main/ClothHeadwearHatTiedye_04.png")</f>
        <v/>
      </c>
      <c r="H95" s="22" t="str">
        <f>IMAGE("https://raw.githubusercontent.com/ltdimages/images/refs/heads/main/ClothHeadwearHatTiedye_05.png")</f>
        <v/>
      </c>
      <c r="I95" s="22" t="str">
        <f>IMAGE("https://raw.githubusercontent.com/ltdimages/images/refs/heads/main/ClothHeadwearHatTiedye_06.png")</f>
        <v/>
      </c>
      <c r="J95" s="22" t="str">
        <f>IMAGE("https://raw.githubusercontent.com/ltdimages/images/refs/heads/main/ClothHeadwearHatTiedye_07.png")</f>
        <v/>
      </c>
      <c r="K95" s="63" t="s">
        <v>3244</v>
      </c>
      <c r="L95" s="23">
        <v>18.0</v>
      </c>
      <c r="M95" s="22" t="s">
        <v>3097</v>
      </c>
      <c r="N95" s="22" t="s">
        <v>3099</v>
      </c>
      <c r="O95" s="22" t="s">
        <v>45</v>
      </c>
      <c r="P95" s="22" t="s">
        <v>45</v>
      </c>
      <c r="Q95" s="22" t="s">
        <v>45</v>
      </c>
      <c r="R95" s="22" t="s">
        <v>45</v>
      </c>
      <c r="S95" s="22" t="s">
        <v>45</v>
      </c>
      <c r="T95" s="22" t="s">
        <v>5441</v>
      </c>
      <c r="U95" s="22" t="s">
        <v>45</v>
      </c>
      <c r="V95" s="22" t="s">
        <v>45</v>
      </c>
      <c r="W95" s="22" t="s">
        <v>5569</v>
      </c>
    </row>
    <row r="96" ht="45.0" customHeight="1">
      <c r="A96" s="55" t="s">
        <v>459</v>
      </c>
      <c r="B96" s="62" t="s">
        <v>5570</v>
      </c>
      <c r="C96" s="22" t="str">
        <f>IMAGE("https://raw.githubusercontent.com/ltdimages/images/refs/heads/main/ClothHeadwearHatSilk_00.png")</f>
        <v/>
      </c>
      <c r="D96" s="22" t="str">
        <f>IMAGE("https://raw.githubusercontent.com/ltdimages/images/refs/heads/main/ClothHeadwearHatSilk_01.png")</f>
        <v/>
      </c>
      <c r="E96" s="22" t="str">
        <f>IMAGE("https://raw.githubusercontent.com/ltdimages/images/refs/heads/main/ClothHeadwearHatSilk_02.png")</f>
        <v/>
      </c>
      <c r="F96" s="22" t="str">
        <f>IMAGE("https://raw.githubusercontent.com/ltdimages/images/refs/heads/main/ClothHeadwearHatSilk_03.png")</f>
        <v/>
      </c>
      <c r="G96" s="22" t="s">
        <v>3095</v>
      </c>
      <c r="H96" s="22" t="s">
        <v>3095</v>
      </c>
      <c r="I96" s="22" t="s">
        <v>3095</v>
      </c>
      <c r="J96" s="22" t="s">
        <v>3095</v>
      </c>
      <c r="K96" s="63" t="s">
        <v>3244</v>
      </c>
      <c r="L96" s="23">
        <v>40.0</v>
      </c>
      <c r="M96" s="22" t="s">
        <v>3097</v>
      </c>
      <c r="N96" s="22" t="s">
        <v>3099</v>
      </c>
      <c r="O96" s="22" t="s">
        <v>45</v>
      </c>
      <c r="P96" s="22" t="s">
        <v>45</v>
      </c>
      <c r="Q96" s="22" t="s">
        <v>45</v>
      </c>
      <c r="R96" s="22" t="s">
        <v>45</v>
      </c>
      <c r="S96" s="22" t="s">
        <v>45</v>
      </c>
      <c r="T96" s="22" t="s">
        <v>5441</v>
      </c>
      <c r="U96" s="22" t="s">
        <v>45</v>
      </c>
      <c r="V96" s="22" t="s">
        <v>45</v>
      </c>
      <c r="W96" s="22" t="s">
        <v>5571</v>
      </c>
    </row>
    <row r="97" ht="45.0" customHeight="1">
      <c r="A97" s="55" t="s">
        <v>463</v>
      </c>
      <c r="B97" s="62" t="s">
        <v>3117</v>
      </c>
      <c r="C97" s="22" t="str">
        <f>IMAGE("https://raw.githubusercontent.com/ltdimages/images/refs/heads/main/ClothHeadwearHatTrilby_00.png")</f>
        <v/>
      </c>
      <c r="D97" s="22" t="str">
        <f>IMAGE("https://raw.githubusercontent.com/ltdimages/images/refs/heads/main/ClothHeadwearHatTrilby_01.png")</f>
        <v/>
      </c>
      <c r="E97" s="22" t="str">
        <f>IMAGE("https://raw.githubusercontent.com/ltdimages/images/refs/heads/main/ClothHeadwearHatTrilby_02.png")</f>
        <v/>
      </c>
      <c r="F97" s="22" t="str">
        <f>IMAGE("https://raw.githubusercontent.com/ltdimages/images/refs/heads/main/ClothHeadwearHatTrilby_03.png")</f>
        <v/>
      </c>
      <c r="G97" s="22" t="str">
        <f>IMAGE("https://raw.githubusercontent.com/ltdimages/images/refs/heads/main/ClothHeadwearHatTrilby_04.png")</f>
        <v/>
      </c>
      <c r="H97" s="22" t="str">
        <f>IMAGE("https://raw.githubusercontent.com/ltdimages/images/refs/heads/main/ClothHeadwearHatTrilby_05.png")</f>
        <v/>
      </c>
      <c r="I97" s="22" t="s">
        <v>3095</v>
      </c>
      <c r="J97" s="22" t="s">
        <v>3095</v>
      </c>
      <c r="K97" s="63" t="s">
        <v>3244</v>
      </c>
      <c r="L97" s="23">
        <v>16.7</v>
      </c>
      <c r="M97" s="22" t="s">
        <v>3097</v>
      </c>
      <c r="N97" s="22" t="s">
        <v>3099</v>
      </c>
      <c r="O97" s="22" t="s">
        <v>45</v>
      </c>
      <c r="P97" s="22" t="s">
        <v>45</v>
      </c>
      <c r="Q97" s="22" t="s">
        <v>45</v>
      </c>
      <c r="R97" s="22" t="s">
        <v>45</v>
      </c>
      <c r="S97" s="22" t="s">
        <v>45</v>
      </c>
      <c r="T97" s="22" t="s">
        <v>5441</v>
      </c>
      <c r="U97" s="22" t="s">
        <v>45</v>
      </c>
      <c r="V97" s="22" t="s">
        <v>45</v>
      </c>
      <c r="W97" s="22" t="s">
        <v>5572</v>
      </c>
    </row>
    <row r="98" ht="45.0" customHeight="1">
      <c r="A98" s="55" t="s">
        <v>467</v>
      </c>
      <c r="B98" s="62" t="s">
        <v>5573</v>
      </c>
      <c r="C98" s="22" t="str">
        <f>IMAGE("https://raw.githubusercontent.com/ltdimages/images/refs/heads/main/ClothHeadwearHatTulip_00.png")</f>
        <v/>
      </c>
      <c r="D98" s="22" t="str">
        <f>IMAGE("https://raw.githubusercontent.com/ltdimages/images/refs/heads/main/ClothHeadwearHatTulip_01.png")</f>
        <v/>
      </c>
      <c r="E98" s="22" t="str">
        <f>IMAGE("https://raw.githubusercontent.com/ltdimages/images/refs/heads/main/ClothHeadwearHatTulip_02.png")</f>
        <v/>
      </c>
      <c r="F98" s="22" t="str">
        <f>IMAGE("https://raw.githubusercontent.com/ltdimages/images/refs/heads/main/ClothHeadwearHatTulip_03.png")</f>
        <v/>
      </c>
      <c r="G98" s="22" t="str">
        <f>IMAGE("https://raw.githubusercontent.com/ltdimages/images/refs/heads/main/ClothHeadwearHatTulip_04.png")</f>
        <v/>
      </c>
      <c r="H98" s="22" t="str">
        <f>IMAGE("https://raw.githubusercontent.com/ltdimages/images/refs/heads/main/ClothHeadwearHatTulip_05.png")</f>
        <v/>
      </c>
      <c r="I98" s="22" t="s">
        <v>3095</v>
      </c>
      <c r="J98" s="22" t="s">
        <v>3095</v>
      </c>
      <c r="K98" s="63" t="s">
        <v>3244</v>
      </c>
      <c r="L98" s="23">
        <v>15.0</v>
      </c>
      <c r="M98" s="22" t="s">
        <v>3097</v>
      </c>
      <c r="N98" s="22" t="s">
        <v>3099</v>
      </c>
      <c r="O98" s="22" t="s">
        <v>45</v>
      </c>
      <c r="P98" s="22" t="s">
        <v>45</v>
      </c>
      <c r="Q98" s="22" t="s">
        <v>45</v>
      </c>
      <c r="R98" s="22" t="s">
        <v>45</v>
      </c>
      <c r="S98" s="22" t="s">
        <v>45</v>
      </c>
      <c r="T98" s="22" t="s">
        <v>5441</v>
      </c>
      <c r="U98" s="22" t="s">
        <v>45</v>
      </c>
      <c r="V98" s="22" t="s">
        <v>45</v>
      </c>
      <c r="W98" s="22" t="s">
        <v>5574</v>
      </c>
    </row>
    <row r="99" ht="45.0" customHeight="1">
      <c r="A99" s="55" t="s">
        <v>471</v>
      </c>
      <c r="B99" s="62" t="s">
        <v>4163</v>
      </c>
      <c r="C99" s="22" t="str">
        <f>IMAGE("https://raw.githubusercontent.com/ltdimages/images/refs/heads/main/ClothHeadwearHatTyrolean_00.png")</f>
        <v/>
      </c>
      <c r="D99" s="22" t="str">
        <f>IMAGE("https://raw.githubusercontent.com/ltdimages/images/refs/heads/main/ClothHeadwearHatTyrolean_01.png")</f>
        <v/>
      </c>
      <c r="E99" s="22" t="str">
        <f>IMAGE("https://raw.githubusercontent.com/ltdimages/images/refs/heads/main/ClothHeadwearHatTyrolean_02.png")</f>
        <v/>
      </c>
      <c r="F99" s="22" t="str">
        <f>IMAGE("https://raw.githubusercontent.com/ltdimages/images/refs/heads/main/ClothHeadwearHatTyrolean_03.png")</f>
        <v/>
      </c>
      <c r="G99" s="22" t="str">
        <f>IMAGE("https://raw.githubusercontent.com/ltdimages/images/refs/heads/main/ClothHeadwearHatTyrolean_04.png")</f>
        <v/>
      </c>
      <c r="H99" s="22" t="str">
        <f>IMAGE("https://raw.githubusercontent.com/ltdimages/images/refs/heads/main/ClothHeadwearHatTyrolean_05.png")</f>
        <v/>
      </c>
      <c r="I99" s="22" t="s">
        <v>3095</v>
      </c>
      <c r="J99" s="22" t="s">
        <v>3095</v>
      </c>
      <c r="K99" s="63" t="s">
        <v>3244</v>
      </c>
      <c r="L99" s="23">
        <v>18.0</v>
      </c>
      <c r="M99" s="22" t="s">
        <v>3097</v>
      </c>
      <c r="N99" s="22" t="s">
        <v>3099</v>
      </c>
      <c r="O99" s="22" t="s">
        <v>45</v>
      </c>
      <c r="P99" s="22" t="s">
        <v>45</v>
      </c>
      <c r="Q99" s="22" t="s">
        <v>45</v>
      </c>
      <c r="R99" s="22" t="s">
        <v>45</v>
      </c>
      <c r="S99" s="22" t="s">
        <v>45</v>
      </c>
      <c r="T99" s="22" t="s">
        <v>5441</v>
      </c>
      <c r="U99" s="22" t="s">
        <v>45</v>
      </c>
      <c r="V99" s="22" t="s">
        <v>45</v>
      </c>
      <c r="W99" s="22" t="s">
        <v>5575</v>
      </c>
    </row>
    <row r="100" ht="45.0" customHeight="1">
      <c r="A100" s="55" t="s">
        <v>475</v>
      </c>
      <c r="B100" s="62" t="s">
        <v>4190</v>
      </c>
      <c r="C100" s="22" t="str">
        <f>IMAGE("https://raw.githubusercontent.com/ltdimages/images/refs/heads/main/ClothHeadwearHatViking_00.png")</f>
        <v/>
      </c>
      <c r="D100" s="22" t="str">
        <f>IMAGE("https://raw.githubusercontent.com/ltdimages/images/refs/heads/main/ClothHeadwearHatViking_01.png")</f>
        <v/>
      </c>
      <c r="E100" s="22" t="str">
        <f>IMAGE("https://raw.githubusercontent.com/ltdimages/images/refs/heads/main/ClothHeadwearHatViking_02.png")</f>
        <v/>
      </c>
      <c r="F100" s="22" t="str">
        <f>IMAGE("https://raw.githubusercontent.com/ltdimages/images/refs/heads/main/ClothHeadwearHatViking_03.png")</f>
        <v/>
      </c>
      <c r="G100" s="22" t="s">
        <v>3095</v>
      </c>
      <c r="H100" s="22" t="s">
        <v>3095</v>
      </c>
      <c r="I100" s="22" t="s">
        <v>3095</v>
      </c>
      <c r="J100" s="22" t="s">
        <v>3095</v>
      </c>
      <c r="K100" s="63" t="s">
        <v>3244</v>
      </c>
      <c r="L100" s="23">
        <v>33.9</v>
      </c>
      <c r="M100" s="22" t="s">
        <v>3097</v>
      </c>
      <c r="N100" s="22" t="s">
        <v>3114</v>
      </c>
      <c r="O100" s="22" t="s">
        <v>45</v>
      </c>
      <c r="P100" s="22" t="s">
        <v>45</v>
      </c>
      <c r="Q100" s="22" t="s">
        <v>45</v>
      </c>
      <c r="R100" s="22" t="s">
        <v>49</v>
      </c>
      <c r="S100" s="22" t="s">
        <v>45</v>
      </c>
      <c r="T100" s="22" t="s">
        <v>5441</v>
      </c>
      <c r="U100" s="22" t="s">
        <v>45</v>
      </c>
      <c r="V100" s="22" t="s">
        <v>45</v>
      </c>
      <c r="W100" s="22" t="s">
        <v>5576</v>
      </c>
    </row>
    <row r="101" ht="45.0" customHeight="1">
      <c r="A101" s="55" t="s">
        <v>479</v>
      </c>
      <c r="B101" s="62" t="s">
        <v>5577</v>
      </c>
      <c r="C101" s="22" t="str">
        <f>IMAGE("https://raw.githubusercontent.com/ltdimages/images/refs/heads/main/ClothHeadwearHatFelt_00.png")</f>
        <v/>
      </c>
      <c r="D101" s="22" t="str">
        <f>IMAGE("https://raw.githubusercontent.com/ltdimages/images/refs/heads/main/ClothHeadwearHatFelt_01.png")</f>
        <v/>
      </c>
      <c r="E101" s="22" t="str">
        <f>IMAGE("https://raw.githubusercontent.com/ltdimages/images/refs/heads/main/ClothHeadwearHatFelt_02.png")</f>
        <v/>
      </c>
      <c r="F101" s="22" t="str">
        <f>IMAGE("https://raw.githubusercontent.com/ltdimages/images/refs/heads/main/ClothHeadwearHatFelt_03.png")</f>
        <v/>
      </c>
      <c r="G101" s="22" t="str">
        <f>IMAGE("https://raw.githubusercontent.com/ltdimages/images/refs/heads/main/ClothHeadwearHatFelt_04.png")</f>
        <v/>
      </c>
      <c r="H101" s="22" t="str">
        <f>IMAGE("https://raw.githubusercontent.com/ltdimages/images/refs/heads/main/ClothHeadwearHatFelt_05.png")</f>
        <v/>
      </c>
      <c r="I101" s="22" t="str">
        <f>IMAGE("https://raw.githubusercontent.com/ltdimages/images/refs/heads/main/ClothHeadwearHatFelt_06.png")</f>
        <v/>
      </c>
      <c r="J101" s="22" t="str">
        <f>IMAGE("https://raw.githubusercontent.com/ltdimages/images/refs/heads/main/ClothHeadwearHatFelt_07.png")</f>
        <v/>
      </c>
      <c r="K101" s="63" t="s">
        <v>3244</v>
      </c>
      <c r="L101" s="23">
        <v>14.5</v>
      </c>
      <c r="M101" s="22" t="s">
        <v>3097</v>
      </c>
      <c r="N101" s="22" t="s">
        <v>3099</v>
      </c>
      <c r="O101" s="22" t="s">
        <v>45</v>
      </c>
      <c r="P101" s="22" t="s">
        <v>45</v>
      </c>
      <c r="Q101" s="22" t="s">
        <v>45</v>
      </c>
      <c r="R101" s="22" t="s">
        <v>45</v>
      </c>
      <c r="S101" s="22" t="s">
        <v>45</v>
      </c>
      <c r="T101" s="22" t="s">
        <v>5441</v>
      </c>
      <c r="U101" s="22" t="s">
        <v>45</v>
      </c>
      <c r="V101" s="22" t="s">
        <v>45</v>
      </c>
      <c r="W101" s="22" t="s">
        <v>5578</v>
      </c>
    </row>
    <row r="102" ht="45.0" customHeight="1">
      <c r="A102" s="55" t="s">
        <v>483</v>
      </c>
      <c r="B102" s="62" t="s">
        <v>4270</v>
      </c>
      <c r="C102" s="22" t="str">
        <f>IMAGE("https://raw.githubusercontent.com/ltdimages/images/refs/heads/main/ClothHeadwearHatStrawWide_00.png")</f>
        <v/>
      </c>
      <c r="D102" s="22" t="str">
        <f>IMAGE("https://raw.githubusercontent.com/ltdimages/images/refs/heads/main/ClothHeadwearHatStrawWide_01.png")</f>
        <v/>
      </c>
      <c r="E102" s="22" t="str">
        <f>IMAGE("https://raw.githubusercontent.com/ltdimages/images/refs/heads/main/ClothHeadwearHatStrawWide_02.png")</f>
        <v/>
      </c>
      <c r="F102" s="22" t="str">
        <f>IMAGE("https://raw.githubusercontent.com/ltdimages/images/refs/heads/main/ClothHeadwearHatStrawWide_03.png")</f>
        <v/>
      </c>
      <c r="G102" s="22" t="str">
        <f>IMAGE("https://raw.githubusercontent.com/ltdimages/images/refs/heads/main/ClothHeadwearHatStrawWide_04.png")</f>
        <v/>
      </c>
      <c r="H102" s="22" t="str">
        <f>IMAGE("https://raw.githubusercontent.com/ltdimages/images/refs/heads/main/ClothHeadwearHatStrawWide_05.png")</f>
        <v/>
      </c>
      <c r="I102" s="22" t="s">
        <v>3095</v>
      </c>
      <c r="J102" s="22" t="s">
        <v>3095</v>
      </c>
      <c r="K102" s="63" t="s">
        <v>3244</v>
      </c>
      <c r="L102" s="23">
        <v>17.0</v>
      </c>
      <c r="M102" s="22" t="s">
        <v>3097</v>
      </c>
      <c r="N102" s="22" t="s">
        <v>3123</v>
      </c>
      <c r="O102" s="22" t="s">
        <v>45</v>
      </c>
      <c r="P102" s="22" t="s">
        <v>45</v>
      </c>
      <c r="Q102" s="22" t="s">
        <v>45</v>
      </c>
      <c r="R102" s="22" t="s">
        <v>45</v>
      </c>
      <c r="S102" s="22" t="s">
        <v>45</v>
      </c>
      <c r="T102" s="22" t="s">
        <v>5441</v>
      </c>
      <c r="U102" s="22" t="s">
        <v>45</v>
      </c>
      <c r="V102" s="22" t="s">
        <v>45</v>
      </c>
      <c r="W102" s="22" t="s">
        <v>5579</v>
      </c>
    </row>
    <row r="103" ht="45.0" customHeight="1">
      <c r="A103" s="55" t="s">
        <v>488</v>
      </c>
      <c r="B103" s="62" t="s">
        <v>4730</v>
      </c>
      <c r="C103" s="22" t="str">
        <f>IMAGE("https://raw.githubusercontent.com/ltdimages/images/refs/heads/main/ClothHeadwearHatWitch_00.png")</f>
        <v/>
      </c>
      <c r="D103" s="22" t="str">
        <f>IMAGE("https://raw.githubusercontent.com/ltdimages/images/refs/heads/main/ClothHeadwearHatWitch_01.png")</f>
        <v/>
      </c>
      <c r="E103" s="22" t="str">
        <f>IMAGE("https://raw.githubusercontent.com/ltdimages/images/refs/heads/main/ClothHeadwearHatWitch_02.png")</f>
        <v/>
      </c>
      <c r="F103" s="22" t="str">
        <f>IMAGE("https://raw.githubusercontent.com/ltdimages/images/refs/heads/main/ClothHeadwearHatWitch_03.png")</f>
        <v/>
      </c>
      <c r="G103" s="22" t="str">
        <f>IMAGE("https://raw.githubusercontent.com/ltdimages/images/refs/heads/main/ClothHeadwearHatWitch_04.png")</f>
        <v/>
      </c>
      <c r="H103" s="22" t="str">
        <f>IMAGE("https://raw.githubusercontent.com/ltdimages/images/refs/heads/main/ClothHeadwearHatWitch_05.png")</f>
        <v/>
      </c>
      <c r="I103" s="22" t="s">
        <v>3095</v>
      </c>
      <c r="J103" s="22" t="s">
        <v>3095</v>
      </c>
      <c r="K103" s="63" t="s">
        <v>3244</v>
      </c>
      <c r="L103" s="23">
        <v>27.0</v>
      </c>
      <c r="M103" s="22" t="s">
        <v>4231</v>
      </c>
      <c r="N103" s="22" t="s">
        <v>3099</v>
      </c>
      <c r="O103" s="22" t="s">
        <v>45</v>
      </c>
      <c r="P103" s="22" t="s">
        <v>45</v>
      </c>
      <c r="Q103" s="22" t="s">
        <v>45</v>
      </c>
      <c r="R103" s="22" t="s">
        <v>49</v>
      </c>
      <c r="S103" s="22" t="s">
        <v>45</v>
      </c>
      <c r="T103" s="22" t="s">
        <v>5441</v>
      </c>
      <c r="U103" s="22" t="s">
        <v>45</v>
      </c>
      <c r="V103" s="22" t="s">
        <v>45</v>
      </c>
      <c r="W103" s="22" t="s">
        <v>5580</v>
      </c>
    </row>
    <row r="104" ht="45.0" customHeight="1">
      <c r="A104" s="55" t="s">
        <v>492</v>
      </c>
      <c r="B104" s="62" t="s">
        <v>4222</v>
      </c>
      <c r="C104" s="22" t="str">
        <f>IMAGE("https://raw.githubusercontent.com/ltdimages/images/refs/heads/main/ClothHeadwearHatMagician_00.png")</f>
        <v/>
      </c>
      <c r="D104" s="22" t="str">
        <f>IMAGE("https://raw.githubusercontent.com/ltdimages/images/refs/heads/main/ClothHeadwearHatMagician_01.png")</f>
        <v/>
      </c>
      <c r="E104" s="22" t="str">
        <f>IMAGE("https://raw.githubusercontent.com/ltdimages/images/refs/heads/main/ClothHeadwearHatMagician_02.png")</f>
        <v/>
      </c>
      <c r="F104" s="22" t="s">
        <v>3095</v>
      </c>
      <c r="G104" s="22" t="s">
        <v>3095</v>
      </c>
      <c r="H104" s="22" t="s">
        <v>3095</v>
      </c>
      <c r="I104" s="22" t="s">
        <v>3095</v>
      </c>
      <c r="J104" s="22" t="s">
        <v>3095</v>
      </c>
      <c r="K104" s="63" t="s">
        <v>3244</v>
      </c>
      <c r="L104" s="23">
        <v>20.0</v>
      </c>
      <c r="M104" s="22" t="s">
        <v>3097</v>
      </c>
      <c r="N104" s="22" t="s">
        <v>3099</v>
      </c>
      <c r="O104" s="22" t="s">
        <v>45</v>
      </c>
      <c r="P104" s="22" t="s">
        <v>45</v>
      </c>
      <c r="Q104" s="22" t="s">
        <v>45</v>
      </c>
      <c r="R104" s="22" t="s">
        <v>49</v>
      </c>
      <c r="S104" s="22" t="s">
        <v>45</v>
      </c>
      <c r="T104" s="22" t="s">
        <v>5441</v>
      </c>
      <c r="U104" s="22" t="s">
        <v>45</v>
      </c>
      <c r="V104" s="22" t="s">
        <v>45</v>
      </c>
      <c r="W104" s="22" t="s">
        <v>5581</v>
      </c>
    </row>
    <row r="105" ht="45.0" customHeight="1">
      <c r="A105" s="55" t="s">
        <v>496</v>
      </c>
      <c r="B105" s="62" t="s">
        <v>3169</v>
      </c>
      <c r="C105" s="22" t="str">
        <f>IMAGE("https://raw.githubusercontent.com/ltdimages/images/refs/heads/main/ClothHeadwearFullfaceAstronaut_00.png")</f>
        <v/>
      </c>
      <c r="D105" s="22" t="str">
        <f>IMAGE("https://raw.githubusercontent.com/ltdimages/images/refs/heads/main/ClothHeadwearFullfaceAstronaut_01.png")</f>
        <v/>
      </c>
      <c r="E105" s="22" t="s">
        <v>3095</v>
      </c>
      <c r="F105" s="22" t="s">
        <v>3095</v>
      </c>
      <c r="G105" s="22" t="s">
        <v>3095</v>
      </c>
      <c r="H105" s="22" t="s">
        <v>3095</v>
      </c>
      <c r="I105" s="22" t="s">
        <v>3095</v>
      </c>
      <c r="J105" s="22" t="s">
        <v>3095</v>
      </c>
      <c r="K105" s="63" t="s">
        <v>3244</v>
      </c>
      <c r="L105" s="23">
        <v>2000.0</v>
      </c>
      <c r="M105" s="22" t="s">
        <v>3097</v>
      </c>
      <c r="N105" s="22" t="s">
        <v>3099</v>
      </c>
      <c r="O105" s="22" t="s">
        <v>45</v>
      </c>
      <c r="P105" s="22" t="s">
        <v>45</v>
      </c>
      <c r="Q105" s="22" t="s">
        <v>45</v>
      </c>
      <c r="R105" s="22" t="s">
        <v>49</v>
      </c>
      <c r="S105" s="22" t="s">
        <v>45</v>
      </c>
      <c r="T105" s="22" t="s">
        <v>5582</v>
      </c>
      <c r="U105" s="22" t="s">
        <v>45</v>
      </c>
      <c r="V105" s="22" t="s">
        <v>45</v>
      </c>
      <c r="W105" s="22" t="s">
        <v>5583</v>
      </c>
    </row>
    <row r="106" ht="45.0" customHeight="1">
      <c r="A106" s="55" t="s">
        <v>500</v>
      </c>
      <c r="B106" s="62" t="s">
        <v>3187</v>
      </c>
      <c r="C106" s="22" t="str">
        <f>IMAGE("https://raw.githubusercontent.com/ltdimages/images/refs/heads/main/ClothHeadwearCostumeBaby_00.png")</f>
        <v/>
      </c>
      <c r="D106" s="22" t="str">
        <f>IMAGE("https://raw.githubusercontent.com/ltdimages/images/refs/heads/main/ClothHeadwearCostumeBaby_01.png")</f>
        <v/>
      </c>
      <c r="E106" s="22" t="str">
        <f>IMAGE("https://raw.githubusercontent.com/ltdimages/images/refs/heads/main/ClothHeadwearCostumeBaby_02.png")</f>
        <v/>
      </c>
      <c r="F106" s="22" t="str">
        <f>IMAGE("https://raw.githubusercontent.com/ltdimages/images/refs/heads/main/ClothHeadwearCostumeBaby_03.png")</f>
        <v/>
      </c>
      <c r="G106" s="22" t="str">
        <f>IMAGE("https://raw.githubusercontent.com/ltdimages/images/refs/heads/main/ClothHeadwearCostumeBaby_04.png")</f>
        <v/>
      </c>
      <c r="H106" s="22" t="str">
        <f>IMAGE("https://raw.githubusercontent.com/ltdimages/images/refs/heads/main/ClothHeadwearCostumeBaby_05.png")</f>
        <v/>
      </c>
      <c r="I106" s="22" t="str">
        <f>IMAGE("https://raw.githubusercontent.com/ltdimages/images/refs/heads/main/ClothHeadwearCostumeBaby_06.png")</f>
        <v/>
      </c>
      <c r="J106" s="22" t="str">
        <f>IMAGE("https://raw.githubusercontent.com/ltdimages/images/refs/heads/main/ClothHeadwearCostumeBaby_07.png")</f>
        <v/>
      </c>
      <c r="K106" s="63" t="s">
        <v>3244</v>
      </c>
      <c r="L106" s="23">
        <v>21.0</v>
      </c>
      <c r="M106" s="22" t="s">
        <v>3097</v>
      </c>
      <c r="N106" s="22" t="s">
        <v>3099</v>
      </c>
      <c r="O106" s="22" t="s">
        <v>49</v>
      </c>
      <c r="P106" s="22" t="s">
        <v>45</v>
      </c>
      <c r="Q106" s="22" t="s">
        <v>45</v>
      </c>
      <c r="R106" s="22" t="s">
        <v>45</v>
      </c>
      <c r="S106" s="22" t="s">
        <v>45</v>
      </c>
      <c r="T106" s="22" t="s">
        <v>5584</v>
      </c>
      <c r="U106" s="22" t="s">
        <v>45</v>
      </c>
      <c r="V106" s="22" t="s">
        <v>45</v>
      </c>
      <c r="W106" s="22" t="s">
        <v>5585</v>
      </c>
    </row>
    <row r="107" ht="45.0" customHeight="1">
      <c r="A107" s="55" t="s">
        <v>504</v>
      </c>
      <c r="B107" s="62" t="s">
        <v>5586</v>
      </c>
      <c r="C107" s="22" t="str">
        <f>IMAGE("https://raw.githubusercontent.com/ltdimages/images/refs/heads/main/ClothHeadwearCostumeHood_00.png")</f>
        <v/>
      </c>
      <c r="D107" s="22" t="str">
        <f>IMAGE("https://raw.githubusercontent.com/ltdimages/images/refs/heads/main/ClothHeadwearCostumeHood_01.png")</f>
        <v/>
      </c>
      <c r="E107" s="22" t="str">
        <f>IMAGE("https://raw.githubusercontent.com/ltdimages/images/refs/heads/main/ClothHeadwearCostumeHood_02.png")</f>
        <v/>
      </c>
      <c r="F107" s="22" t="str">
        <f>IMAGE("https://raw.githubusercontent.com/ltdimages/images/refs/heads/main/ClothHeadwearCostumeHood_03.png")</f>
        <v/>
      </c>
      <c r="G107" s="22" t="str">
        <f>IMAGE("https://raw.githubusercontent.com/ltdimages/images/refs/heads/main/ClothHeadwearCostumeHood_04.png")</f>
        <v/>
      </c>
      <c r="H107" s="22" t="str">
        <f>IMAGE("https://raw.githubusercontent.com/ltdimages/images/refs/heads/main/ClothHeadwearCostumeHood_05.png")</f>
        <v/>
      </c>
      <c r="I107" s="22" t="str">
        <f>IMAGE("https://raw.githubusercontent.com/ltdimages/images/refs/heads/main/ClothHeadwearCostumeHood_06.png")</f>
        <v/>
      </c>
      <c r="J107" s="22" t="str">
        <f>IMAGE("https://raw.githubusercontent.com/ltdimages/images/refs/heads/main/ClothHeadwearCostumeHood_07.png")</f>
        <v/>
      </c>
      <c r="K107" s="63" t="s">
        <v>3244</v>
      </c>
      <c r="L107" s="23">
        <v>13.2</v>
      </c>
      <c r="M107" s="22" t="s">
        <v>3097</v>
      </c>
      <c r="N107" s="22" t="s">
        <v>3099</v>
      </c>
      <c r="O107" s="22" t="s">
        <v>45</v>
      </c>
      <c r="P107" s="22" t="s">
        <v>45</v>
      </c>
      <c r="Q107" s="22" t="s">
        <v>45</v>
      </c>
      <c r="R107" s="22" t="s">
        <v>45</v>
      </c>
      <c r="S107" s="22" t="s">
        <v>45</v>
      </c>
      <c r="T107" s="22" t="s">
        <v>5584</v>
      </c>
      <c r="U107" s="22" t="s">
        <v>45</v>
      </c>
      <c r="V107" s="22" t="s">
        <v>45</v>
      </c>
      <c r="W107" s="22" t="s">
        <v>5587</v>
      </c>
    </row>
    <row r="108" ht="45.0" customHeight="1">
      <c r="A108" s="55" t="s">
        <v>508</v>
      </c>
      <c r="B108" s="62" t="s">
        <v>5588</v>
      </c>
      <c r="C108" s="22" t="str">
        <f>IMAGE("https://raw.githubusercontent.com/ltdimages/images/refs/heads/main/ClothHeadwearProtectorBatter_00.png")</f>
        <v/>
      </c>
      <c r="D108" s="22" t="str">
        <f>IMAGE("https://raw.githubusercontent.com/ltdimages/images/refs/heads/main/ClothHeadwearProtectorBatter_01.png")</f>
        <v/>
      </c>
      <c r="E108" s="22" t="str">
        <f>IMAGE("https://raw.githubusercontent.com/ltdimages/images/refs/heads/main/ClothHeadwearProtectorBatter_02.png")</f>
        <v/>
      </c>
      <c r="F108" s="22" t="str">
        <f>IMAGE("https://raw.githubusercontent.com/ltdimages/images/refs/heads/main/ClothHeadwearProtectorBatter_03.png")</f>
        <v/>
      </c>
      <c r="G108" s="22" t="str">
        <f>IMAGE("https://raw.githubusercontent.com/ltdimages/images/refs/heads/main/ClothHeadwearProtectorBatter_04.png")</f>
        <v/>
      </c>
      <c r="H108" s="22" t="str">
        <f>IMAGE("https://raw.githubusercontent.com/ltdimages/images/refs/heads/main/ClothHeadwearProtectorBatter_05.png")</f>
        <v/>
      </c>
      <c r="I108" s="22" t="s">
        <v>3095</v>
      </c>
      <c r="J108" s="22" t="s">
        <v>3095</v>
      </c>
      <c r="K108" s="63" t="s">
        <v>3244</v>
      </c>
      <c r="L108" s="23">
        <v>23.0</v>
      </c>
      <c r="M108" s="22" t="s">
        <v>3097</v>
      </c>
      <c r="N108" s="22" t="s">
        <v>3099</v>
      </c>
      <c r="O108" s="22" t="s">
        <v>45</v>
      </c>
      <c r="P108" s="22" t="s">
        <v>45</v>
      </c>
      <c r="Q108" s="22" t="s">
        <v>45</v>
      </c>
      <c r="R108" s="22" t="s">
        <v>45</v>
      </c>
      <c r="S108" s="22" t="s">
        <v>45</v>
      </c>
      <c r="T108" s="22" t="s">
        <v>5589</v>
      </c>
      <c r="U108" s="22" t="s">
        <v>45</v>
      </c>
      <c r="V108" s="22" t="s">
        <v>45</v>
      </c>
      <c r="W108" s="22" t="s">
        <v>5590</v>
      </c>
    </row>
    <row r="109" ht="45.0" customHeight="1">
      <c r="A109" s="55" t="s">
        <v>512</v>
      </c>
      <c r="B109" s="62" t="s">
        <v>3236</v>
      </c>
      <c r="C109" s="22" t="str">
        <f>IMAGE("https://raw.githubusercontent.com/ltdimages/images/refs/heads/main/ClothHeadwearCostumeBear_00.png")</f>
        <v/>
      </c>
      <c r="D109" s="22" t="str">
        <f>IMAGE("https://raw.githubusercontent.com/ltdimages/images/refs/heads/main/ClothHeadwearCostumeBear_01.png")</f>
        <v/>
      </c>
      <c r="E109" s="22" t="str">
        <f>IMAGE("https://raw.githubusercontent.com/ltdimages/images/refs/heads/main/ClothHeadwearCostumeBear_02.png")</f>
        <v/>
      </c>
      <c r="F109" s="22" t="str">
        <f>IMAGE("https://raw.githubusercontent.com/ltdimages/images/refs/heads/main/ClothHeadwearCostumeBear_03.png")</f>
        <v/>
      </c>
      <c r="G109" s="22" t="str">
        <f>IMAGE("https://raw.githubusercontent.com/ltdimages/images/refs/heads/main/ClothHeadwearCostumeBear_04.png")</f>
        <v/>
      </c>
      <c r="H109" s="22" t="s">
        <v>3095</v>
      </c>
      <c r="I109" s="22" t="s">
        <v>3095</v>
      </c>
      <c r="J109" s="22" t="s">
        <v>3095</v>
      </c>
      <c r="K109" s="63" t="s">
        <v>3244</v>
      </c>
      <c r="L109" s="23">
        <v>20.0</v>
      </c>
      <c r="M109" s="22" t="s">
        <v>3097</v>
      </c>
      <c r="N109" s="22" t="s">
        <v>3099</v>
      </c>
      <c r="O109" s="22" t="s">
        <v>45</v>
      </c>
      <c r="P109" s="22" t="s">
        <v>45</v>
      </c>
      <c r="Q109" s="22" t="s">
        <v>45</v>
      </c>
      <c r="R109" s="22" t="s">
        <v>49</v>
      </c>
      <c r="S109" s="22" t="s">
        <v>45</v>
      </c>
      <c r="T109" s="22" t="s">
        <v>5584</v>
      </c>
      <c r="U109" s="22" t="s">
        <v>45</v>
      </c>
      <c r="V109" s="22" t="s">
        <v>45</v>
      </c>
      <c r="W109" s="22" t="s">
        <v>5591</v>
      </c>
    </row>
    <row r="110" ht="45.0" customHeight="1">
      <c r="A110" s="55" t="s">
        <v>516</v>
      </c>
      <c r="B110" s="62" t="s">
        <v>3259</v>
      </c>
      <c r="C110" s="22" t="str">
        <f>IMAGE("https://raw.githubusercontent.com/ltdimages/images/refs/heads/main/ClothHeadwearCostumeBird_00.png")</f>
        <v/>
      </c>
      <c r="D110" s="22" t="str">
        <f>IMAGE("https://raw.githubusercontent.com/ltdimages/images/refs/heads/main/ClothHeadwearCostumeBird_01.png")</f>
        <v/>
      </c>
      <c r="E110" s="22" t="str">
        <f>IMAGE("https://raw.githubusercontent.com/ltdimages/images/refs/heads/main/ClothHeadwearCostumeBird_02.png")</f>
        <v/>
      </c>
      <c r="F110" s="22" t="str">
        <f>IMAGE("https://raw.githubusercontent.com/ltdimages/images/refs/heads/main/ClothHeadwearCostumeBird_03.png")</f>
        <v/>
      </c>
      <c r="G110" s="22" t="str">
        <f>IMAGE("https://raw.githubusercontent.com/ltdimages/images/refs/heads/main/ClothHeadwearCostumeBird_04.png")</f>
        <v/>
      </c>
      <c r="H110" s="22" t="str">
        <f>IMAGE("https://raw.githubusercontent.com/ltdimages/images/refs/heads/main/ClothHeadwearCostumeBird_05.png")</f>
        <v/>
      </c>
      <c r="I110" s="22" t="str">
        <f>IMAGE("https://raw.githubusercontent.com/ltdimages/images/refs/heads/main/ClothHeadwearCostumeBird_06.png")</f>
        <v/>
      </c>
      <c r="J110" s="22" t="str">
        <f>IMAGE("https://raw.githubusercontent.com/ltdimages/images/refs/heads/main/ClothHeadwearCostumeBird_07.png")</f>
        <v/>
      </c>
      <c r="K110" s="63" t="s">
        <v>3244</v>
      </c>
      <c r="L110" s="23">
        <v>20.0</v>
      </c>
      <c r="M110" s="22" t="s">
        <v>3097</v>
      </c>
      <c r="N110" s="22" t="s">
        <v>3099</v>
      </c>
      <c r="O110" s="22" t="s">
        <v>45</v>
      </c>
      <c r="P110" s="22" t="s">
        <v>45</v>
      </c>
      <c r="Q110" s="22" t="s">
        <v>45</v>
      </c>
      <c r="R110" s="22" t="s">
        <v>49</v>
      </c>
      <c r="S110" s="22" t="s">
        <v>45</v>
      </c>
      <c r="T110" s="22" t="s">
        <v>5584</v>
      </c>
      <c r="U110" s="22" t="s">
        <v>45</v>
      </c>
      <c r="V110" s="22" t="s">
        <v>45</v>
      </c>
      <c r="W110" s="22" t="s">
        <v>5592</v>
      </c>
    </row>
    <row r="111" ht="45.0" customHeight="1">
      <c r="A111" s="55" t="s">
        <v>521</v>
      </c>
      <c r="B111" s="62" t="s">
        <v>3268</v>
      </c>
      <c r="C111" s="22" t="str">
        <f>IMAGE("https://raw.githubusercontent.com/ltdimages/images/refs/heads/main/ClothHeadwearCoverBodySuit_00.png")</f>
        <v/>
      </c>
      <c r="D111" s="22" t="str">
        <f>IMAGE("https://raw.githubusercontent.com/ltdimages/images/refs/heads/main/ClothHeadwearCoverBodySuit_01.png")</f>
        <v/>
      </c>
      <c r="E111" s="22" t="str">
        <f>IMAGE("https://raw.githubusercontent.com/ltdimages/images/refs/heads/main/ClothHeadwearCoverBodySuit_02.png")</f>
        <v/>
      </c>
      <c r="F111" s="22" t="str">
        <f>IMAGE("https://raw.githubusercontent.com/ltdimages/images/refs/heads/main/ClothHeadwearCoverBodySuit_03.png")</f>
        <v/>
      </c>
      <c r="G111" s="22" t="str">
        <f>IMAGE("https://raw.githubusercontent.com/ltdimages/images/refs/heads/main/ClothHeadwearCoverBodySuit_04.png")</f>
        <v/>
      </c>
      <c r="H111" s="22" t="str">
        <f>IMAGE("https://raw.githubusercontent.com/ltdimages/images/refs/heads/main/ClothHeadwearCoverBodySuit_05.png")</f>
        <v/>
      </c>
      <c r="I111" s="22" t="str">
        <f>IMAGE("https://raw.githubusercontent.com/ltdimages/images/refs/heads/main/ClothHeadwearCoverBodySuit_06.png")</f>
        <v/>
      </c>
      <c r="J111" s="22" t="str">
        <f>IMAGE("https://raw.githubusercontent.com/ltdimages/images/refs/heads/main/ClothHeadwearCoverBodySuit_07.png")</f>
        <v/>
      </c>
      <c r="K111" s="63" t="s">
        <v>3244</v>
      </c>
      <c r="L111" s="23">
        <v>10.0</v>
      </c>
      <c r="M111" s="22" t="s">
        <v>3097</v>
      </c>
      <c r="N111" s="22" t="s">
        <v>3099</v>
      </c>
      <c r="O111" s="22" t="s">
        <v>45</v>
      </c>
      <c r="P111" s="22" t="s">
        <v>45</v>
      </c>
      <c r="Q111" s="22" t="s">
        <v>45</v>
      </c>
      <c r="R111" s="22" t="s">
        <v>49</v>
      </c>
      <c r="S111" s="22" t="s">
        <v>45</v>
      </c>
      <c r="T111" s="22" t="s">
        <v>5593</v>
      </c>
      <c r="U111" s="22" t="s">
        <v>45</v>
      </c>
      <c r="V111" s="22" t="s">
        <v>45</v>
      </c>
      <c r="W111" s="22" t="s">
        <v>5594</v>
      </c>
    </row>
    <row r="112" ht="45.0" customHeight="1">
      <c r="A112" s="55" t="s">
        <v>525</v>
      </c>
      <c r="B112" s="62" t="s">
        <v>3285</v>
      </c>
      <c r="C112" s="22" t="str">
        <f>IMAGE("https://raw.githubusercontent.com/ltdimages/images/refs/heads/main/ClothHeadwearFullfaceCardboard_00.png")</f>
        <v/>
      </c>
      <c r="D112" s="22" t="str">
        <f>IMAGE("https://raw.githubusercontent.com/ltdimages/images/refs/heads/main/ClothHeadwearFullfaceCardboard_01.png")</f>
        <v/>
      </c>
      <c r="E112" s="22" t="s">
        <v>3095</v>
      </c>
      <c r="F112" s="22" t="s">
        <v>3095</v>
      </c>
      <c r="G112" s="22" t="s">
        <v>3095</v>
      </c>
      <c r="H112" s="22" t="s">
        <v>3095</v>
      </c>
      <c r="I112" s="22" t="s">
        <v>3095</v>
      </c>
      <c r="J112" s="22" t="s">
        <v>3095</v>
      </c>
      <c r="K112" s="63" t="s">
        <v>3244</v>
      </c>
      <c r="L112" s="23">
        <v>5.0</v>
      </c>
      <c r="M112" s="22" t="s">
        <v>3097</v>
      </c>
      <c r="N112" s="22" t="s">
        <v>3099</v>
      </c>
      <c r="O112" s="22" t="s">
        <v>45</v>
      </c>
      <c r="P112" s="22" t="s">
        <v>45</v>
      </c>
      <c r="Q112" s="22" t="s">
        <v>45</v>
      </c>
      <c r="R112" s="22" t="s">
        <v>49</v>
      </c>
      <c r="S112" s="22" t="s">
        <v>45</v>
      </c>
      <c r="T112" s="22" t="s">
        <v>5582</v>
      </c>
      <c r="U112" s="22" t="s">
        <v>45</v>
      </c>
      <c r="V112" s="22" t="s">
        <v>45</v>
      </c>
      <c r="W112" s="22" t="s">
        <v>5595</v>
      </c>
    </row>
    <row r="113" ht="45.0" customHeight="1">
      <c r="A113" s="55" t="s">
        <v>529</v>
      </c>
      <c r="B113" s="62" t="s">
        <v>3315</v>
      </c>
      <c r="C113" s="22" t="str">
        <f>IMAGE("https://raw.githubusercontent.com/ltdimages/images/refs/heads/main/ClothHeadwearCoverCatcher_00.png")</f>
        <v/>
      </c>
      <c r="D113" s="22" t="str">
        <f>IMAGE("https://raw.githubusercontent.com/ltdimages/images/refs/heads/main/ClothHeadwearCoverCatcher_01.png")</f>
        <v/>
      </c>
      <c r="E113" s="22" t="str">
        <f>IMAGE("https://raw.githubusercontent.com/ltdimages/images/refs/heads/main/ClothHeadwearCoverCatcher_02.png")</f>
        <v/>
      </c>
      <c r="F113" s="22" t="str">
        <f>IMAGE("https://raw.githubusercontent.com/ltdimages/images/refs/heads/main/ClothHeadwearCoverCatcher_03.png")</f>
        <v/>
      </c>
      <c r="G113" s="22" t="str">
        <f>IMAGE("https://raw.githubusercontent.com/ltdimages/images/refs/heads/main/ClothHeadwearCoverCatcher_04.png")</f>
        <v/>
      </c>
      <c r="H113" s="22" t="str">
        <f>IMAGE("https://raw.githubusercontent.com/ltdimages/images/refs/heads/main/ClothHeadwearCoverCatcher_05.png")</f>
        <v/>
      </c>
      <c r="I113" s="22" t="s">
        <v>3095</v>
      </c>
      <c r="J113" s="22" t="s">
        <v>3095</v>
      </c>
      <c r="K113" s="63" t="s">
        <v>3244</v>
      </c>
      <c r="L113" s="23">
        <v>25.0</v>
      </c>
      <c r="M113" s="22" t="s">
        <v>3097</v>
      </c>
      <c r="N113" s="22" t="s">
        <v>3099</v>
      </c>
      <c r="O113" s="22" t="s">
        <v>45</v>
      </c>
      <c r="P113" s="22" t="s">
        <v>45</v>
      </c>
      <c r="Q113" s="22" t="s">
        <v>45</v>
      </c>
      <c r="R113" s="22" t="s">
        <v>45</v>
      </c>
      <c r="S113" s="22" t="s">
        <v>45</v>
      </c>
      <c r="T113" s="22" t="s">
        <v>5593</v>
      </c>
      <c r="U113" s="22" t="s">
        <v>45</v>
      </c>
      <c r="V113" s="22" t="s">
        <v>45</v>
      </c>
      <c r="W113" s="22" t="s">
        <v>5596</v>
      </c>
    </row>
    <row r="114" ht="45.0" customHeight="1">
      <c r="A114" s="55" t="s">
        <v>533</v>
      </c>
      <c r="B114" s="62" t="s">
        <v>3319</v>
      </c>
      <c r="C114" s="22" t="str">
        <f>IMAGE("https://raw.githubusercontent.com/ltdimages/images/refs/heads/main/ClothHeadwearCostumeCat_00.png")</f>
        <v/>
      </c>
      <c r="D114" s="22" t="str">
        <f>IMAGE("https://raw.githubusercontent.com/ltdimages/images/refs/heads/main/ClothHeadwearCostumeCat_01.png")</f>
        <v/>
      </c>
      <c r="E114" s="22" t="str">
        <f>IMAGE("https://raw.githubusercontent.com/ltdimages/images/refs/heads/main/ClothHeadwearCostumeCat_02.png")</f>
        <v/>
      </c>
      <c r="F114" s="22" t="str">
        <f>IMAGE("https://raw.githubusercontent.com/ltdimages/images/refs/heads/main/ClothHeadwearCostumeCat_03.png")</f>
        <v/>
      </c>
      <c r="G114" s="22" t="str">
        <f>IMAGE("https://raw.githubusercontent.com/ltdimages/images/refs/heads/main/ClothHeadwearCostumeCat_04.png")</f>
        <v/>
      </c>
      <c r="H114" s="22" t="str">
        <f>IMAGE("https://raw.githubusercontent.com/ltdimages/images/refs/heads/main/ClothHeadwearCostumeCat_05.png")</f>
        <v/>
      </c>
      <c r="I114" s="22" t="str">
        <f>IMAGE("https://raw.githubusercontent.com/ltdimages/images/refs/heads/main/ClothHeadwearCostumeCat_06.png")</f>
        <v/>
      </c>
      <c r="J114" s="22" t="str">
        <f>IMAGE("https://raw.githubusercontent.com/ltdimages/images/refs/heads/main/ClothHeadwearCostumeCat_07.png")</f>
        <v/>
      </c>
      <c r="K114" s="63" t="s">
        <v>3244</v>
      </c>
      <c r="L114" s="23">
        <v>22.0</v>
      </c>
      <c r="M114" s="22" t="s">
        <v>3097</v>
      </c>
      <c r="N114" s="22" t="s">
        <v>3099</v>
      </c>
      <c r="O114" s="22" t="s">
        <v>45</v>
      </c>
      <c r="P114" s="22" t="s">
        <v>45</v>
      </c>
      <c r="Q114" s="22" t="s">
        <v>45</v>
      </c>
      <c r="R114" s="22" t="s">
        <v>49</v>
      </c>
      <c r="S114" s="22" t="s">
        <v>45</v>
      </c>
      <c r="T114" s="22" t="s">
        <v>5584</v>
      </c>
      <c r="U114" s="22" t="s">
        <v>45</v>
      </c>
      <c r="V114" s="22" t="s">
        <v>45</v>
      </c>
      <c r="W114" s="22" t="s">
        <v>5597</v>
      </c>
    </row>
    <row r="115" ht="45.0" customHeight="1">
      <c r="A115" s="55" t="s">
        <v>537</v>
      </c>
      <c r="B115" s="62" t="s">
        <v>3333</v>
      </c>
      <c r="C115" s="22" t="str">
        <f>IMAGE("https://raw.githubusercontent.com/ltdimages/images/refs/heads/main/ClothHeadwearCostumeHen_00.png")</f>
        <v/>
      </c>
      <c r="D115" s="22" t="s">
        <v>3095</v>
      </c>
      <c r="E115" s="22" t="s">
        <v>3095</v>
      </c>
      <c r="F115" s="22" t="s">
        <v>3095</v>
      </c>
      <c r="G115" s="22" t="s">
        <v>3095</v>
      </c>
      <c r="H115" s="22" t="s">
        <v>3095</v>
      </c>
      <c r="I115" s="22" t="s">
        <v>3095</v>
      </c>
      <c r="J115" s="22" t="s">
        <v>3095</v>
      </c>
      <c r="K115" s="63" t="s">
        <v>3244</v>
      </c>
      <c r="L115" s="23">
        <v>35.0</v>
      </c>
      <c r="M115" s="22" t="s">
        <v>3097</v>
      </c>
      <c r="N115" s="22" t="s">
        <v>3099</v>
      </c>
      <c r="O115" s="22" t="s">
        <v>45</v>
      </c>
      <c r="P115" s="22" t="s">
        <v>45</v>
      </c>
      <c r="Q115" s="22" t="s">
        <v>45</v>
      </c>
      <c r="R115" s="22" t="s">
        <v>49</v>
      </c>
      <c r="S115" s="22" t="s">
        <v>45</v>
      </c>
      <c r="T115" s="22" t="s">
        <v>5584</v>
      </c>
      <c r="U115" s="22" t="s">
        <v>45</v>
      </c>
      <c r="V115" s="22" t="s">
        <v>45</v>
      </c>
      <c r="W115" s="22" t="s">
        <v>5598</v>
      </c>
    </row>
    <row r="116" ht="45.0" customHeight="1">
      <c r="A116" s="55" t="s">
        <v>541</v>
      </c>
      <c r="B116" s="62" t="s">
        <v>3392</v>
      </c>
      <c r="C116" s="22" t="str">
        <f>IMAGE("https://raw.githubusercontent.com/ltdimages/images/refs/heads/main/ClothHeadwearCostumeCow_00.png")</f>
        <v/>
      </c>
      <c r="D116" s="22" t="str">
        <f>IMAGE("https://raw.githubusercontent.com/ltdimages/images/refs/heads/main/ClothHeadwearCostumeCow_01.png")</f>
        <v/>
      </c>
      <c r="E116" s="22" t="str">
        <f>IMAGE("https://raw.githubusercontent.com/ltdimages/images/refs/heads/main/ClothHeadwearCostumeCow_02.png")</f>
        <v/>
      </c>
      <c r="F116" s="22" t="str">
        <f>IMAGE("https://raw.githubusercontent.com/ltdimages/images/refs/heads/main/ClothHeadwearCostumeCow_03.png")</f>
        <v/>
      </c>
      <c r="G116" s="22" t="s">
        <v>3095</v>
      </c>
      <c r="H116" s="22" t="s">
        <v>3095</v>
      </c>
      <c r="I116" s="22" t="s">
        <v>3095</v>
      </c>
      <c r="J116" s="22" t="s">
        <v>3095</v>
      </c>
      <c r="K116" s="63" t="s">
        <v>3244</v>
      </c>
      <c r="L116" s="23">
        <v>20.0</v>
      </c>
      <c r="M116" s="22" t="s">
        <v>3097</v>
      </c>
      <c r="N116" s="22" t="s">
        <v>3099</v>
      </c>
      <c r="O116" s="22" t="s">
        <v>45</v>
      </c>
      <c r="P116" s="22" t="s">
        <v>45</v>
      </c>
      <c r="Q116" s="22" t="s">
        <v>45</v>
      </c>
      <c r="R116" s="22" t="s">
        <v>49</v>
      </c>
      <c r="S116" s="22" t="s">
        <v>45</v>
      </c>
      <c r="T116" s="22" t="s">
        <v>5584</v>
      </c>
      <c r="U116" s="22" t="s">
        <v>45</v>
      </c>
      <c r="V116" s="22" t="s">
        <v>45</v>
      </c>
      <c r="W116" s="22" t="s">
        <v>5599</v>
      </c>
    </row>
    <row r="117" ht="45.0" customHeight="1">
      <c r="A117" s="55" t="s">
        <v>546</v>
      </c>
      <c r="B117" s="62" t="s">
        <v>5600</v>
      </c>
      <c r="C117" s="22" t="str">
        <f>IMAGE("https://raw.githubusercontent.com/ltdimages/images/refs/heads/main/ClothHeadwearCostumeCrab_00.png")</f>
        <v/>
      </c>
      <c r="D117" s="22" t="s">
        <v>3095</v>
      </c>
      <c r="E117" s="22" t="s">
        <v>3095</v>
      </c>
      <c r="F117" s="22" t="s">
        <v>3095</v>
      </c>
      <c r="G117" s="22" t="s">
        <v>3095</v>
      </c>
      <c r="H117" s="22" t="s">
        <v>3095</v>
      </c>
      <c r="I117" s="22" t="s">
        <v>3095</v>
      </c>
      <c r="J117" s="22" t="s">
        <v>3095</v>
      </c>
      <c r="K117" s="63" t="s">
        <v>3244</v>
      </c>
      <c r="L117" s="23">
        <v>20.0</v>
      </c>
      <c r="M117" s="22" t="s">
        <v>3097</v>
      </c>
      <c r="N117" s="22" t="s">
        <v>3099</v>
      </c>
      <c r="O117" s="22" t="s">
        <v>45</v>
      </c>
      <c r="P117" s="22" t="s">
        <v>45</v>
      </c>
      <c r="Q117" s="22" t="s">
        <v>45</v>
      </c>
      <c r="R117" s="22" t="s">
        <v>49</v>
      </c>
      <c r="S117" s="22" t="s">
        <v>45</v>
      </c>
      <c r="T117" s="22" t="s">
        <v>5584</v>
      </c>
      <c r="U117" s="22" t="s">
        <v>45</v>
      </c>
      <c r="V117" s="22" t="s">
        <v>45</v>
      </c>
      <c r="W117" s="22" t="s">
        <v>5601</v>
      </c>
    </row>
    <row r="118" ht="45.0" customHeight="1">
      <c r="A118" s="55" t="s">
        <v>550</v>
      </c>
      <c r="B118" s="62" t="s">
        <v>3405</v>
      </c>
      <c r="C118" s="22" t="str">
        <f>IMAGE("https://raw.githubusercontent.com/ltdimages/images/refs/heads/main/ClothHeadwearFullfaceCyber_00.png")</f>
        <v/>
      </c>
      <c r="D118" s="22" t="str">
        <f>IMAGE("https://raw.githubusercontent.com/ltdimages/images/refs/heads/main/ClothHeadwearFullfaceCyber_01.png")</f>
        <v/>
      </c>
      <c r="E118" s="22" t="str">
        <f>IMAGE("https://raw.githubusercontent.com/ltdimages/images/refs/heads/main/ClothHeadwearFullfaceCyber_02.png")</f>
        <v/>
      </c>
      <c r="F118" s="22" t="str">
        <f>IMAGE("https://raw.githubusercontent.com/ltdimages/images/refs/heads/main/ClothHeadwearFullfaceCyber_03.png")</f>
        <v/>
      </c>
      <c r="G118" s="22" t="str">
        <f>IMAGE("https://raw.githubusercontent.com/ltdimages/images/refs/heads/main/ClothHeadwearFullfaceCyber_04.png")</f>
        <v/>
      </c>
      <c r="H118" s="22" t="str">
        <f>IMAGE("https://raw.githubusercontent.com/ltdimages/images/refs/heads/main/ClothHeadwearFullfaceCyber_05.png")</f>
        <v/>
      </c>
      <c r="I118" s="22" t="s">
        <v>3095</v>
      </c>
      <c r="J118" s="22" t="s">
        <v>3095</v>
      </c>
      <c r="K118" s="63" t="s">
        <v>3244</v>
      </c>
      <c r="L118" s="23">
        <v>50.0</v>
      </c>
      <c r="M118" s="22" t="s">
        <v>3097</v>
      </c>
      <c r="N118" s="22" t="s">
        <v>3099</v>
      </c>
      <c r="O118" s="22" t="s">
        <v>45</v>
      </c>
      <c r="P118" s="22" t="s">
        <v>45</v>
      </c>
      <c r="Q118" s="22" t="s">
        <v>45</v>
      </c>
      <c r="R118" s="22" t="s">
        <v>49</v>
      </c>
      <c r="S118" s="22" t="s">
        <v>45</v>
      </c>
      <c r="T118" s="22" t="s">
        <v>5582</v>
      </c>
      <c r="U118" s="22" t="s">
        <v>45</v>
      </c>
      <c r="V118" s="22" t="s">
        <v>45</v>
      </c>
      <c r="W118" s="22" t="s">
        <v>5602</v>
      </c>
    </row>
    <row r="119" ht="45.0" customHeight="1">
      <c r="A119" s="55" t="s">
        <v>555</v>
      </c>
      <c r="B119" s="62" t="s">
        <v>3423</v>
      </c>
      <c r="C119" s="22" t="str">
        <f>IMAGE("https://raw.githubusercontent.com/ltdimages/images/refs/heads/main/ClothHeadwearCostumeDevil_00.png")</f>
        <v/>
      </c>
      <c r="D119" s="22" t="str">
        <f>IMAGE("https://raw.githubusercontent.com/ltdimages/images/refs/heads/main/ClothHeadwearCostumeDevil_01.png")</f>
        <v/>
      </c>
      <c r="E119" s="22" t="str">
        <f>IMAGE("https://raw.githubusercontent.com/ltdimages/images/refs/heads/main/ClothHeadwearCostumeDevil_02.png")</f>
        <v/>
      </c>
      <c r="F119" s="22" t="str">
        <f>IMAGE("https://raw.githubusercontent.com/ltdimages/images/refs/heads/main/ClothHeadwearCostumeDevil_03.png")</f>
        <v/>
      </c>
      <c r="G119" s="22" t="str">
        <f>IMAGE("https://raw.githubusercontent.com/ltdimages/images/refs/heads/main/ClothHeadwearCostumeDevil_04.png")</f>
        <v/>
      </c>
      <c r="H119" s="22" t="str">
        <f>IMAGE("https://raw.githubusercontent.com/ltdimages/images/refs/heads/main/ClothHeadwearCostumeDevil_05.png")</f>
        <v/>
      </c>
      <c r="I119" s="22" t="s">
        <v>3095</v>
      </c>
      <c r="J119" s="22" t="s">
        <v>3095</v>
      </c>
      <c r="K119" s="63" t="s">
        <v>3244</v>
      </c>
      <c r="L119" s="23">
        <v>26.6</v>
      </c>
      <c r="M119" s="22" t="s">
        <v>3097</v>
      </c>
      <c r="N119" s="22" t="s">
        <v>3099</v>
      </c>
      <c r="O119" s="22" t="s">
        <v>45</v>
      </c>
      <c r="P119" s="22" t="s">
        <v>45</v>
      </c>
      <c r="Q119" s="22" t="s">
        <v>45</v>
      </c>
      <c r="R119" s="22" t="s">
        <v>49</v>
      </c>
      <c r="S119" s="22" t="s">
        <v>45</v>
      </c>
      <c r="T119" s="22" t="s">
        <v>5584</v>
      </c>
      <c r="U119" s="22" t="s">
        <v>45</v>
      </c>
      <c r="V119" s="22" t="s">
        <v>45</v>
      </c>
      <c r="W119" s="22" t="s">
        <v>5603</v>
      </c>
    </row>
    <row r="120" ht="45.0" customHeight="1">
      <c r="A120" s="55" t="s">
        <v>559</v>
      </c>
      <c r="B120" s="62" t="s">
        <v>3427</v>
      </c>
      <c r="C120" s="22" t="str">
        <f>IMAGE("https://raw.githubusercontent.com/ltdimages/images/refs/heads/main/ClothHeadwearCostumeDinosaur_00.png")</f>
        <v/>
      </c>
      <c r="D120" s="22" t="str">
        <f>IMAGE("https://raw.githubusercontent.com/ltdimages/images/refs/heads/main/ClothHeadwearCostumeDinosaur_01.png")</f>
        <v/>
      </c>
      <c r="E120" s="22" t="str">
        <f>IMAGE("https://raw.githubusercontent.com/ltdimages/images/refs/heads/main/ClothHeadwearCostumeDinosaur_02.png")</f>
        <v/>
      </c>
      <c r="F120" s="22" t="str">
        <f>IMAGE("https://raw.githubusercontent.com/ltdimages/images/refs/heads/main/ClothHeadwearCostumeDinosaur_03.png")</f>
        <v/>
      </c>
      <c r="G120" s="22" t="str">
        <f>IMAGE("https://raw.githubusercontent.com/ltdimages/images/refs/heads/main/ClothHeadwearCostumeDinosaur_04.png")</f>
        <v/>
      </c>
      <c r="H120" s="22" t="str">
        <f>IMAGE("https://raw.githubusercontent.com/ltdimages/images/refs/heads/main/ClothHeadwearCostumeDinosaur_05.png")</f>
        <v/>
      </c>
      <c r="I120" s="22" t="str">
        <f>IMAGE("https://raw.githubusercontent.com/ltdimages/images/refs/heads/main/ClothHeadwearCostumeDinosaur_06.png")</f>
        <v/>
      </c>
      <c r="J120" s="22" t="str">
        <f>IMAGE("https://raw.githubusercontent.com/ltdimages/images/refs/heads/main/ClothHeadwearCostumeDinosaur_07.png")</f>
        <v/>
      </c>
      <c r="K120" s="63" t="s">
        <v>3244</v>
      </c>
      <c r="L120" s="23">
        <v>20.0</v>
      </c>
      <c r="M120" s="22" t="s">
        <v>3097</v>
      </c>
      <c r="N120" s="22" t="s">
        <v>3099</v>
      </c>
      <c r="O120" s="22" t="s">
        <v>45</v>
      </c>
      <c r="P120" s="22" t="s">
        <v>45</v>
      </c>
      <c r="Q120" s="22" t="s">
        <v>45</v>
      </c>
      <c r="R120" s="22" t="s">
        <v>49</v>
      </c>
      <c r="S120" s="22" t="s">
        <v>45</v>
      </c>
      <c r="T120" s="22" t="s">
        <v>5584</v>
      </c>
      <c r="U120" s="22" t="s">
        <v>45</v>
      </c>
      <c r="V120" s="22" t="s">
        <v>45</v>
      </c>
      <c r="W120" s="22" t="s">
        <v>5604</v>
      </c>
    </row>
    <row r="121" ht="45.0" customHeight="1">
      <c r="A121" s="55" t="s">
        <v>563</v>
      </c>
      <c r="B121" s="62" t="s">
        <v>3438</v>
      </c>
      <c r="C121" s="22" t="str">
        <f>IMAGE("https://raw.githubusercontent.com/ltdimages/images/refs/heads/main/ClothHeadwearFullfaceDivingHelmet_00.png")</f>
        <v/>
      </c>
      <c r="D121" s="22" t="str">
        <f>IMAGE("https://raw.githubusercontent.com/ltdimages/images/refs/heads/main/ClothHeadwearFullfaceDivingHelmet_01.png")</f>
        <v/>
      </c>
      <c r="E121" s="22" t="str">
        <f>IMAGE("https://raw.githubusercontent.com/ltdimages/images/refs/heads/main/ClothHeadwearFullfaceDivingHelmet_02.png")</f>
        <v/>
      </c>
      <c r="F121" s="22" t="s">
        <v>3095</v>
      </c>
      <c r="G121" s="22" t="s">
        <v>3095</v>
      </c>
      <c r="H121" s="22" t="s">
        <v>3095</v>
      </c>
      <c r="I121" s="22" t="s">
        <v>3095</v>
      </c>
      <c r="J121" s="22" t="s">
        <v>3095</v>
      </c>
      <c r="K121" s="63" t="s">
        <v>3244</v>
      </c>
      <c r="L121" s="23">
        <v>45.0</v>
      </c>
      <c r="M121" s="22" t="s">
        <v>3097</v>
      </c>
      <c r="N121" s="22" t="s">
        <v>3099</v>
      </c>
      <c r="O121" s="22" t="s">
        <v>45</v>
      </c>
      <c r="P121" s="22" t="s">
        <v>45</v>
      </c>
      <c r="Q121" s="22" t="s">
        <v>45</v>
      </c>
      <c r="R121" s="22" t="s">
        <v>49</v>
      </c>
      <c r="S121" s="22" t="s">
        <v>45</v>
      </c>
      <c r="T121" s="22" t="s">
        <v>5582</v>
      </c>
      <c r="U121" s="22" t="s">
        <v>45</v>
      </c>
      <c r="V121" s="22" t="s">
        <v>45</v>
      </c>
      <c r="W121" s="22" t="s">
        <v>5605</v>
      </c>
    </row>
    <row r="122" ht="45.0" customHeight="1">
      <c r="A122" s="55" t="s">
        <v>567</v>
      </c>
      <c r="B122" s="62" t="s">
        <v>3450</v>
      </c>
      <c r="C122" s="22" t="str">
        <f>IMAGE("https://raw.githubusercontent.com/ltdimages/images/refs/heads/main/ClothHeadwearCostumeDog_00.png")</f>
        <v/>
      </c>
      <c r="D122" s="22" t="str">
        <f>IMAGE("https://raw.githubusercontent.com/ltdimages/images/refs/heads/main/ClothHeadwearCostumeDog_01.png")</f>
        <v/>
      </c>
      <c r="E122" s="22" t="str">
        <f>IMAGE("https://raw.githubusercontent.com/ltdimages/images/refs/heads/main/ClothHeadwearCostumeDog_02.png")</f>
        <v/>
      </c>
      <c r="F122" s="22" t="str">
        <f>IMAGE("https://raw.githubusercontent.com/ltdimages/images/refs/heads/main/ClothHeadwearCostumeDog_03.png")</f>
        <v/>
      </c>
      <c r="G122" s="22" t="str">
        <f>IMAGE("https://raw.githubusercontent.com/ltdimages/images/refs/heads/main/ClothHeadwearCostumeDog_04.png")</f>
        <v/>
      </c>
      <c r="H122" s="22" t="str">
        <f>IMAGE("https://raw.githubusercontent.com/ltdimages/images/refs/heads/main/ClothHeadwearCostumeDog_05.png")</f>
        <v/>
      </c>
      <c r="I122" s="22" t="str">
        <f>IMAGE("https://raw.githubusercontent.com/ltdimages/images/refs/heads/main/ClothHeadwearCostumeDog_06.png")</f>
        <v/>
      </c>
      <c r="J122" s="22" t="str">
        <f>IMAGE("https://raw.githubusercontent.com/ltdimages/images/refs/heads/main/ClothHeadwearCostumeDog_07.png")</f>
        <v/>
      </c>
      <c r="K122" s="63" t="s">
        <v>3244</v>
      </c>
      <c r="L122" s="23">
        <v>25.0</v>
      </c>
      <c r="M122" s="22" t="s">
        <v>3097</v>
      </c>
      <c r="N122" s="22" t="s">
        <v>3099</v>
      </c>
      <c r="O122" s="22" t="s">
        <v>45</v>
      </c>
      <c r="P122" s="22" t="s">
        <v>45</v>
      </c>
      <c r="Q122" s="22" t="s">
        <v>45</v>
      </c>
      <c r="R122" s="22" t="s">
        <v>49</v>
      </c>
      <c r="S122" s="22" t="s">
        <v>45</v>
      </c>
      <c r="T122" s="22" t="s">
        <v>5584</v>
      </c>
      <c r="U122" s="22" t="s">
        <v>45</v>
      </c>
      <c r="V122" s="22" t="s">
        <v>45</v>
      </c>
      <c r="W122" s="22" t="s">
        <v>5606</v>
      </c>
    </row>
    <row r="123" ht="45.0" customHeight="1">
      <c r="A123" s="55" t="s">
        <v>571</v>
      </c>
      <c r="B123" s="62" t="s">
        <v>3470</v>
      </c>
      <c r="C123" s="22" t="str">
        <f>IMAGE("https://raw.githubusercontent.com/ltdimages/images/refs/heads/main/ClothHeadwearCostumeDragon_00.png")</f>
        <v/>
      </c>
      <c r="D123" s="22" t="str">
        <f>IMAGE("https://raw.githubusercontent.com/ltdimages/images/refs/heads/main/ClothHeadwearCostumeDragon_01.png")</f>
        <v/>
      </c>
      <c r="E123" s="22" t="str">
        <f>IMAGE("https://raw.githubusercontent.com/ltdimages/images/refs/heads/main/ClothHeadwearCostumeDragon_02.png")</f>
        <v/>
      </c>
      <c r="F123" s="22" t="str">
        <f>IMAGE("https://raw.githubusercontent.com/ltdimages/images/refs/heads/main/ClothHeadwearCostumeDragon_03.png")</f>
        <v/>
      </c>
      <c r="G123" s="22" t="str">
        <f>IMAGE("https://raw.githubusercontent.com/ltdimages/images/refs/heads/main/ClothHeadwearCostumeDragon_04.png")</f>
        <v/>
      </c>
      <c r="H123" s="22" t="str">
        <f>IMAGE("https://raw.githubusercontent.com/ltdimages/images/refs/heads/main/ClothHeadwearCostumeDragon_05.png")</f>
        <v/>
      </c>
      <c r="I123" s="22" t="str">
        <f>IMAGE("https://raw.githubusercontent.com/ltdimages/images/refs/heads/main/ClothHeadwearCostumeDragon_06.png")</f>
        <v/>
      </c>
      <c r="J123" s="22" t="str">
        <f>IMAGE("https://raw.githubusercontent.com/ltdimages/images/refs/heads/main/ClothHeadwearCostumeDragon_07.png")</f>
        <v/>
      </c>
      <c r="K123" s="63" t="s">
        <v>3244</v>
      </c>
      <c r="L123" s="23">
        <v>50.0</v>
      </c>
      <c r="M123" s="22" t="s">
        <v>3097</v>
      </c>
      <c r="N123" s="22" t="s">
        <v>3099</v>
      </c>
      <c r="O123" s="22" t="s">
        <v>45</v>
      </c>
      <c r="P123" s="22" t="s">
        <v>45</v>
      </c>
      <c r="Q123" s="22" t="s">
        <v>45</v>
      </c>
      <c r="R123" s="22" t="s">
        <v>49</v>
      </c>
      <c r="S123" s="22" t="s">
        <v>45</v>
      </c>
      <c r="T123" s="22" t="s">
        <v>5584</v>
      </c>
      <c r="U123" s="22" t="s">
        <v>45</v>
      </c>
      <c r="V123" s="22" t="s">
        <v>45</v>
      </c>
      <c r="W123" s="22" t="s">
        <v>5607</v>
      </c>
    </row>
    <row r="124" ht="45.0" customHeight="1">
      <c r="A124" s="55" t="s">
        <v>576</v>
      </c>
      <c r="B124" s="62" t="s">
        <v>5608</v>
      </c>
      <c r="C124" s="22" t="str">
        <f>IMAGE("https://raw.githubusercontent.com/ltdimages/images/refs/heads/main/ClothHeadwearCostumeFurHood_00.png")</f>
        <v/>
      </c>
      <c r="D124" s="22" t="str">
        <f>IMAGE("https://raw.githubusercontent.com/ltdimages/images/refs/heads/main/ClothHeadwearCostumeFurHood_01.png")</f>
        <v/>
      </c>
      <c r="E124" s="22" t="str">
        <f>IMAGE("https://raw.githubusercontent.com/ltdimages/images/refs/heads/main/ClothHeadwearCostumeFurHood_02.png")</f>
        <v/>
      </c>
      <c r="F124" s="22" t="str">
        <f>IMAGE("https://raw.githubusercontent.com/ltdimages/images/refs/heads/main/ClothHeadwearCostumeFurHood_03.png")</f>
        <v/>
      </c>
      <c r="G124" s="22" t="str">
        <f>IMAGE("https://raw.githubusercontent.com/ltdimages/images/refs/heads/main/ClothHeadwearCostumeFurHood_04.png")</f>
        <v/>
      </c>
      <c r="H124" s="22" t="str">
        <f>IMAGE("https://raw.githubusercontent.com/ltdimages/images/refs/heads/main/ClothHeadwearCostumeFurHood_05.png")</f>
        <v/>
      </c>
      <c r="I124" s="22" t="str">
        <f>IMAGE("https://raw.githubusercontent.com/ltdimages/images/refs/heads/main/ClothHeadwearCostumeFurHood_06.png")</f>
        <v/>
      </c>
      <c r="J124" s="22" t="str">
        <f>IMAGE("https://raw.githubusercontent.com/ltdimages/images/refs/heads/main/ClothHeadwearCostumeFurHood_07.png")</f>
        <v/>
      </c>
      <c r="K124" s="63" t="s">
        <v>3244</v>
      </c>
      <c r="L124" s="23">
        <v>18.0</v>
      </c>
      <c r="M124" s="22" t="s">
        <v>3097</v>
      </c>
      <c r="N124" s="22" t="s">
        <v>3099</v>
      </c>
      <c r="O124" s="22" t="s">
        <v>45</v>
      </c>
      <c r="P124" s="22" t="s">
        <v>45</v>
      </c>
      <c r="Q124" s="22" t="s">
        <v>45</v>
      </c>
      <c r="R124" s="22" t="s">
        <v>45</v>
      </c>
      <c r="S124" s="22" t="s">
        <v>45</v>
      </c>
      <c r="T124" s="22" t="s">
        <v>5584</v>
      </c>
      <c r="U124" s="22" t="s">
        <v>45</v>
      </c>
      <c r="V124" s="22" t="s">
        <v>45</v>
      </c>
      <c r="W124" s="22" t="s">
        <v>5609</v>
      </c>
    </row>
    <row r="125" ht="45.0" customHeight="1">
      <c r="A125" s="55" t="s">
        <v>580</v>
      </c>
      <c r="B125" s="62" t="s">
        <v>3496</v>
      </c>
      <c r="C125" s="22" t="str">
        <f>IMAGE("https://raw.githubusercontent.com/ltdimages/images/refs/heads/main/ClothHeadwearProtectorFirefighter_00.png")</f>
        <v/>
      </c>
      <c r="D125" s="22" t="str">
        <f>IMAGE("https://raw.githubusercontent.com/ltdimages/images/refs/heads/main/ClothHeadwearProtectorFirefighter_01.png")</f>
        <v/>
      </c>
      <c r="E125" s="22" t="str">
        <f>IMAGE("https://raw.githubusercontent.com/ltdimages/images/refs/heads/main/ClothHeadwearProtectorFirefighter_02.png")</f>
        <v/>
      </c>
      <c r="F125" s="22" t="str">
        <f>IMAGE("https://raw.githubusercontent.com/ltdimages/images/refs/heads/main/ClothHeadwearProtectorFirefighter_03.png")</f>
        <v/>
      </c>
      <c r="G125" s="22" t="s">
        <v>3095</v>
      </c>
      <c r="H125" s="22" t="s">
        <v>3095</v>
      </c>
      <c r="I125" s="22" t="s">
        <v>3095</v>
      </c>
      <c r="J125" s="22" t="s">
        <v>3095</v>
      </c>
      <c r="K125" s="63" t="s">
        <v>3244</v>
      </c>
      <c r="L125" s="23">
        <v>31.5</v>
      </c>
      <c r="M125" s="22" t="s">
        <v>3097</v>
      </c>
      <c r="N125" s="22" t="s">
        <v>3099</v>
      </c>
      <c r="O125" s="22" t="s">
        <v>45</v>
      </c>
      <c r="P125" s="22" t="s">
        <v>45</v>
      </c>
      <c r="Q125" s="22" t="s">
        <v>45</v>
      </c>
      <c r="R125" s="22" t="s">
        <v>49</v>
      </c>
      <c r="S125" s="22" t="s">
        <v>45</v>
      </c>
      <c r="T125" s="22" t="s">
        <v>5589</v>
      </c>
      <c r="U125" s="22" t="s">
        <v>45</v>
      </c>
      <c r="V125" s="22" t="s">
        <v>45</v>
      </c>
      <c r="W125" s="22" t="s">
        <v>5610</v>
      </c>
    </row>
    <row r="126" ht="45.0" customHeight="1">
      <c r="A126" s="55" t="s">
        <v>584</v>
      </c>
      <c r="B126" s="62" t="s">
        <v>3500</v>
      </c>
      <c r="C126" s="22" t="str">
        <f>IMAGE("https://raw.githubusercontent.com/ltdimages/images/refs/heads/main/ClothHeadwearCostumeFish_00.png")</f>
        <v/>
      </c>
      <c r="D126" s="22" t="str">
        <f>IMAGE("https://raw.githubusercontent.com/ltdimages/images/refs/heads/main/ClothHeadwearCostumeFish_01.png")</f>
        <v/>
      </c>
      <c r="E126" s="22" t="str">
        <f>IMAGE("https://raw.githubusercontent.com/ltdimages/images/refs/heads/main/ClothHeadwearCostumeFish_02.png")</f>
        <v/>
      </c>
      <c r="F126" s="22" t="str">
        <f>IMAGE("https://raw.githubusercontent.com/ltdimages/images/refs/heads/main/ClothHeadwearCostumeFish_03.png")</f>
        <v/>
      </c>
      <c r="G126" s="22" t="str">
        <f>IMAGE("https://raw.githubusercontent.com/ltdimages/images/refs/heads/main/ClothHeadwearCostumeFish_04.png")</f>
        <v/>
      </c>
      <c r="H126" s="22" t="str">
        <f>IMAGE("https://raw.githubusercontent.com/ltdimages/images/refs/heads/main/ClothHeadwearCostumeFish_05.png")</f>
        <v/>
      </c>
      <c r="I126" s="22" t="str">
        <f>IMAGE("https://raw.githubusercontent.com/ltdimages/images/refs/heads/main/ClothHeadwearCostumeFish_06.png")</f>
        <v/>
      </c>
      <c r="J126" s="22" t="str">
        <f>IMAGE("https://raw.githubusercontent.com/ltdimages/images/refs/heads/main/ClothHeadwearCostumeFish_07.png")</f>
        <v/>
      </c>
      <c r="K126" s="63" t="s">
        <v>3244</v>
      </c>
      <c r="L126" s="23">
        <v>20.0</v>
      </c>
      <c r="M126" s="22" t="s">
        <v>3097</v>
      </c>
      <c r="N126" s="22" t="s">
        <v>3099</v>
      </c>
      <c r="O126" s="22" t="s">
        <v>45</v>
      </c>
      <c r="P126" s="22" t="s">
        <v>45</v>
      </c>
      <c r="Q126" s="22" t="s">
        <v>45</v>
      </c>
      <c r="R126" s="22" t="s">
        <v>49</v>
      </c>
      <c r="S126" s="22" t="s">
        <v>45</v>
      </c>
      <c r="T126" s="22" t="s">
        <v>5584</v>
      </c>
      <c r="U126" s="22" t="s">
        <v>45</v>
      </c>
      <c r="V126" s="22" t="s">
        <v>45</v>
      </c>
      <c r="W126" s="22" t="s">
        <v>5611</v>
      </c>
    </row>
    <row r="127" ht="45.0" customHeight="1">
      <c r="A127" s="55" t="s">
        <v>588</v>
      </c>
      <c r="B127" s="62" t="s">
        <v>3515</v>
      </c>
      <c r="C127" s="22" t="str">
        <f>IMAGE("https://raw.githubusercontent.com/ltdimages/images/refs/heads/main/ClothHeadwearCoverFlower_00.png")</f>
        <v/>
      </c>
      <c r="D127" s="22" t="str">
        <f>IMAGE("https://raw.githubusercontent.com/ltdimages/images/refs/heads/main/ClothHeadwearCoverFlower_01.png")</f>
        <v/>
      </c>
      <c r="E127" s="22" t="str">
        <f>IMAGE("https://raw.githubusercontent.com/ltdimages/images/refs/heads/main/ClothHeadwearCoverFlower_02.png")</f>
        <v/>
      </c>
      <c r="F127" s="22" t="str">
        <f>IMAGE("https://raw.githubusercontent.com/ltdimages/images/refs/heads/main/ClothHeadwearCoverFlower_03.png")</f>
        <v/>
      </c>
      <c r="G127" s="22" t="str">
        <f>IMAGE("https://raw.githubusercontent.com/ltdimages/images/refs/heads/main/ClothHeadwearCoverFlower_04.png")</f>
        <v/>
      </c>
      <c r="H127" s="22" t="str">
        <f>IMAGE("https://raw.githubusercontent.com/ltdimages/images/refs/heads/main/ClothHeadwearCoverFlower_05.png")</f>
        <v/>
      </c>
      <c r="I127" s="22" t="str">
        <f>IMAGE("https://raw.githubusercontent.com/ltdimages/images/refs/heads/main/ClothHeadwearCoverFlower_06.png")</f>
        <v/>
      </c>
      <c r="J127" s="22" t="str">
        <f>IMAGE("https://raw.githubusercontent.com/ltdimages/images/refs/heads/main/ClothHeadwearCoverFlower_07.png")</f>
        <v/>
      </c>
      <c r="K127" s="63" t="s">
        <v>3244</v>
      </c>
      <c r="L127" s="23">
        <v>20.0</v>
      </c>
      <c r="M127" s="22" t="s">
        <v>3097</v>
      </c>
      <c r="N127" s="22" t="s">
        <v>3099</v>
      </c>
      <c r="O127" s="22" t="s">
        <v>45</v>
      </c>
      <c r="P127" s="22" t="s">
        <v>45</v>
      </c>
      <c r="Q127" s="22" t="s">
        <v>45</v>
      </c>
      <c r="R127" s="22" t="s">
        <v>49</v>
      </c>
      <c r="S127" s="22" t="s">
        <v>45</v>
      </c>
      <c r="T127" s="22" t="s">
        <v>5593</v>
      </c>
      <c r="U127" s="22" t="s">
        <v>45</v>
      </c>
      <c r="V127" s="22" t="s">
        <v>45</v>
      </c>
      <c r="W127" s="22" t="s">
        <v>5612</v>
      </c>
    </row>
    <row r="128" ht="45.0" customHeight="1">
      <c r="A128" s="55" t="s">
        <v>593</v>
      </c>
      <c r="B128" s="62" t="s">
        <v>3525</v>
      </c>
      <c r="C128" s="22" t="str">
        <f>IMAGE("https://raw.githubusercontent.com/ltdimages/images/refs/heads/main/ClothHeadwearProtectorAmericanfootball_00.png")</f>
        <v/>
      </c>
      <c r="D128" s="22" t="str">
        <f>IMAGE("https://raw.githubusercontent.com/ltdimages/images/refs/heads/main/ClothHeadwearProtectorAmericanfootball_01.png")</f>
        <v/>
      </c>
      <c r="E128" s="22" t="str">
        <f>IMAGE("https://raw.githubusercontent.com/ltdimages/images/refs/heads/main/ClothHeadwearProtectorAmericanfootball_02.png")</f>
        <v/>
      </c>
      <c r="F128" s="22" t="str">
        <f>IMAGE("https://raw.githubusercontent.com/ltdimages/images/refs/heads/main/ClothHeadwearProtectorAmericanfootball_03.png")</f>
        <v/>
      </c>
      <c r="G128" s="22" t="str">
        <f>IMAGE("https://raw.githubusercontent.com/ltdimages/images/refs/heads/main/ClothHeadwearProtectorAmericanfootball_04.png")</f>
        <v/>
      </c>
      <c r="H128" s="22" t="str">
        <f>IMAGE("https://raw.githubusercontent.com/ltdimages/images/refs/heads/main/ClothHeadwearProtectorAmericanfootball_05.png")</f>
        <v/>
      </c>
      <c r="I128" s="22" t="s">
        <v>3095</v>
      </c>
      <c r="J128" s="22" t="s">
        <v>3095</v>
      </c>
      <c r="K128" s="63" t="s">
        <v>3244</v>
      </c>
      <c r="L128" s="23">
        <v>25.0</v>
      </c>
      <c r="M128" s="22" t="s">
        <v>3097</v>
      </c>
      <c r="N128" s="22" t="s">
        <v>3099</v>
      </c>
      <c r="O128" s="22" t="s">
        <v>45</v>
      </c>
      <c r="P128" s="22" t="s">
        <v>45</v>
      </c>
      <c r="Q128" s="22" t="s">
        <v>45</v>
      </c>
      <c r="R128" s="22" t="s">
        <v>45</v>
      </c>
      <c r="S128" s="22" t="s">
        <v>45</v>
      </c>
      <c r="T128" s="22" t="s">
        <v>5589</v>
      </c>
      <c r="U128" s="22" t="s">
        <v>45</v>
      </c>
      <c r="V128" s="22" t="s">
        <v>45</v>
      </c>
      <c r="W128" s="22" t="s">
        <v>5613</v>
      </c>
    </row>
    <row r="129" ht="45.0" customHeight="1">
      <c r="A129" s="55" t="s">
        <v>597</v>
      </c>
      <c r="B129" s="62" t="s">
        <v>3537</v>
      </c>
      <c r="C129" s="22" t="str">
        <f>IMAGE("https://raw.githubusercontent.com/ltdimages/images/refs/heads/main/ClothHeadwearCostumeFrog_00.png")</f>
        <v/>
      </c>
      <c r="D129" s="22" t="s">
        <v>3095</v>
      </c>
      <c r="E129" s="22" t="s">
        <v>3095</v>
      </c>
      <c r="F129" s="22" t="s">
        <v>3095</v>
      </c>
      <c r="G129" s="22" t="s">
        <v>3095</v>
      </c>
      <c r="H129" s="22" t="s">
        <v>3095</v>
      </c>
      <c r="I129" s="22" t="s">
        <v>3095</v>
      </c>
      <c r="J129" s="22" t="s">
        <v>3095</v>
      </c>
      <c r="K129" s="63" t="s">
        <v>3244</v>
      </c>
      <c r="L129" s="23">
        <v>26.0</v>
      </c>
      <c r="M129" s="22" t="s">
        <v>3097</v>
      </c>
      <c r="N129" s="22" t="s">
        <v>3099</v>
      </c>
      <c r="O129" s="22" t="s">
        <v>45</v>
      </c>
      <c r="P129" s="22" t="s">
        <v>45</v>
      </c>
      <c r="Q129" s="22" t="s">
        <v>45</v>
      </c>
      <c r="R129" s="22" t="s">
        <v>49</v>
      </c>
      <c r="S129" s="22" t="s">
        <v>45</v>
      </c>
      <c r="T129" s="22" t="s">
        <v>5584</v>
      </c>
      <c r="U129" s="22" t="s">
        <v>45</v>
      </c>
      <c r="V129" s="22" t="s">
        <v>45</v>
      </c>
      <c r="W129" s="22" t="s">
        <v>5614</v>
      </c>
    </row>
    <row r="130" ht="45.0" customHeight="1">
      <c r="A130" s="55" t="s">
        <v>601</v>
      </c>
      <c r="B130" s="62" t="s">
        <v>5615</v>
      </c>
      <c r="C130" s="22" t="str">
        <f>IMAGE("https://raw.githubusercontent.com/ltdimages/images/refs/heads/main/ClothHeadwearCoverFruit_00.png")</f>
        <v/>
      </c>
      <c r="D130" s="22" t="s">
        <v>3095</v>
      </c>
      <c r="E130" s="22" t="s">
        <v>3095</v>
      </c>
      <c r="F130" s="22" t="s">
        <v>3095</v>
      </c>
      <c r="G130" s="22" t="s">
        <v>3095</v>
      </c>
      <c r="H130" s="22" t="s">
        <v>3095</v>
      </c>
      <c r="I130" s="22" t="s">
        <v>3095</v>
      </c>
      <c r="J130" s="22" t="s">
        <v>3095</v>
      </c>
      <c r="K130" s="63" t="s">
        <v>3244</v>
      </c>
      <c r="L130" s="23">
        <v>22.8</v>
      </c>
      <c r="M130" s="22" t="s">
        <v>3097</v>
      </c>
      <c r="N130" s="22" t="s">
        <v>3123</v>
      </c>
      <c r="O130" s="22" t="s">
        <v>45</v>
      </c>
      <c r="P130" s="22" t="s">
        <v>45</v>
      </c>
      <c r="Q130" s="22" t="s">
        <v>45</v>
      </c>
      <c r="R130" s="22" t="s">
        <v>49</v>
      </c>
      <c r="S130" s="22" t="s">
        <v>45</v>
      </c>
      <c r="T130" s="22" t="s">
        <v>5593</v>
      </c>
      <c r="U130" s="22" t="s">
        <v>45</v>
      </c>
      <c r="V130" s="22" t="s">
        <v>45</v>
      </c>
      <c r="W130" s="22" t="s">
        <v>5616</v>
      </c>
    </row>
    <row r="131" ht="45.0" customHeight="1">
      <c r="A131" s="55" t="s">
        <v>605</v>
      </c>
      <c r="B131" s="62" t="s">
        <v>3569</v>
      </c>
      <c r="C131" s="22" t="str">
        <f>IMAGE("https://raw.githubusercontent.com/ltdimages/images/refs/heads/main/ClothHeadwearFullmaskGladiator_00.png")</f>
        <v/>
      </c>
      <c r="D131" s="22" t="str">
        <f>IMAGE("https://raw.githubusercontent.com/ltdimages/images/refs/heads/main/ClothHeadwearFullmaskGladiator_01.png")</f>
        <v/>
      </c>
      <c r="E131" s="22" t="s">
        <v>3095</v>
      </c>
      <c r="F131" s="22" t="s">
        <v>3095</v>
      </c>
      <c r="G131" s="22" t="s">
        <v>3095</v>
      </c>
      <c r="H131" s="22" t="s">
        <v>3095</v>
      </c>
      <c r="I131" s="22" t="s">
        <v>3095</v>
      </c>
      <c r="J131" s="22" t="s">
        <v>3095</v>
      </c>
      <c r="K131" s="63" t="s">
        <v>3244</v>
      </c>
      <c r="L131" s="23">
        <v>38.0</v>
      </c>
      <c r="M131" s="22" t="s">
        <v>3097</v>
      </c>
      <c r="N131" s="22" t="s">
        <v>3099</v>
      </c>
      <c r="O131" s="22" t="s">
        <v>45</v>
      </c>
      <c r="P131" s="22" t="s">
        <v>45</v>
      </c>
      <c r="Q131" s="22" t="s">
        <v>45</v>
      </c>
      <c r="R131" s="22" t="s">
        <v>49</v>
      </c>
      <c r="S131" s="22" t="s">
        <v>45</v>
      </c>
      <c r="T131" s="22" t="s">
        <v>5617</v>
      </c>
      <c r="U131" s="22" t="s">
        <v>45</v>
      </c>
      <c r="V131" s="22" t="s">
        <v>45</v>
      </c>
      <c r="W131" s="22" t="s">
        <v>5618</v>
      </c>
    </row>
    <row r="132" ht="45.0" customHeight="1">
      <c r="A132" s="55" t="s">
        <v>609</v>
      </c>
      <c r="B132" s="62" t="s">
        <v>3255</v>
      </c>
      <c r="C132" s="22" t="str">
        <f>IMAGE("https://raw.githubusercontent.com/ltdimages/images/refs/heads/main/ClothHeadwearProtectorHalfHelmet_00.png")</f>
        <v/>
      </c>
      <c r="D132" s="22" t="str">
        <f>IMAGE("https://raw.githubusercontent.com/ltdimages/images/refs/heads/main/ClothHeadwearProtectorHalfHelmet_01.png")</f>
        <v/>
      </c>
      <c r="E132" s="22" t="str">
        <f>IMAGE("https://raw.githubusercontent.com/ltdimages/images/refs/heads/main/ClothHeadwearProtectorHalfHelmet_02.png")</f>
        <v/>
      </c>
      <c r="F132" s="22" t="str">
        <f>IMAGE("https://raw.githubusercontent.com/ltdimages/images/refs/heads/main/ClothHeadwearProtectorHalfHelmet_03.png")</f>
        <v/>
      </c>
      <c r="G132" s="22" t="str">
        <f>IMAGE("https://raw.githubusercontent.com/ltdimages/images/refs/heads/main/ClothHeadwearProtectorHalfHelmet_04.png")</f>
        <v/>
      </c>
      <c r="H132" s="22" t="str">
        <f>IMAGE("https://raw.githubusercontent.com/ltdimages/images/refs/heads/main/ClothHeadwearProtectorHalfHelmet_05.png")</f>
        <v/>
      </c>
      <c r="I132" s="22" t="str">
        <f>IMAGE("https://raw.githubusercontent.com/ltdimages/images/refs/heads/main/ClothHeadwearProtectorHalfHelmet_06.png")</f>
        <v/>
      </c>
      <c r="J132" s="22" t="str">
        <f>IMAGE("https://raw.githubusercontent.com/ltdimages/images/refs/heads/main/ClothHeadwearProtectorHalfHelmet_07.png")</f>
        <v/>
      </c>
      <c r="K132" s="63" t="s">
        <v>3244</v>
      </c>
      <c r="L132" s="23">
        <v>23.0</v>
      </c>
      <c r="M132" s="22" t="s">
        <v>3097</v>
      </c>
      <c r="N132" s="22" t="s">
        <v>3099</v>
      </c>
      <c r="O132" s="22" t="s">
        <v>45</v>
      </c>
      <c r="P132" s="22" t="s">
        <v>45</v>
      </c>
      <c r="Q132" s="22" t="s">
        <v>45</v>
      </c>
      <c r="R132" s="22" t="s">
        <v>45</v>
      </c>
      <c r="S132" s="22" t="s">
        <v>45</v>
      </c>
      <c r="T132" s="22" t="s">
        <v>5589</v>
      </c>
      <c r="U132" s="22" t="s">
        <v>45</v>
      </c>
      <c r="V132" s="22" t="s">
        <v>45</v>
      </c>
      <c r="W132" s="22" t="s">
        <v>5619</v>
      </c>
    </row>
    <row r="133" ht="45.0" customHeight="1">
      <c r="A133" s="55" t="s">
        <v>613</v>
      </c>
      <c r="B133" s="62" t="s">
        <v>3595</v>
      </c>
      <c r="C133" s="22" t="str">
        <f>IMAGE("https://raw.githubusercontent.com/ltdimages/images/refs/heads/main/ClothHeadwearCostumeHamster_00.png")</f>
        <v/>
      </c>
      <c r="D133" s="22" t="str">
        <f>IMAGE("https://raw.githubusercontent.com/ltdimages/images/refs/heads/main/ClothHeadwearCostumeHamster_01.png")</f>
        <v/>
      </c>
      <c r="E133" s="22" t="str">
        <f>IMAGE("https://raw.githubusercontent.com/ltdimages/images/refs/heads/main/ClothHeadwearCostumeHamster_02.png")</f>
        <v/>
      </c>
      <c r="F133" s="22" t="str">
        <f>IMAGE("https://raw.githubusercontent.com/ltdimages/images/refs/heads/main/ClothHeadwearCostumeHamster_03.png")</f>
        <v/>
      </c>
      <c r="G133" s="22" t="str">
        <f>IMAGE("https://raw.githubusercontent.com/ltdimages/images/refs/heads/main/ClothHeadwearCostumeHamster_04.png")</f>
        <v/>
      </c>
      <c r="H133" s="22" t="str">
        <f>IMAGE("https://raw.githubusercontent.com/ltdimages/images/refs/heads/main/ClothHeadwearCostumeHamster_05.png")</f>
        <v/>
      </c>
      <c r="I133" s="22" t="s">
        <v>3095</v>
      </c>
      <c r="J133" s="22" t="s">
        <v>3095</v>
      </c>
      <c r="K133" s="63" t="s">
        <v>3244</v>
      </c>
      <c r="L133" s="23">
        <v>26.0</v>
      </c>
      <c r="M133" s="22" t="s">
        <v>3097</v>
      </c>
      <c r="N133" s="22" t="s">
        <v>3099</v>
      </c>
      <c r="O133" s="22" t="s">
        <v>45</v>
      </c>
      <c r="P133" s="22" t="s">
        <v>45</v>
      </c>
      <c r="Q133" s="22" t="s">
        <v>45</v>
      </c>
      <c r="R133" s="22" t="s">
        <v>49</v>
      </c>
      <c r="S133" s="22" t="s">
        <v>45</v>
      </c>
      <c r="T133" s="22" t="s">
        <v>5584</v>
      </c>
      <c r="U133" s="22" t="s">
        <v>45</v>
      </c>
      <c r="V133" s="22" t="s">
        <v>45</v>
      </c>
      <c r="W133" s="22" t="s">
        <v>5620</v>
      </c>
    </row>
    <row r="134" ht="45.0" customHeight="1">
      <c r="A134" s="55" t="s">
        <v>617</v>
      </c>
      <c r="B134" s="62" t="s">
        <v>5621</v>
      </c>
      <c r="C134" s="22" t="str">
        <f>IMAGE("https://raw.githubusercontent.com/ltdimages/images/refs/heads/main/ClothHeadwearCostumeHeart_00.png")</f>
        <v/>
      </c>
      <c r="D134" s="22" t="str">
        <f>IMAGE("https://raw.githubusercontent.com/ltdimages/images/refs/heads/main/ClothHeadwearCostumeHeart_01.png")</f>
        <v/>
      </c>
      <c r="E134" s="22" t="str">
        <f>IMAGE("https://raw.githubusercontent.com/ltdimages/images/refs/heads/main/ClothHeadwearCostumeHeart_02.png")</f>
        <v/>
      </c>
      <c r="F134" s="22" t="str">
        <f>IMAGE("https://raw.githubusercontent.com/ltdimages/images/refs/heads/main/ClothHeadwearCostumeHeart_03.png")</f>
        <v/>
      </c>
      <c r="G134" s="22" t="str">
        <f>IMAGE("https://raw.githubusercontent.com/ltdimages/images/refs/heads/main/ClothHeadwearCostumeHeart_04.png")</f>
        <v/>
      </c>
      <c r="H134" s="22" t="str">
        <f>IMAGE("https://raw.githubusercontent.com/ltdimages/images/refs/heads/main/ClothHeadwearCostumeHeart_05.png")</f>
        <v/>
      </c>
      <c r="I134" s="22" t="str">
        <f>IMAGE("https://raw.githubusercontent.com/ltdimages/images/refs/heads/main/ClothHeadwearCostumeHeart_06.png")</f>
        <v/>
      </c>
      <c r="J134" s="22" t="str">
        <f>IMAGE("https://raw.githubusercontent.com/ltdimages/images/refs/heads/main/ClothHeadwearCostumeHeart_07.png")</f>
        <v/>
      </c>
      <c r="K134" s="63" t="s">
        <v>3244</v>
      </c>
      <c r="L134" s="23">
        <v>24.0</v>
      </c>
      <c r="M134" s="22" t="s">
        <v>3097</v>
      </c>
      <c r="N134" s="22" t="s">
        <v>3099</v>
      </c>
      <c r="O134" s="22" t="s">
        <v>45</v>
      </c>
      <c r="P134" s="22" t="s">
        <v>45</v>
      </c>
      <c r="Q134" s="22" t="s">
        <v>45</v>
      </c>
      <c r="R134" s="22" t="s">
        <v>49</v>
      </c>
      <c r="S134" s="22" t="s">
        <v>45</v>
      </c>
      <c r="T134" s="22" t="s">
        <v>5584</v>
      </c>
      <c r="U134" s="22" t="s">
        <v>45</v>
      </c>
      <c r="V134" s="22" t="s">
        <v>45</v>
      </c>
      <c r="W134" s="22" t="s">
        <v>5622</v>
      </c>
    </row>
    <row r="135" ht="45.0" customHeight="1">
      <c r="A135" s="55" t="s">
        <v>622</v>
      </c>
      <c r="B135" s="62" t="s">
        <v>3609</v>
      </c>
      <c r="C135" s="22" t="str">
        <f>IMAGE("https://raw.githubusercontent.com/ltdimages/images/refs/heads/main/ClothHeadwearFullmaskHero_00.png")</f>
        <v/>
      </c>
      <c r="D135" s="22" t="str">
        <f>IMAGE("https://raw.githubusercontent.com/ltdimages/images/refs/heads/main/ClothHeadwearFullmaskHero_01.png")</f>
        <v/>
      </c>
      <c r="E135" s="22" t="str">
        <f>IMAGE("https://raw.githubusercontent.com/ltdimages/images/refs/heads/main/ClothHeadwearFullmaskHero_02.png")</f>
        <v/>
      </c>
      <c r="F135" s="22" t="str">
        <f>IMAGE("https://raw.githubusercontent.com/ltdimages/images/refs/heads/main/ClothHeadwearFullmaskHero_03.png")</f>
        <v/>
      </c>
      <c r="G135" s="22" t="str">
        <f>IMAGE("https://raw.githubusercontent.com/ltdimages/images/refs/heads/main/ClothHeadwearFullmaskHero_04.png")</f>
        <v/>
      </c>
      <c r="H135" s="22" t="str">
        <f>IMAGE("https://raw.githubusercontent.com/ltdimages/images/refs/heads/main/ClothHeadwearFullmaskHero_05.png")</f>
        <v/>
      </c>
      <c r="I135" s="22" t="str">
        <f>IMAGE("https://raw.githubusercontent.com/ltdimages/images/refs/heads/main/ClothHeadwearFullmaskHero_06.png")</f>
        <v/>
      </c>
      <c r="J135" s="22" t="str">
        <f>IMAGE("https://raw.githubusercontent.com/ltdimages/images/refs/heads/main/ClothHeadwearFullmaskHero_07.png")</f>
        <v/>
      </c>
      <c r="K135" s="63" t="s">
        <v>3244</v>
      </c>
      <c r="L135" s="23">
        <v>30.0</v>
      </c>
      <c r="M135" s="22" t="s">
        <v>3097</v>
      </c>
      <c r="N135" s="22" t="s">
        <v>3099</v>
      </c>
      <c r="O135" s="22" t="s">
        <v>45</v>
      </c>
      <c r="P135" s="22" t="s">
        <v>45</v>
      </c>
      <c r="Q135" s="22" t="s">
        <v>45</v>
      </c>
      <c r="R135" s="22" t="s">
        <v>49</v>
      </c>
      <c r="S135" s="22" t="s">
        <v>45</v>
      </c>
      <c r="T135" s="22" t="s">
        <v>5617</v>
      </c>
      <c r="U135" s="22" t="s">
        <v>45</v>
      </c>
      <c r="V135" s="22" t="s">
        <v>45</v>
      </c>
      <c r="W135" s="22" t="s">
        <v>5623</v>
      </c>
    </row>
    <row r="136" ht="45.0" customHeight="1">
      <c r="A136" s="55" t="s">
        <v>626</v>
      </c>
      <c r="B136" s="62" t="s">
        <v>3637</v>
      </c>
      <c r="C136" s="22" t="str">
        <f>IMAGE("https://raw.githubusercontent.com/ltdimages/images/refs/heads/main/ClothHeadwearCostumeHorse_00.png")</f>
        <v/>
      </c>
      <c r="D136" s="22" t="str">
        <f>IMAGE("https://raw.githubusercontent.com/ltdimages/images/refs/heads/main/ClothHeadwearCostumeHorse_01.png")</f>
        <v/>
      </c>
      <c r="E136" s="22" t="str">
        <f>IMAGE("https://raw.githubusercontent.com/ltdimages/images/refs/heads/main/ClothHeadwearCostumeHorse_02.png")</f>
        <v/>
      </c>
      <c r="F136" s="22" t="str">
        <f>IMAGE("https://raw.githubusercontent.com/ltdimages/images/refs/heads/main/ClothHeadwearCostumeHorse_03.png")</f>
        <v/>
      </c>
      <c r="G136" s="22" t="str">
        <f>IMAGE("https://raw.githubusercontent.com/ltdimages/images/refs/heads/main/ClothHeadwearCostumeHorse_04.png")</f>
        <v/>
      </c>
      <c r="H136" s="22" t="str">
        <f>IMAGE("https://raw.githubusercontent.com/ltdimages/images/refs/heads/main/ClothHeadwearCostumeHorse_05.png")</f>
        <v/>
      </c>
      <c r="I136" s="22" t="s">
        <v>3095</v>
      </c>
      <c r="J136" s="22" t="s">
        <v>3095</v>
      </c>
      <c r="K136" s="63" t="s">
        <v>3244</v>
      </c>
      <c r="L136" s="23">
        <v>35.0</v>
      </c>
      <c r="M136" s="22" t="s">
        <v>3097</v>
      </c>
      <c r="N136" s="22" t="s">
        <v>3099</v>
      </c>
      <c r="O136" s="22" t="s">
        <v>45</v>
      </c>
      <c r="P136" s="22" t="s">
        <v>45</v>
      </c>
      <c r="Q136" s="22" t="s">
        <v>45</v>
      </c>
      <c r="R136" s="22" t="s">
        <v>49</v>
      </c>
      <c r="S136" s="22" t="s">
        <v>45</v>
      </c>
      <c r="T136" s="22" t="s">
        <v>5584</v>
      </c>
      <c r="U136" s="22" t="s">
        <v>45</v>
      </c>
      <c r="V136" s="22" t="s">
        <v>45</v>
      </c>
      <c r="W136" s="22" t="s">
        <v>5624</v>
      </c>
    </row>
    <row r="137" ht="45.0" customHeight="1">
      <c r="A137" s="55" t="s">
        <v>630</v>
      </c>
      <c r="B137" s="62" t="s">
        <v>3641</v>
      </c>
      <c r="C137" s="22" t="str">
        <f>IMAGE("https://raw.githubusercontent.com/ltdimages/images/refs/heads/main/ClothHeadwearCostumeHotdog_00.png")</f>
        <v/>
      </c>
      <c r="D137" s="22" t="s">
        <v>3095</v>
      </c>
      <c r="E137" s="22" t="s">
        <v>3095</v>
      </c>
      <c r="F137" s="22" t="s">
        <v>3095</v>
      </c>
      <c r="G137" s="22" t="s">
        <v>3095</v>
      </c>
      <c r="H137" s="22" t="s">
        <v>3095</v>
      </c>
      <c r="I137" s="22" t="s">
        <v>3095</v>
      </c>
      <c r="J137" s="22" t="s">
        <v>3095</v>
      </c>
      <c r="K137" s="63" t="s">
        <v>3244</v>
      </c>
      <c r="L137" s="23">
        <v>24.0</v>
      </c>
      <c r="M137" s="22" t="s">
        <v>3097</v>
      </c>
      <c r="N137" s="22" t="s">
        <v>3099</v>
      </c>
      <c r="O137" s="22" t="s">
        <v>45</v>
      </c>
      <c r="P137" s="22" t="s">
        <v>45</v>
      </c>
      <c r="Q137" s="22" t="s">
        <v>45</v>
      </c>
      <c r="R137" s="22" t="s">
        <v>49</v>
      </c>
      <c r="S137" s="22" t="s">
        <v>45</v>
      </c>
      <c r="T137" s="22" t="s">
        <v>5584</v>
      </c>
      <c r="U137" s="22" t="s">
        <v>45</v>
      </c>
      <c r="V137" s="22" t="s">
        <v>45</v>
      </c>
      <c r="W137" s="22" t="s">
        <v>5625</v>
      </c>
    </row>
    <row r="138" ht="45.0" customHeight="1">
      <c r="A138" s="55" t="s">
        <v>634</v>
      </c>
      <c r="B138" s="62" t="s">
        <v>3650</v>
      </c>
      <c r="C138" s="22" t="str">
        <f>IMAGE("https://raw.githubusercontent.com/ltdimages/images/refs/heads/main/ClothHeadwearProtectorIceHockey_00.png")</f>
        <v/>
      </c>
      <c r="D138" s="22" t="str">
        <f>IMAGE("https://raw.githubusercontent.com/ltdimages/images/refs/heads/main/ClothHeadwearProtectorIceHockey_01.png")</f>
        <v/>
      </c>
      <c r="E138" s="22" t="str">
        <f>IMAGE("https://raw.githubusercontent.com/ltdimages/images/refs/heads/main/ClothHeadwearProtectorIceHockey_02.png")</f>
        <v/>
      </c>
      <c r="F138" s="22" t="str">
        <f>IMAGE("https://raw.githubusercontent.com/ltdimages/images/refs/heads/main/ClothHeadwearProtectorIceHockey_03.png")</f>
        <v/>
      </c>
      <c r="G138" s="22" t="str">
        <f>IMAGE("https://raw.githubusercontent.com/ltdimages/images/refs/heads/main/ClothHeadwearProtectorIceHockey_04.png")</f>
        <v/>
      </c>
      <c r="H138" s="22" t="str">
        <f>IMAGE("https://raw.githubusercontent.com/ltdimages/images/refs/heads/main/ClothHeadwearProtectorIceHockey_05.png")</f>
        <v/>
      </c>
      <c r="I138" s="22" t="s">
        <v>3095</v>
      </c>
      <c r="J138" s="22" t="s">
        <v>3095</v>
      </c>
      <c r="K138" s="63" t="s">
        <v>3244</v>
      </c>
      <c r="L138" s="23">
        <v>25.0</v>
      </c>
      <c r="M138" s="22" t="s">
        <v>3097</v>
      </c>
      <c r="N138" s="22" t="s">
        <v>3099</v>
      </c>
      <c r="O138" s="22" t="s">
        <v>45</v>
      </c>
      <c r="P138" s="22" t="s">
        <v>45</v>
      </c>
      <c r="Q138" s="22" t="s">
        <v>45</v>
      </c>
      <c r="R138" s="22" t="s">
        <v>45</v>
      </c>
      <c r="S138" s="22" t="s">
        <v>45</v>
      </c>
      <c r="T138" s="22" t="s">
        <v>5589</v>
      </c>
      <c r="U138" s="22" t="s">
        <v>45</v>
      </c>
      <c r="V138" s="22" t="s">
        <v>45</v>
      </c>
      <c r="W138" s="22" t="s">
        <v>5626</v>
      </c>
    </row>
    <row r="139" ht="45.0" customHeight="1">
      <c r="A139" s="55" t="s">
        <v>638</v>
      </c>
      <c r="B139" s="62" t="s">
        <v>3655</v>
      </c>
      <c r="C139" s="22" t="str">
        <f>IMAGE("https://raw.githubusercontent.com/ltdimages/images/refs/heads/main/ClothHeadwearFullmaskPumpkin_00.png")</f>
        <v/>
      </c>
      <c r="D139" s="22" t="str">
        <f>IMAGE("https://raw.githubusercontent.com/ltdimages/images/refs/heads/main/ClothHeadwearFullmaskPumpkin_01.png")</f>
        <v/>
      </c>
      <c r="E139" s="22" t="str">
        <f>IMAGE("https://raw.githubusercontent.com/ltdimages/images/refs/heads/main/ClothHeadwearFullmaskPumpkin_02.png")</f>
        <v/>
      </c>
      <c r="F139" s="22" t="str">
        <f>IMAGE("https://raw.githubusercontent.com/ltdimages/images/refs/heads/main/ClothHeadwearFullmaskPumpkin_03.png")</f>
        <v/>
      </c>
      <c r="G139" s="22" t="s">
        <v>3095</v>
      </c>
      <c r="H139" s="22" t="s">
        <v>3095</v>
      </c>
      <c r="I139" s="22" t="s">
        <v>3095</v>
      </c>
      <c r="J139" s="22" t="s">
        <v>3095</v>
      </c>
      <c r="K139" s="63" t="s">
        <v>3244</v>
      </c>
      <c r="L139" s="23">
        <v>26.0</v>
      </c>
      <c r="M139" s="22" t="s">
        <v>3097</v>
      </c>
      <c r="N139" s="22" t="s">
        <v>3654</v>
      </c>
      <c r="O139" s="22" t="s">
        <v>45</v>
      </c>
      <c r="P139" s="22" t="s">
        <v>45</v>
      </c>
      <c r="Q139" s="22" t="s">
        <v>45</v>
      </c>
      <c r="R139" s="22" t="s">
        <v>49</v>
      </c>
      <c r="S139" s="22" t="s">
        <v>45</v>
      </c>
      <c r="T139" s="22" t="s">
        <v>5617</v>
      </c>
      <c r="U139" s="22" t="s">
        <v>45</v>
      </c>
      <c r="V139" s="22" t="s">
        <v>45</v>
      </c>
      <c r="W139" s="22" t="s">
        <v>5627</v>
      </c>
    </row>
    <row r="140" ht="45.0" customHeight="1">
      <c r="A140" s="55" t="s">
        <v>643</v>
      </c>
      <c r="B140" s="62" t="s">
        <v>5628</v>
      </c>
      <c r="C140" s="22" t="str">
        <f>IMAGE("https://raw.githubusercontent.com/ltdimages/images/refs/heads/main/ClothHeadwearProtectorShemagh_00.png")</f>
        <v/>
      </c>
      <c r="D140" s="22" t="s">
        <v>3095</v>
      </c>
      <c r="E140" s="22" t="s">
        <v>3095</v>
      </c>
      <c r="F140" s="22" t="s">
        <v>3095</v>
      </c>
      <c r="G140" s="22" t="s">
        <v>3095</v>
      </c>
      <c r="H140" s="22" t="s">
        <v>3095</v>
      </c>
      <c r="I140" s="22" t="s">
        <v>3095</v>
      </c>
      <c r="J140" s="22" t="s">
        <v>3095</v>
      </c>
      <c r="K140" s="63" t="s">
        <v>3244</v>
      </c>
      <c r="L140" s="23">
        <v>32.0</v>
      </c>
      <c r="M140" s="22" t="s">
        <v>3097</v>
      </c>
      <c r="N140" s="22" t="s">
        <v>3099</v>
      </c>
      <c r="O140" s="22" t="s">
        <v>45</v>
      </c>
      <c r="P140" s="22" t="s">
        <v>45</v>
      </c>
      <c r="Q140" s="22" t="s">
        <v>45</v>
      </c>
      <c r="R140" s="22" t="s">
        <v>45</v>
      </c>
      <c r="S140" s="22" t="s">
        <v>45</v>
      </c>
      <c r="T140" s="22" t="s">
        <v>5589</v>
      </c>
      <c r="U140" s="22" t="s">
        <v>45</v>
      </c>
      <c r="V140" s="22" t="s">
        <v>45</v>
      </c>
      <c r="W140" s="22" t="s">
        <v>5629</v>
      </c>
    </row>
    <row r="141" ht="45.0" customHeight="1">
      <c r="A141" s="55" t="s">
        <v>647</v>
      </c>
      <c r="B141" s="62" t="s">
        <v>3680</v>
      </c>
      <c r="C141" s="22" t="str">
        <f>IMAGE("https://raw.githubusercontent.com/ltdimages/images/refs/heads/main/ClothHeadwearFullmaskArmor_00.png")</f>
        <v/>
      </c>
      <c r="D141" s="22" t="str">
        <f>IMAGE("https://raw.githubusercontent.com/ltdimages/images/refs/heads/main/ClothHeadwearFullmaskArmor_01.png")</f>
        <v/>
      </c>
      <c r="E141" s="22" t="str">
        <f>IMAGE("https://raw.githubusercontent.com/ltdimages/images/refs/heads/main/ClothHeadwearFullmaskArmor_02.png")</f>
        <v/>
      </c>
      <c r="F141" s="22" t="str">
        <f>IMAGE("https://raw.githubusercontent.com/ltdimages/images/refs/heads/main/ClothHeadwearFullmaskArmor_03.png")</f>
        <v/>
      </c>
      <c r="G141" s="22" t="s">
        <v>3095</v>
      </c>
      <c r="H141" s="22" t="s">
        <v>3095</v>
      </c>
      <c r="I141" s="22" t="s">
        <v>3095</v>
      </c>
      <c r="J141" s="22" t="s">
        <v>3095</v>
      </c>
      <c r="K141" s="63" t="s">
        <v>3244</v>
      </c>
      <c r="L141" s="23">
        <v>420.0</v>
      </c>
      <c r="M141" s="22" t="s">
        <v>3097</v>
      </c>
      <c r="N141" s="22" t="s">
        <v>3099</v>
      </c>
      <c r="O141" s="22" t="s">
        <v>45</v>
      </c>
      <c r="P141" s="22" t="s">
        <v>45</v>
      </c>
      <c r="Q141" s="22" t="s">
        <v>45</v>
      </c>
      <c r="R141" s="22" t="s">
        <v>49</v>
      </c>
      <c r="S141" s="22" t="s">
        <v>45</v>
      </c>
      <c r="T141" s="22" t="s">
        <v>5617</v>
      </c>
      <c r="U141" s="22" t="s">
        <v>45</v>
      </c>
      <c r="V141" s="22" t="s">
        <v>45</v>
      </c>
      <c r="W141" s="22" t="s">
        <v>5630</v>
      </c>
    </row>
    <row r="142" ht="45.0" customHeight="1">
      <c r="A142" s="55" t="s">
        <v>652</v>
      </c>
      <c r="B142" s="62" t="s">
        <v>5631</v>
      </c>
      <c r="C142" s="22" t="str">
        <f>IMAGE("https://raw.githubusercontent.com/ltdimages/images/refs/heads/main/ClothHeadwearProtectorEarflaps_00.png")</f>
        <v/>
      </c>
      <c r="D142" s="22" t="str">
        <f>IMAGE("https://raw.githubusercontent.com/ltdimages/images/refs/heads/main/ClothHeadwearProtectorEarflaps_01.png")</f>
        <v/>
      </c>
      <c r="E142" s="22" t="str">
        <f>IMAGE("https://raw.githubusercontent.com/ltdimages/images/refs/heads/main/ClothHeadwearProtectorEarflaps_02.png")</f>
        <v/>
      </c>
      <c r="F142" s="22" t="str">
        <f>IMAGE("https://raw.githubusercontent.com/ltdimages/images/refs/heads/main/ClothHeadwearProtectorEarflaps_03.png")</f>
        <v/>
      </c>
      <c r="G142" s="22" t="str">
        <f>IMAGE("https://raw.githubusercontent.com/ltdimages/images/refs/heads/main/ClothHeadwearProtectorEarflaps_04.png")</f>
        <v/>
      </c>
      <c r="H142" s="22" t="str">
        <f>IMAGE("https://raw.githubusercontent.com/ltdimages/images/refs/heads/main/ClothHeadwearProtectorEarflaps_05.png")</f>
        <v/>
      </c>
      <c r="I142" s="22" t="str">
        <f>IMAGE("https://raw.githubusercontent.com/ltdimages/images/refs/heads/main/ClothHeadwearProtectorEarflaps_06.png")</f>
        <v/>
      </c>
      <c r="J142" s="22" t="str">
        <f>IMAGE("https://raw.githubusercontent.com/ltdimages/images/refs/heads/main/ClothHeadwearProtectorEarflaps_07.png")</f>
        <v/>
      </c>
      <c r="K142" s="63" t="s">
        <v>3244</v>
      </c>
      <c r="L142" s="23">
        <v>19.0</v>
      </c>
      <c r="M142" s="22" t="s">
        <v>3097</v>
      </c>
      <c r="N142" s="22" t="s">
        <v>3099</v>
      </c>
      <c r="O142" s="22" t="s">
        <v>45</v>
      </c>
      <c r="P142" s="22" t="s">
        <v>45</v>
      </c>
      <c r="Q142" s="22" t="s">
        <v>45</v>
      </c>
      <c r="R142" s="22" t="s">
        <v>45</v>
      </c>
      <c r="S142" s="22" t="s">
        <v>45</v>
      </c>
      <c r="T142" s="22" t="s">
        <v>5589</v>
      </c>
      <c r="U142" s="22" t="s">
        <v>45</v>
      </c>
      <c r="V142" s="22" t="s">
        <v>45</v>
      </c>
      <c r="W142" s="22" t="s">
        <v>5632</v>
      </c>
    </row>
    <row r="143" ht="45.0" customHeight="1">
      <c r="A143" s="55" t="s">
        <v>656</v>
      </c>
      <c r="B143" s="62" t="s">
        <v>3684</v>
      </c>
      <c r="C143" s="22" t="str">
        <f>IMAGE("https://raw.githubusercontent.com/ltdimages/images/refs/heads/main/ClothHeadwearCostumeKoala_00.png")</f>
        <v/>
      </c>
      <c r="D143" s="22" t="s">
        <v>3095</v>
      </c>
      <c r="E143" s="22" t="s">
        <v>3095</v>
      </c>
      <c r="F143" s="22" t="s">
        <v>3095</v>
      </c>
      <c r="G143" s="22" t="s">
        <v>3095</v>
      </c>
      <c r="H143" s="22" t="s">
        <v>3095</v>
      </c>
      <c r="I143" s="22" t="s">
        <v>3095</v>
      </c>
      <c r="J143" s="22" t="s">
        <v>3095</v>
      </c>
      <c r="K143" s="63" t="s">
        <v>3244</v>
      </c>
      <c r="L143" s="23">
        <v>35.0</v>
      </c>
      <c r="M143" s="22" t="s">
        <v>3097</v>
      </c>
      <c r="N143" s="22" t="s">
        <v>3099</v>
      </c>
      <c r="O143" s="22" t="s">
        <v>45</v>
      </c>
      <c r="P143" s="22" t="s">
        <v>45</v>
      </c>
      <c r="Q143" s="22" t="s">
        <v>45</v>
      </c>
      <c r="R143" s="22" t="s">
        <v>49</v>
      </c>
      <c r="S143" s="22" t="s">
        <v>45</v>
      </c>
      <c r="T143" s="22" t="s">
        <v>5584</v>
      </c>
      <c r="U143" s="22" t="s">
        <v>45</v>
      </c>
      <c r="V143" s="22" t="s">
        <v>45</v>
      </c>
      <c r="W143" s="22" t="s">
        <v>5633</v>
      </c>
    </row>
    <row r="144" ht="45.0" customHeight="1">
      <c r="A144" s="55" t="s">
        <v>662</v>
      </c>
      <c r="B144" s="62" t="s">
        <v>3918</v>
      </c>
      <c r="C144" s="22" t="str">
        <f>IMAGE("https://raw.githubusercontent.com/ltdimages/images/refs/heads/main/ClothHeadwearProtectorRugby_00.png")</f>
        <v/>
      </c>
      <c r="D144" s="22" t="str">
        <f>IMAGE("https://raw.githubusercontent.com/ltdimages/images/refs/heads/main/ClothHeadwearProtectorRugby_01.png")</f>
        <v/>
      </c>
      <c r="E144" s="22" t="str">
        <f>IMAGE("https://raw.githubusercontent.com/ltdimages/images/refs/heads/main/ClothHeadwearProtectorRugby_02.png")</f>
        <v/>
      </c>
      <c r="F144" s="22" t="str">
        <f>IMAGE("https://raw.githubusercontent.com/ltdimages/images/refs/heads/main/ClothHeadwearProtectorRugby_03.png")</f>
        <v/>
      </c>
      <c r="G144" s="22" t="str">
        <f>IMAGE("https://raw.githubusercontent.com/ltdimages/images/refs/heads/main/ClothHeadwearProtectorRugby_04.png")</f>
        <v/>
      </c>
      <c r="H144" s="22" t="str">
        <f>IMAGE("https://raw.githubusercontent.com/ltdimages/images/refs/heads/main/ClothHeadwearProtectorRugby_05.png")</f>
        <v/>
      </c>
      <c r="I144" s="22" t="str">
        <f>IMAGE("https://raw.githubusercontent.com/ltdimages/images/refs/heads/main/ClothHeadwearProtectorRugby_06.png")</f>
        <v/>
      </c>
      <c r="J144" s="22" t="str">
        <f>IMAGE("https://raw.githubusercontent.com/ltdimages/images/refs/heads/main/ClothHeadwearProtectorRugby_07.png")</f>
        <v/>
      </c>
      <c r="K144" s="63" t="s">
        <v>3244</v>
      </c>
      <c r="L144" s="23">
        <v>17.8</v>
      </c>
      <c r="M144" s="22" t="s">
        <v>3097</v>
      </c>
      <c r="N144" s="22" t="s">
        <v>3099</v>
      </c>
      <c r="O144" s="22" t="s">
        <v>45</v>
      </c>
      <c r="P144" s="22" t="s">
        <v>45</v>
      </c>
      <c r="Q144" s="22" t="s">
        <v>45</v>
      </c>
      <c r="R144" s="22" t="s">
        <v>45</v>
      </c>
      <c r="S144" s="22" t="s">
        <v>45</v>
      </c>
      <c r="T144" s="22" t="s">
        <v>5589</v>
      </c>
      <c r="U144" s="22" t="s">
        <v>45</v>
      </c>
      <c r="V144" s="22" t="s">
        <v>45</v>
      </c>
      <c r="W144" s="22" t="s">
        <v>5634</v>
      </c>
    </row>
    <row r="145" ht="45.0" customHeight="1">
      <c r="A145" s="55" t="s">
        <v>667</v>
      </c>
      <c r="B145" s="62" t="s">
        <v>3703</v>
      </c>
      <c r="C145" s="22" t="str">
        <f>IMAGE("https://raw.githubusercontent.com/ltdimages/images/refs/heads/main/ClothHeadwearCostumeLion_00.png")</f>
        <v/>
      </c>
      <c r="D145" s="22" t="str">
        <f>IMAGE("https://raw.githubusercontent.com/ltdimages/images/refs/heads/main/ClothHeadwearCostumeLion_01.png")</f>
        <v/>
      </c>
      <c r="E145" s="22" t="s">
        <v>3095</v>
      </c>
      <c r="F145" s="22" t="s">
        <v>3095</v>
      </c>
      <c r="G145" s="22" t="s">
        <v>3095</v>
      </c>
      <c r="H145" s="22" t="s">
        <v>3095</v>
      </c>
      <c r="I145" s="22" t="s">
        <v>3095</v>
      </c>
      <c r="J145" s="22" t="s">
        <v>3095</v>
      </c>
      <c r="K145" s="63" t="s">
        <v>3244</v>
      </c>
      <c r="L145" s="23">
        <v>35.0</v>
      </c>
      <c r="M145" s="22" t="s">
        <v>3097</v>
      </c>
      <c r="N145" s="22" t="s">
        <v>3099</v>
      </c>
      <c r="O145" s="22" t="s">
        <v>45</v>
      </c>
      <c r="P145" s="22" t="s">
        <v>45</v>
      </c>
      <c r="Q145" s="22" t="s">
        <v>45</v>
      </c>
      <c r="R145" s="22" t="s">
        <v>49</v>
      </c>
      <c r="S145" s="22" t="s">
        <v>45</v>
      </c>
      <c r="T145" s="22" t="s">
        <v>5584</v>
      </c>
      <c r="U145" s="22" t="s">
        <v>45</v>
      </c>
      <c r="V145" s="22" t="s">
        <v>45</v>
      </c>
      <c r="W145" s="22" t="s">
        <v>5635</v>
      </c>
    </row>
    <row r="146" ht="45.0" customHeight="1">
      <c r="A146" s="55" t="s">
        <v>671</v>
      </c>
      <c r="B146" s="62" t="s">
        <v>3718</v>
      </c>
      <c r="C146" s="22" t="str">
        <f>IMAGE("https://raw.githubusercontent.com/ltdimages/images/refs/heads/main/ClothHeadwearFullmaskLucha_00.png")</f>
        <v/>
      </c>
      <c r="D146" s="22" t="str">
        <f>IMAGE("https://raw.githubusercontent.com/ltdimages/images/refs/heads/main/ClothHeadwearFullmaskLucha_01.png")</f>
        <v/>
      </c>
      <c r="E146" s="22" t="str">
        <f>IMAGE("https://raw.githubusercontent.com/ltdimages/images/refs/heads/main/ClothHeadwearFullmaskLucha_02.png")</f>
        <v/>
      </c>
      <c r="F146" s="22" t="str">
        <f>IMAGE("https://raw.githubusercontent.com/ltdimages/images/refs/heads/main/ClothHeadwearFullmaskLucha_03.png")</f>
        <v/>
      </c>
      <c r="G146" s="22" t="str">
        <f>IMAGE("https://raw.githubusercontent.com/ltdimages/images/refs/heads/main/ClothHeadwearFullmaskLucha_04.png")</f>
        <v/>
      </c>
      <c r="H146" s="22" t="str">
        <f>IMAGE("https://raw.githubusercontent.com/ltdimages/images/refs/heads/main/ClothHeadwearFullmaskLucha_05.png")</f>
        <v/>
      </c>
      <c r="I146" s="22" t="str">
        <f>IMAGE("https://raw.githubusercontent.com/ltdimages/images/refs/heads/main/ClothHeadwearFullmaskLucha_06.png")</f>
        <v/>
      </c>
      <c r="J146" s="22" t="str">
        <f>IMAGE("https://raw.githubusercontent.com/ltdimages/images/refs/heads/main/ClothHeadwearFullmaskLucha_07.png")</f>
        <v/>
      </c>
      <c r="K146" s="63" t="s">
        <v>3244</v>
      </c>
      <c r="L146" s="23">
        <v>24.0</v>
      </c>
      <c r="M146" s="22" t="s">
        <v>3097</v>
      </c>
      <c r="N146" s="22" t="s">
        <v>3099</v>
      </c>
      <c r="O146" s="22" t="s">
        <v>45</v>
      </c>
      <c r="P146" s="22" t="s">
        <v>45</v>
      </c>
      <c r="Q146" s="22" t="s">
        <v>45</v>
      </c>
      <c r="R146" s="22" t="s">
        <v>49</v>
      </c>
      <c r="S146" s="22" t="s">
        <v>45</v>
      </c>
      <c r="T146" s="22" t="s">
        <v>5617</v>
      </c>
      <c r="U146" s="22" t="s">
        <v>45</v>
      </c>
      <c r="V146" s="22" t="s">
        <v>45</v>
      </c>
      <c r="W146" s="22" t="s">
        <v>5636</v>
      </c>
    </row>
    <row r="147" ht="45.0" customHeight="1">
      <c r="A147" s="55" t="s">
        <v>675</v>
      </c>
      <c r="B147" s="62" t="s">
        <v>3734</v>
      </c>
      <c r="C147" s="22" t="str">
        <f>IMAGE("https://raw.githubusercontent.com/ltdimages/images/refs/heads/main/ClothHeadwearCostumeMonkey_00.png")</f>
        <v/>
      </c>
      <c r="D147" s="22" t="str">
        <f>IMAGE("https://raw.githubusercontent.com/ltdimages/images/refs/heads/main/ClothHeadwearCostumeMonkey_01.png")</f>
        <v/>
      </c>
      <c r="E147" s="22" t="str">
        <f>IMAGE("https://raw.githubusercontent.com/ltdimages/images/refs/heads/main/ClothHeadwearCostumeMonkey_02.png")</f>
        <v/>
      </c>
      <c r="F147" s="22" t="str">
        <f>IMAGE("https://raw.githubusercontent.com/ltdimages/images/refs/heads/main/ClothHeadwearCostumeMonkey_03.png")</f>
        <v/>
      </c>
      <c r="G147" s="22" t="str">
        <f>IMAGE("https://raw.githubusercontent.com/ltdimages/images/refs/heads/main/ClothHeadwearCostumeMonkey_04.png")</f>
        <v/>
      </c>
      <c r="H147" s="22" t="str">
        <f>IMAGE("https://raw.githubusercontent.com/ltdimages/images/refs/heads/main/ClothHeadwearCostumeMonkey_05.png")</f>
        <v/>
      </c>
      <c r="I147" s="22" t="s">
        <v>3095</v>
      </c>
      <c r="J147" s="22" t="s">
        <v>3095</v>
      </c>
      <c r="K147" s="63" t="s">
        <v>3244</v>
      </c>
      <c r="L147" s="23">
        <v>20.0</v>
      </c>
      <c r="M147" s="22" t="s">
        <v>3097</v>
      </c>
      <c r="N147" s="22" t="s">
        <v>3099</v>
      </c>
      <c r="O147" s="22" t="s">
        <v>45</v>
      </c>
      <c r="P147" s="22" t="s">
        <v>45</v>
      </c>
      <c r="Q147" s="22" t="s">
        <v>45</v>
      </c>
      <c r="R147" s="22" t="s">
        <v>49</v>
      </c>
      <c r="S147" s="22" t="s">
        <v>45</v>
      </c>
      <c r="T147" s="22" t="s">
        <v>5584</v>
      </c>
      <c r="U147" s="22" t="s">
        <v>45</v>
      </c>
      <c r="V147" s="22" t="s">
        <v>45</v>
      </c>
      <c r="W147" s="22" t="s">
        <v>5637</v>
      </c>
    </row>
    <row r="148" ht="45.0" customHeight="1">
      <c r="A148" s="55" t="s">
        <v>679</v>
      </c>
      <c r="B148" s="62" t="s">
        <v>3738</v>
      </c>
      <c r="C148" s="22" t="str">
        <f>IMAGE("https://raw.githubusercontent.com/ltdimages/images/refs/heads/main/ClothHeadwearCostumeMonster_00.png")</f>
        <v/>
      </c>
      <c r="D148" s="22" t="str">
        <f>IMAGE("https://raw.githubusercontent.com/ltdimages/images/refs/heads/main/ClothHeadwearCostumeMonster_01.png")</f>
        <v/>
      </c>
      <c r="E148" s="22" t="str">
        <f>IMAGE("https://raw.githubusercontent.com/ltdimages/images/refs/heads/main/ClothHeadwearCostumeMonster_02.png")</f>
        <v/>
      </c>
      <c r="F148" s="22" t="str">
        <f>IMAGE("https://raw.githubusercontent.com/ltdimages/images/refs/heads/main/ClothHeadwearCostumeMonster_03.png")</f>
        <v/>
      </c>
      <c r="G148" s="22" t="str">
        <f>IMAGE("https://raw.githubusercontent.com/ltdimages/images/refs/heads/main/ClothHeadwearCostumeMonster_04.png")</f>
        <v/>
      </c>
      <c r="H148" s="22" t="str">
        <f>IMAGE("https://raw.githubusercontent.com/ltdimages/images/refs/heads/main/ClothHeadwearCostumeMonster_05.png")</f>
        <v/>
      </c>
      <c r="I148" s="22" t="str">
        <f>IMAGE("https://raw.githubusercontent.com/ltdimages/images/refs/heads/main/ClothHeadwearCostumeMonster_06.png")</f>
        <v/>
      </c>
      <c r="J148" s="22" t="str">
        <f>IMAGE("https://raw.githubusercontent.com/ltdimages/images/refs/heads/main/ClothHeadwearCostumeMonster_07.png")</f>
        <v/>
      </c>
      <c r="K148" s="63" t="s">
        <v>3244</v>
      </c>
      <c r="L148" s="23">
        <v>30.0</v>
      </c>
      <c r="M148" s="22" t="s">
        <v>3097</v>
      </c>
      <c r="N148" s="22" t="s">
        <v>3099</v>
      </c>
      <c r="O148" s="22" t="s">
        <v>45</v>
      </c>
      <c r="P148" s="22" t="s">
        <v>45</v>
      </c>
      <c r="Q148" s="22" t="s">
        <v>45</v>
      </c>
      <c r="R148" s="22" t="s">
        <v>49</v>
      </c>
      <c r="S148" s="22" t="s">
        <v>45</v>
      </c>
      <c r="T148" s="22" t="s">
        <v>5584</v>
      </c>
      <c r="U148" s="22" t="s">
        <v>45</v>
      </c>
      <c r="V148" s="22" t="s">
        <v>45</v>
      </c>
      <c r="W148" s="22" t="s">
        <v>5638</v>
      </c>
    </row>
    <row r="149" ht="45.0" customHeight="1">
      <c r="A149" s="55" t="s">
        <v>683</v>
      </c>
      <c r="B149" s="62" t="s">
        <v>3757</v>
      </c>
      <c r="C149" s="22" t="str">
        <f>IMAGE("https://raw.githubusercontent.com/ltdimages/images/refs/heads/main/ClothHeadwearCostumeNinja_00.png")</f>
        <v/>
      </c>
      <c r="D149" s="22" t="str">
        <f>IMAGE("https://raw.githubusercontent.com/ltdimages/images/refs/heads/main/ClothHeadwearCostumeNinja_01.png")</f>
        <v/>
      </c>
      <c r="E149" s="22" t="str">
        <f>IMAGE("https://raw.githubusercontent.com/ltdimages/images/refs/heads/main/ClothHeadwearCostumeNinja_02.png")</f>
        <v/>
      </c>
      <c r="F149" s="22" t="str">
        <f>IMAGE("https://raw.githubusercontent.com/ltdimages/images/refs/heads/main/ClothHeadwearCostumeNinja_03.png")</f>
        <v/>
      </c>
      <c r="G149" s="22" t="str">
        <f>IMAGE("https://raw.githubusercontent.com/ltdimages/images/refs/heads/main/ClothHeadwearCostumeNinja_04.png")</f>
        <v/>
      </c>
      <c r="H149" s="22" t="str">
        <f>IMAGE("https://raw.githubusercontent.com/ltdimages/images/refs/heads/main/ClothHeadwearCostumeNinja_05.png")</f>
        <v/>
      </c>
      <c r="I149" s="22" t="str">
        <f>IMAGE("https://raw.githubusercontent.com/ltdimages/images/refs/heads/main/ClothHeadwearCostumeNinja_06.png")</f>
        <v/>
      </c>
      <c r="J149" s="22" t="str">
        <f>IMAGE("https://raw.githubusercontent.com/ltdimages/images/refs/heads/main/ClothHeadwearCostumeNinja_07.png")</f>
        <v/>
      </c>
      <c r="K149" s="63" t="s">
        <v>3244</v>
      </c>
      <c r="L149" s="23">
        <v>21.0</v>
      </c>
      <c r="M149" s="22" t="s">
        <v>3097</v>
      </c>
      <c r="N149" s="22" t="s">
        <v>3099</v>
      </c>
      <c r="O149" s="22" t="s">
        <v>45</v>
      </c>
      <c r="P149" s="22" t="s">
        <v>45</v>
      </c>
      <c r="Q149" s="22" t="s">
        <v>45</v>
      </c>
      <c r="R149" s="22" t="s">
        <v>49</v>
      </c>
      <c r="S149" s="22" t="s">
        <v>45</v>
      </c>
      <c r="T149" s="22" t="s">
        <v>5584</v>
      </c>
      <c r="U149" s="22" t="s">
        <v>45</v>
      </c>
      <c r="V149" s="22" t="s">
        <v>45</v>
      </c>
      <c r="W149" s="22" t="s">
        <v>5639</v>
      </c>
    </row>
    <row r="150" ht="45.0" customHeight="1">
      <c r="A150" s="55" t="s">
        <v>687</v>
      </c>
      <c r="B150" s="62" t="s">
        <v>5640</v>
      </c>
      <c r="C150" s="22" t="str">
        <f>IMAGE("https://raw.githubusercontent.com/ltdimages/images/refs/heads/main/ClothHeadwearFullmaskPaperBag_00.png")</f>
        <v/>
      </c>
      <c r="D150" s="22" t="s">
        <v>3095</v>
      </c>
      <c r="E150" s="22" t="s">
        <v>3095</v>
      </c>
      <c r="F150" s="22" t="s">
        <v>3095</v>
      </c>
      <c r="G150" s="22" t="s">
        <v>3095</v>
      </c>
      <c r="H150" s="22" t="s">
        <v>3095</v>
      </c>
      <c r="I150" s="22" t="s">
        <v>3095</v>
      </c>
      <c r="J150" s="22" t="s">
        <v>3095</v>
      </c>
      <c r="K150" s="63" t="s">
        <v>3244</v>
      </c>
      <c r="L150" s="23">
        <v>2.0</v>
      </c>
      <c r="M150" s="22" t="s">
        <v>3097</v>
      </c>
      <c r="N150" s="22" t="s">
        <v>3099</v>
      </c>
      <c r="O150" s="22" t="s">
        <v>45</v>
      </c>
      <c r="P150" s="22" t="s">
        <v>45</v>
      </c>
      <c r="Q150" s="22" t="s">
        <v>45</v>
      </c>
      <c r="R150" s="22" t="s">
        <v>49</v>
      </c>
      <c r="S150" s="22" t="s">
        <v>45</v>
      </c>
      <c r="T150" s="22" t="s">
        <v>5617</v>
      </c>
      <c r="U150" s="22" t="s">
        <v>45</v>
      </c>
      <c r="V150" s="22" t="s">
        <v>45</v>
      </c>
      <c r="W150" s="22" t="s">
        <v>5641</v>
      </c>
    </row>
    <row r="151" ht="45.0" customHeight="1">
      <c r="A151" s="55" t="s">
        <v>691</v>
      </c>
      <c r="B151" s="62" t="s">
        <v>3802</v>
      </c>
      <c r="C151" s="22" t="str">
        <f>IMAGE("https://raw.githubusercontent.com/ltdimages/images/refs/heads/main/ClothHeadwearCostumePenguin_00.png")</f>
        <v/>
      </c>
      <c r="D151" s="22" t="str">
        <f>IMAGE("https://raw.githubusercontent.com/ltdimages/images/refs/heads/main/ClothHeadwearCostumePenguin_01.png")</f>
        <v/>
      </c>
      <c r="E151" s="22" t="str">
        <f>IMAGE("https://raw.githubusercontent.com/ltdimages/images/refs/heads/main/ClothHeadwearCostumePenguin_02.png")</f>
        <v/>
      </c>
      <c r="F151" s="22" t="str">
        <f>IMAGE("https://raw.githubusercontent.com/ltdimages/images/refs/heads/main/ClothHeadwearCostumePenguin_03.png")</f>
        <v/>
      </c>
      <c r="G151" s="22" t="s">
        <v>3095</v>
      </c>
      <c r="H151" s="22" t="s">
        <v>3095</v>
      </c>
      <c r="I151" s="22" t="s">
        <v>3095</v>
      </c>
      <c r="J151" s="22" t="s">
        <v>3095</v>
      </c>
      <c r="K151" s="63" t="s">
        <v>3244</v>
      </c>
      <c r="L151" s="23">
        <v>35.0</v>
      </c>
      <c r="M151" s="22" t="s">
        <v>3097</v>
      </c>
      <c r="N151" s="22" t="s">
        <v>3099</v>
      </c>
      <c r="O151" s="22" t="s">
        <v>45</v>
      </c>
      <c r="P151" s="22" t="s">
        <v>45</v>
      </c>
      <c r="Q151" s="22" t="s">
        <v>45</v>
      </c>
      <c r="R151" s="22" t="s">
        <v>49</v>
      </c>
      <c r="S151" s="22" t="s">
        <v>45</v>
      </c>
      <c r="T151" s="22" t="s">
        <v>5584</v>
      </c>
      <c r="U151" s="22" t="s">
        <v>45</v>
      </c>
      <c r="V151" s="22" t="s">
        <v>45</v>
      </c>
      <c r="W151" s="22" t="s">
        <v>5642</v>
      </c>
    </row>
    <row r="152" ht="45.0" customHeight="1">
      <c r="A152" s="55" t="s">
        <v>695</v>
      </c>
      <c r="B152" s="62" t="s">
        <v>3813</v>
      </c>
      <c r="C152" s="22" t="str">
        <f>IMAGE("https://raw.githubusercontent.com/ltdimages/images/refs/heads/main/ClothHeadwearCoverPharaoh_00.png")</f>
        <v/>
      </c>
      <c r="D152" s="22" t="s">
        <v>3095</v>
      </c>
      <c r="E152" s="22" t="s">
        <v>3095</v>
      </c>
      <c r="F152" s="22" t="s">
        <v>3095</v>
      </c>
      <c r="G152" s="22" t="s">
        <v>3095</v>
      </c>
      <c r="H152" s="22" t="s">
        <v>3095</v>
      </c>
      <c r="I152" s="22" t="s">
        <v>3095</v>
      </c>
      <c r="J152" s="22" t="s">
        <v>3095</v>
      </c>
      <c r="K152" s="63" t="s">
        <v>3244</v>
      </c>
      <c r="L152" s="23">
        <v>150.0</v>
      </c>
      <c r="M152" s="22" t="s">
        <v>3097</v>
      </c>
      <c r="N152" s="22" t="s">
        <v>3099</v>
      </c>
      <c r="O152" s="22" t="s">
        <v>45</v>
      </c>
      <c r="P152" s="22" t="s">
        <v>45</v>
      </c>
      <c r="Q152" s="22" t="s">
        <v>45</v>
      </c>
      <c r="R152" s="22" t="s">
        <v>49</v>
      </c>
      <c r="S152" s="22" t="s">
        <v>45</v>
      </c>
      <c r="T152" s="22" t="s">
        <v>5593</v>
      </c>
      <c r="U152" s="22" t="s">
        <v>45</v>
      </c>
      <c r="V152" s="22" t="s">
        <v>45</v>
      </c>
      <c r="W152" s="22" t="s">
        <v>5643</v>
      </c>
    </row>
    <row r="153" ht="45.0" customHeight="1">
      <c r="A153" s="55" t="s">
        <v>699</v>
      </c>
      <c r="B153" s="62" t="s">
        <v>3819</v>
      </c>
      <c r="C153" s="22" t="str">
        <f>IMAGE("https://raw.githubusercontent.com/ltdimages/images/refs/heads/main/ClothHeadwearCostumePig_00.png")</f>
        <v/>
      </c>
      <c r="D153" s="22" t="s">
        <v>3095</v>
      </c>
      <c r="E153" s="22" t="s">
        <v>3095</v>
      </c>
      <c r="F153" s="22" t="s">
        <v>3095</v>
      </c>
      <c r="G153" s="22" t="s">
        <v>3095</v>
      </c>
      <c r="H153" s="22" t="s">
        <v>3095</v>
      </c>
      <c r="I153" s="22" t="s">
        <v>3095</v>
      </c>
      <c r="J153" s="22" t="s">
        <v>3095</v>
      </c>
      <c r="K153" s="63" t="s">
        <v>3244</v>
      </c>
      <c r="L153" s="23">
        <v>35.0</v>
      </c>
      <c r="M153" s="22" t="s">
        <v>3097</v>
      </c>
      <c r="N153" s="22" t="s">
        <v>3099</v>
      </c>
      <c r="O153" s="22" t="s">
        <v>45</v>
      </c>
      <c r="P153" s="22" t="s">
        <v>45</v>
      </c>
      <c r="Q153" s="22" t="s">
        <v>45</v>
      </c>
      <c r="R153" s="22" t="s">
        <v>49</v>
      </c>
      <c r="S153" s="22" t="s">
        <v>45</v>
      </c>
      <c r="T153" s="22" t="s">
        <v>5584</v>
      </c>
      <c r="U153" s="22" t="s">
        <v>45</v>
      </c>
      <c r="V153" s="22" t="s">
        <v>45</v>
      </c>
      <c r="W153" s="22" t="s">
        <v>5644</v>
      </c>
    </row>
    <row r="154" ht="45.0" customHeight="1">
      <c r="A154" s="55" t="s">
        <v>703</v>
      </c>
      <c r="B154" s="62" t="s">
        <v>3868</v>
      </c>
      <c r="C154" s="22" t="str">
        <f>IMAGE("https://raw.githubusercontent.com/ltdimages/images/refs/heads/main/ClothHeadwearCostumeRabbit_00.png")</f>
        <v/>
      </c>
      <c r="D154" s="22" t="str">
        <f>IMAGE("https://raw.githubusercontent.com/ltdimages/images/refs/heads/main/ClothHeadwearCostumeRabbit_01.png")</f>
        <v/>
      </c>
      <c r="E154" s="22" t="str">
        <f>IMAGE("https://raw.githubusercontent.com/ltdimages/images/refs/heads/main/ClothHeadwearCostumeRabbit_02.png")</f>
        <v/>
      </c>
      <c r="F154" s="22" t="str">
        <f>IMAGE("https://raw.githubusercontent.com/ltdimages/images/refs/heads/main/ClothHeadwearCostumeRabbit_03.png")</f>
        <v/>
      </c>
      <c r="G154" s="22" t="str">
        <f>IMAGE("https://raw.githubusercontent.com/ltdimages/images/refs/heads/main/ClothHeadwearCostumeRabbit_04.png")</f>
        <v/>
      </c>
      <c r="H154" s="22" t="str">
        <f>IMAGE("https://raw.githubusercontent.com/ltdimages/images/refs/heads/main/ClothHeadwearCostumeRabbit_05.png")</f>
        <v/>
      </c>
      <c r="I154" s="22" t="s">
        <v>3095</v>
      </c>
      <c r="J154" s="22" t="s">
        <v>3095</v>
      </c>
      <c r="K154" s="63" t="s">
        <v>3244</v>
      </c>
      <c r="L154" s="23">
        <v>23.0</v>
      </c>
      <c r="M154" s="22" t="s">
        <v>3097</v>
      </c>
      <c r="N154" s="22" t="s">
        <v>3099</v>
      </c>
      <c r="O154" s="22" t="s">
        <v>45</v>
      </c>
      <c r="P154" s="22" t="s">
        <v>45</v>
      </c>
      <c r="Q154" s="22" t="s">
        <v>45</v>
      </c>
      <c r="R154" s="22" t="s">
        <v>49</v>
      </c>
      <c r="S154" s="22" t="s">
        <v>45</v>
      </c>
      <c r="T154" s="22" t="s">
        <v>5584</v>
      </c>
      <c r="U154" s="22" t="s">
        <v>45</v>
      </c>
      <c r="V154" s="22" t="s">
        <v>45</v>
      </c>
      <c r="W154" s="22" t="s">
        <v>5645</v>
      </c>
    </row>
    <row r="155" ht="45.0" customHeight="1">
      <c r="A155" s="55" t="s">
        <v>708</v>
      </c>
      <c r="B155" s="62" t="s">
        <v>3874</v>
      </c>
      <c r="C155" s="22" t="str">
        <f>IMAGE("https://raw.githubusercontent.com/ltdimages/images/refs/heads/main/ClothHeadwearFullfaceMotorcycle_00.png")</f>
        <v/>
      </c>
      <c r="D155" s="22" t="str">
        <f>IMAGE("https://raw.githubusercontent.com/ltdimages/images/refs/heads/main/ClothHeadwearFullfaceMotorcycle_01.png")</f>
        <v/>
      </c>
      <c r="E155" s="22" t="str">
        <f>IMAGE("https://raw.githubusercontent.com/ltdimages/images/refs/heads/main/ClothHeadwearFullfaceMotorcycle_02.png")</f>
        <v/>
      </c>
      <c r="F155" s="22" t="str">
        <f>IMAGE("https://raw.githubusercontent.com/ltdimages/images/refs/heads/main/ClothHeadwearFullfaceMotorcycle_03.png")</f>
        <v/>
      </c>
      <c r="G155" s="22" t="str">
        <f>IMAGE("https://raw.githubusercontent.com/ltdimages/images/refs/heads/main/ClothHeadwearFullfaceMotorcycle_04.png")</f>
        <v/>
      </c>
      <c r="H155" s="22" t="str">
        <f>IMAGE("https://raw.githubusercontent.com/ltdimages/images/refs/heads/main/ClothHeadwearFullfaceMotorcycle_05.png")</f>
        <v/>
      </c>
      <c r="I155" s="22" t="str">
        <f>IMAGE("https://raw.githubusercontent.com/ltdimages/images/refs/heads/main/ClothHeadwearFullfaceMotorcycle_06.png")</f>
        <v/>
      </c>
      <c r="J155" s="22" t="str">
        <f>IMAGE("https://raw.githubusercontent.com/ltdimages/images/refs/heads/main/ClothHeadwearFullfaceMotorcycle_07.png")</f>
        <v/>
      </c>
      <c r="K155" s="63" t="s">
        <v>3244</v>
      </c>
      <c r="L155" s="23">
        <v>30.0</v>
      </c>
      <c r="M155" s="22" t="s">
        <v>3097</v>
      </c>
      <c r="N155" s="22" t="s">
        <v>3099</v>
      </c>
      <c r="O155" s="22" t="s">
        <v>45</v>
      </c>
      <c r="P155" s="22" t="s">
        <v>45</v>
      </c>
      <c r="Q155" s="22" t="s">
        <v>45</v>
      </c>
      <c r="R155" s="22" t="s">
        <v>45</v>
      </c>
      <c r="S155" s="22" t="s">
        <v>45</v>
      </c>
      <c r="T155" s="22" t="s">
        <v>5582</v>
      </c>
      <c r="U155" s="22" t="s">
        <v>45</v>
      </c>
      <c r="V155" s="22" t="s">
        <v>45</v>
      </c>
      <c r="W155" s="22" t="s">
        <v>5646</v>
      </c>
    </row>
    <row r="156" ht="45.0" customHeight="1">
      <c r="A156" s="55" t="s">
        <v>712</v>
      </c>
      <c r="B156" s="62" t="s">
        <v>3890</v>
      </c>
      <c r="C156" s="22" t="str">
        <f>IMAGE("https://raw.githubusercontent.com/ltdimages/images/refs/heads/main/ClothHeadwearCostumeReindeer_00.png")</f>
        <v/>
      </c>
      <c r="D156" s="22" t="s">
        <v>3095</v>
      </c>
      <c r="E156" s="22" t="s">
        <v>3095</v>
      </c>
      <c r="F156" s="22" t="s">
        <v>3095</v>
      </c>
      <c r="G156" s="22" t="s">
        <v>3095</v>
      </c>
      <c r="H156" s="22" t="s">
        <v>3095</v>
      </c>
      <c r="I156" s="22" t="s">
        <v>3095</v>
      </c>
      <c r="J156" s="22" t="s">
        <v>3095</v>
      </c>
      <c r="K156" s="63" t="s">
        <v>3244</v>
      </c>
      <c r="L156" s="23">
        <v>25.0</v>
      </c>
      <c r="M156" s="22" t="s">
        <v>3097</v>
      </c>
      <c r="N156" s="22" t="s">
        <v>3099</v>
      </c>
      <c r="O156" s="22" t="s">
        <v>45</v>
      </c>
      <c r="P156" s="22" t="s">
        <v>45</v>
      </c>
      <c r="Q156" s="22" t="s">
        <v>45</v>
      </c>
      <c r="R156" s="22" t="s">
        <v>49</v>
      </c>
      <c r="S156" s="22" t="s">
        <v>45</v>
      </c>
      <c r="T156" s="22" t="s">
        <v>5584</v>
      </c>
      <c r="U156" s="22" t="s">
        <v>45</v>
      </c>
      <c r="V156" s="22" t="s">
        <v>45</v>
      </c>
      <c r="W156" s="22" t="s">
        <v>5647</v>
      </c>
    </row>
    <row r="157" ht="45.0" customHeight="1">
      <c r="A157" s="55" t="s">
        <v>716</v>
      </c>
      <c r="B157" s="62" t="s">
        <v>3936</v>
      </c>
      <c r="C157" s="22" t="str">
        <f>IMAGE("https://raw.githubusercontent.com/ltdimages/images/refs/heads/main/ClothHeadwearProtectorSamuraiHelmet_00.png")</f>
        <v/>
      </c>
      <c r="D157" s="22" t="str">
        <f>IMAGE("https://raw.githubusercontent.com/ltdimages/images/refs/heads/main/ClothHeadwearProtectorSamuraiHelmet_01.png")</f>
        <v/>
      </c>
      <c r="E157" s="22" t="str">
        <f>IMAGE("https://raw.githubusercontent.com/ltdimages/images/refs/heads/main/ClothHeadwearProtectorSamuraiHelmet_02.png")</f>
        <v/>
      </c>
      <c r="F157" s="22" t="str">
        <f>IMAGE("https://raw.githubusercontent.com/ltdimages/images/refs/heads/main/ClothHeadwearProtectorSamuraiHelmet_03.png")</f>
        <v/>
      </c>
      <c r="G157" s="22" t="str">
        <f>IMAGE("https://raw.githubusercontent.com/ltdimages/images/refs/heads/main/ClothHeadwearProtectorSamuraiHelmet_04.png")</f>
        <v/>
      </c>
      <c r="H157" s="22" t="str">
        <f>IMAGE("https://raw.githubusercontent.com/ltdimages/images/refs/heads/main/ClothHeadwearProtectorSamuraiHelmet_05.png")</f>
        <v/>
      </c>
      <c r="I157" s="22" t="s">
        <v>3095</v>
      </c>
      <c r="J157" s="22" t="s">
        <v>3095</v>
      </c>
      <c r="K157" s="63" t="s">
        <v>3244</v>
      </c>
      <c r="L157" s="23">
        <v>150.0</v>
      </c>
      <c r="M157" s="22" t="s">
        <v>3097</v>
      </c>
      <c r="N157" s="22" t="s">
        <v>3099</v>
      </c>
      <c r="O157" s="22" t="s">
        <v>45</v>
      </c>
      <c r="P157" s="22" t="s">
        <v>45</v>
      </c>
      <c r="Q157" s="22" t="s">
        <v>45</v>
      </c>
      <c r="R157" s="22" t="s">
        <v>49</v>
      </c>
      <c r="S157" s="22" t="s">
        <v>45</v>
      </c>
      <c r="T157" s="22" t="s">
        <v>5589</v>
      </c>
      <c r="U157" s="22" t="s">
        <v>45</v>
      </c>
      <c r="V157" s="22" t="s">
        <v>45</v>
      </c>
      <c r="W157" s="22" t="s">
        <v>5648</v>
      </c>
    </row>
    <row r="158" ht="45.0" customHeight="1">
      <c r="A158" s="55" t="s">
        <v>720</v>
      </c>
      <c r="B158" s="62" t="s">
        <v>3964</v>
      </c>
      <c r="C158" s="22" t="str">
        <f>IMAGE("https://raw.githubusercontent.com/ltdimages/images/refs/heads/main/ClothHeadwearCostumeSheep_00.png")</f>
        <v/>
      </c>
      <c r="D158" s="22" t="str">
        <f>IMAGE("https://raw.githubusercontent.com/ltdimages/images/refs/heads/main/ClothHeadwearCostumeSheep_01.png")</f>
        <v/>
      </c>
      <c r="E158" s="22" t="str">
        <f>IMAGE("https://raw.githubusercontent.com/ltdimages/images/refs/heads/main/ClothHeadwearCostumeSheep_02.png")</f>
        <v/>
      </c>
      <c r="F158" s="22" t="str">
        <f>IMAGE("https://raw.githubusercontent.com/ltdimages/images/refs/heads/main/ClothHeadwearCostumeSheep_03.png")</f>
        <v/>
      </c>
      <c r="G158" s="22" t="s">
        <v>3095</v>
      </c>
      <c r="H158" s="22" t="s">
        <v>3095</v>
      </c>
      <c r="I158" s="22" t="s">
        <v>3095</v>
      </c>
      <c r="J158" s="22" t="s">
        <v>3095</v>
      </c>
      <c r="K158" s="63" t="s">
        <v>3244</v>
      </c>
      <c r="L158" s="23">
        <v>25.0</v>
      </c>
      <c r="M158" s="22" t="s">
        <v>3097</v>
      </c>
      <c r="N158" s="22" t="s">
        <v>3099</v>
      </c>
      <c r="O158" s="22" t="s">
        <v>45</v>
      </c>
      <c r="P158" s="22" t="s">
        <v>45</v>
      </c>
      <c r="Q158" s="22" t="s">
        <v>45</v>
      </c>
      <c r="R158" s="22" t="s">
        <v>49</v>
      </c>
      <c r="S158" s="22" t="s">
        <v>45</v>
      </c>
      <c r="T158" s="22" t="s">
        <v>5584</v>
      </c>
      <c r="U158" s="22" t="s">
        <v>45</v>
      </c>
      <c r="V158" s="22" t="s">
        <v>45</v>
      </c>
      <c r="W158" s="22" t="s">
        <v>5649</v>
      </c>
    </row>
    <row r="159" ht="45.0" customHeight="1">
      <c r="A159" s="55" t="s">
        <v>724</v>
      </c>
      <c r="B159" s="62" t="s">
        <v>4593</v>
      </c>
      <c r="C159" s="22" t="str">
        <f>IMAGE("https://raw.githubusercontent.com/ltdimages/images/refs/heads/main/ClothHeadwearCoverNightCap_00.png")</f>
        <v/>
      </c>
      <c r="D159" s="22" t="str">
        <f>IMAGE("https://raw.githubusercontent.com/ltdimages/images/refs/heads/main/ClothHeadwearCoverNightCap_01.png")</f>
        <v/>
      </c>
      <c r="E159" s="22" t="str">
        <f>IMAGE("https://raw.githubusercontent.com/ltdimages/images/refs/heads/main/ClothHeadwearCoverNightCap_02.png")</f>
        <v/>
      </c>
      <c r="F159" s="22" t="str">
        <f>IMAGE("https://raw.githubusercontent.com/ltdimages/images/refs/heads/main/ClothHeadwearCoverNightCap_03.png")</f>
        <v/>
      </c>
      <c r="G159" s="22" t="str">
        <f>IMAGE("https://raw.githubusercontent.com/ltdimages/images/refs/heads/main/ClothHeadwearCoverNightCap_04.png")</f>
        <v/>
      </c>
      <c r="H159" s="22" t="str">
        <f>IMAGE("https://raw.githubusercontent.com/ltdimages/images/refs/heads/main/ClothHeadwearCoverNightCap_05.png")</f>
        <v/>
      </c>
      <c r="I159" s="22" t="str">
        <f>IMAGE("https://raw.githubusercontent.com/ltdimages/images/refs/heads/main/ClothHeadwearCoverNightCap_06.png")</f>
        <v/>
      </c>
      <c r="J159" s="22" t="str">
        <f>IMAGE("https://raw.githubusercontent.com/ltdimages/images/refs/heads/main/ClothHeadwearCoverNightCap_07.png")</f>
        <v/>
      </c>
      <c r="K159" s="63" t="s">
        <v>3244</v>
      </c>
      <c r="L159" s="23">
        <v>16.0</v>
      </c>
      <c r="M159" s="22" t="s">
        <v>3097</v>
      </c>
      <c r="N159" s="22" t="s">
        <v>3099</v>
      </c>
      <c r="O159" s="22" t="s">
        <v>45</v>
      </c>
      <c r="P159" s="22" t="s">
        <v>45</v>
      </c>
      <c r="Q159" s="22" t="s">
        <v>45</v>
      </c>
      <c r="R159" s="22" t="s">
        <v>45</v>
      </c>
      <c r="S159" s="22" t="s">
        <v>45</v>
      </c>
      <c r="T159" s="22" t="s">
        <v>5593</v>
      </c>
      <c r="U159" s="22" t="s">
        <v>45</v>
      </c>
      <c r="V159" s="22" t="s">
        <v>45</v>
      </c>
      <c r="W159" s="22" t="s">
        <v>5650</v>
      </c>
    </row>
    <row r="160" ht="45.0" customHeight="1">
      <c r="A160" s="55" t="s">
        <v>728</v>
      </c>
      <c r="B160" s="62" t="s">
        <v>3978</v>
      </c>
      <c r="C160" s="22" t="str">
        <f>IMAGE("https://raw.githubusercontent.com/ltdimages/images/refs/heads/main/ClothHeadwearFullmaskSkull_00.png")</f>
        <v/>
      </c>
      <c r="D160" s="22" t="str">
        <f>IMAGE("https://raw.githubusercontent.com/ltdimages/images/refs/heads/main/ClothHeadwearFullmaskSkull_01.png")</f>
        <v/>
      </c>
      <c r="E160" s="22" t="str">
        <f>IMAGE("https://raw.githubusercontent.com/ltdimages/images/refs/heads/main/ClothHeadwearFullmaskSkull_02.png")</f>
        <v/>
      </c>
      <c r="F160" s="22" t="str">
        <f>IMAGE("https://raw.githubusercontent.com/ltdimages/images/refs/heads/main/ClothHeadwearFullmaskSkull_03.png")</f>
        <v/>
      </c>
      <c r="G160" s="22" t="s">
        <v>3095</v>
      </c>
      <c r="H160" s="22" t="s">
        <v>3095</v>
      </c>
      <c r="I160" s="22" t="s">
        <v>3095</v>
      </c>
      <c r="J160" s="22" t="s">
        <v>3095</v>
      </c>
      <c r="K160" s="63" t="s">
        <v>3244</v>
      </c>
      <c r="L160" s="23">
        <v>20.0</v>
      </c>
      <c r="M160" s="22" t="s">
        <v>3097</v>
      </c>
      <c r="N160" s="22" t="s">
        <v>3099</v>
      </c>
      <c r="O160" s="22" t="s">
        <v>45</v>
      </c>
      <c r="P160" s="22" t="s">
        <v>45</v>
      </c>
      <c r="Q160" s="22" t="s">
        <v>45</v>
      </c>
      <c r="R160" s="22" t="s">
        <v>49</v>
      </c>
      <c r="S160" s="22" t="s">
        <v>45</v>
      </c>
      <c r="T160" s="22" t="s">
        <v>5617</v>
      </c>
      <c r="U160" s="22" t="s">
        <v>45</v>
      </c>
      <c r="V160" s="22" t="s">
        <v>45</v>
      </c>
      <c r="W160" s="22" t="s">
        <v>5651</v>
      </c>
    </row>
    <row r="161" ht="45.0" customHeight="1">
      <c r="A161" s="55" t="s">
        <v>732</v>
      </c>
      <c r="B161" s="62" t="s">
        <v>4057</v>
      </c>
      <c r="C161" s="22" t="str">
        <f>IMAGE("https://raw.githubusercontent.com/ltdimages/images/refs/heads/main/ClothHeadwearCoverBeanie_00.png")</f>
        <v/>
      </c>
      <c r="D161" s="22" t="str">
        <f>IMAGE("https://raw.githubusercontent.com/ltdimages/images/refs/heads/main/ClothHeadwearCoverBeanie_01.png")</f>
        <v/>
      </c>
      <c r="E161" s="22" t="str">
        <f>IMAGE("https://raw.githubusercontent.com/ltdimages/images/refs/heads/main/ClothHeadwearCoverBeanie_02.png")</f>
        <v/>
      </c>
      <c r="F161" s="22" t="str">
        <f>IMAGE("https://raw.githubusercontent.com/ltdimages/images/refs/heads/main/ClothHeadwearCoverBeanie_03.png")</f>
        <v/>
      </c>
      <c r="G161" s="22" t="str">
        <f>IMAGE("https://raw.githubusercontent.com/ltdimages/images/refs/heads/main/ClothHeadwearCoverBeanie_04.png")</f>
        <v/>
      </c>
      <c r="H161" s="22" t="str">
        <f>IMAGE("https://raw.githubusercontent.com/ltdimages/images/refs/heads/main/ClothHeadwearCoverBeanie_05.png")</f>
        <v/>
      </c>
      <c r="I161" s="22" t="str">
        <f>IMAGE("https://raw.githubusercontent.com/ltdimages/images/refs/heads/main/ClothHeadwearCoverBeanie_06.png")</f>
        <v/>
      </c>
      <c r="J161" s="22" t="str">
        <f>IMAGE("https://raw.githubusercontent.com/ltdimages/images/refs/heads/main/ClothHeadwearCoverBeanie_07.png")</f>
        <v/>
      </c>
      <c r="K161" s="63" t="s">
        <v>3244</v>
      </c>
      <c r="L161" s="23">
        <v>17.0</v>
      </c>
      <c r="M161" s="22" t="s">
        <v>3097</v>
      </c>
      <c r="N161" s="22" t="s">
        <v>3099</v>
      </c>
      <c r="O161" s="22" t="s">
        <v>45</v>
      </c>
      <c r="P161" s="22" t="s">
        <v>45</v>
      </c>
      <c r="Q161" s="22" t="s">
        <v>45</v>
      </c>
      <c r="R161" s="22" t="s">
        <v>45</v>
      </c>
      <c r="S161" s="22" t="s">
        <v>45</v>
      </c>
      <c r="T161" s="22" t="s">
        <v>5593</v>
      </c>
      <c r="U161" s="22" t="s">
        <v>45</v>
      </c>
      <c r="V161" s="22" t="s">
        <v>45</v>
      </c>
      <c r="W161" s="22" t="s">
        <v>5652</v>
      </c>
    </row>
    <row r="162" ht="45.0" customHeight="1">
      <c r="A162" s="55" t="s">
        <v>736</v>
      </c>
      <c r="B162" s="62" t="s">
        <v>4015</v>
      </c>
      <c r="C162" s="22" t="str">
        <f>IMAGE("https://raw.githubusercontent.com/ltdimages/images/refs/heads/main/ClothHeadwearCostumeSnowman_00.png")</f>
        <v/>
      </c>
      <c r="D162" s="22" t="s">
        <v>3095</v>
      </c>
      <c r="E162" s="22" t="s">
        <v>3095</v>
      </c>
      <c r="F162" s="22" t="s">
        <v>3095</v>
      </c>
      <c r="G162" s="22" t="s">
        <v>3095</v>
      </c>
      <c r="H162" s="22" t="s">
        <v>3095</v>
      </c>
      <c r="I162" s="22" t="s">
        <v>3095</v>
      </c>
      <c r="J162" s="22" t="s">
        <v>3095</v>
      </c>
      <c r="K162" s="63" t="s">
        <v>3244</v>
      </c>
      <c r="L162" s="23">
        <v>20.0</v>
      </c>
      <c r="M162" s="22" t="s">
        <v>3097</v>
      </c>
      <c r="N162" s="22" t="s">
        <v>3114</v>
      </c>
      <c r="O162" s="22" t="s">
        <v>45</v>
      </c>
      <c r="P162" s="22" t="s">
        <v>45</v>
      </c>
      <c r="Q162" s="22" t="s">
        <v>45</v>
      </c>
      <c r="R162" s="22" t="s">
        <v>49</v>
      </c>
      <c r="S162" s="22" t="s">
        <v>45</v>
      </c>
      <c r="T162" s="22" t="s">
        <v>5584</v>
      </c>
      <c r="U162" s="22" t="s">
        <v>45</v>
      </c>
      <c r="V162" s="22" t="s">
        <v>45</v>
      </c>
      <c r="W162" s="22" t="s">
        <v>5653</v>
      </c>
    </row>
    <row r="163" ht="45.0" customHeight="1">
      <c r="A163" s="55" t="s">
        <v>740</v>
      </c>
      <c r="B163" s="62" t="s">
        <v>4036</v>
      </c>
      <c r="C163" s="22" t="str">
        <f>IMAGE("https://raw.githubusercontent.com/ltdimages/images/refs/heads/main/ClothHeadwearCostumeStagBeetle_00.png")</f>
        <v/>
      </c>
      <c r="D163" s="22" t="s">
        <v>3095</v>
      </c>
      <c r="E163" s="22" t="s">
        <v>3095</v>
      </c>
      <c r="F163" s="22" t="s">
        <v>3095</v>
      </c>
      <c r="G163" s="22" t="s">
        <v>3095</v>
      </c>
      <c r="H163" s="22" t="s">
        <v>3095</v>
      </c>
      <c r="I163" s="22" t="s">
        <v>3095</v>
      </c>
      <c r="J163" s="22" t="s">
        <v>3095</v>
      </c>
      <c r="K163" s="63" t="s">
        <v>3244</v>
      </c>
      <c r="L163" s="23">
        <v>35.0</v>
      </c>
      <c r="M163" s="22" t="s">
        <v>3097</v>
      </c>
      <c r="N163" s="22" t="s">
        <v>3099</v>
      </c>
      <c r="O163" s="22" t="s">
        <v>45</v>
      </c>
      <c r="P163" s="22" t="s">
        <v>45</v>
      </c>
      <c r="Q163" s="22" t="s">
        <v>45</v>
      </c>
      <c r="R163" s="22" t="s">
        <v>49</v>
      </c>
      <c r="S163" s="22" t="s">
        <v>45</v>
      </c>
      <c r="T163" s="22" t="s">
        <v>5584</v>
      </c>
      <c r="U163" s="22" t="s">
        <v>45</v>
      </c>
      <c r="V163" s="22" t="s">
        <v>45</v>
      </c>
      <c r="W163" s="22" t="s">
        <v>5654</v>
      </c>
    </row>
    <row r="164" ht="45.0" customHeight="1">
      <c r="A164" s="55" t="s">
        <v>744</v>
      </c>
      <c r="B164" s="62" t="s">
        <v>3634</v>
      </c>
      <c r="C164" s="22" t="str">
        <f>IMAGE("https://raw.githubusercontent.com/ltdimages/images/refs/heads/main/ClothHeadwearCostumeStar_00.png")</f>
        <v/>
      </c>
      <c r="D164" s="22" t="s">
        <v>3095</v>
      </c>
      <c r="E164" s="22" t="s">
        <v>3095</v>
      </c>
      <c r="F164" s="22" t="s">
        <v>3095</v>
      </c>
      <c r="G164" s="22" t="s">
        <v>3095</v>
      </c>
      <c r="H164" s="22" t="s">
        <v>3095</v>
      </c>
      <c r="I164" s="22" t="s">
        <v>3095</v>
      </c>
      <c r="J164" s="22" t="s">
        <v>3095</v>
      </c>
      <c r="K164" s="63" t="s">
        <v>3244</v>
      </c>
      <c r="L164" s="23">
        <v>21.0</v>
      </c>
      <c r="M164" s="22" t="s">
        <v>3097</v>
      </c>
      <c r="N164" s="22" t="s">
        <v>3099</v>
      </c>
      <c r="O164" s="22" t="s">
        <v>45</v>
      </c>
      <c r="P164" s="22" t="s">
        <v>45</v>
      </c>
      <c r="Q164" s="22" t="s">
        <v>45</v>
      </c>
      <c r="R164" s="22" t="s">
        <v>49</v>
      </c>
      <c r="S164" s="22" t="s">
        <v>45</v>
      </c>
      <c r="T164" s="22" t="s">
        <v>5584</v>
      </c>
      <c r="U164" s="22" t="s">
        <v>45</v>
      </c>
      <c r="V164" s="22" t="s">
        <v>45</v>
      </c>
      <c r="W164" s="22" t="s">
        <v>5655</v>
      </c>
    </row>
    <row r="165" ht="45.0" customHeight="1">
      <c r="A165" s="55" t="s">
        <v>748</v>
      </c>
      <c r="B165" s="62" t="s">
        <v>3895</v>
      </c>
      <c r="C165" s="22" t="str">
        <f>IMAGE("https://raw.githubusercontent.com/ltdimages/images/refs/heads/main/ClothHeadwearCoverSwim_00.png")</f>
        <v/>
      </c>
      <c r="D165" s="22" t="str">
        <f>IMAGE("https://raw.githubusercontent.com/ltdimages/images/refs/heads/main/ClothHeadwearCoverSwim_01.png")</f>
        <v/>
      </c>
      <c r="E165" s="22" t="str">
        <f>IMAGE("https://raw.githubusercontent.com/ltdimages/images/refs/heads/main/ClothHeadwearCoverSwim_02.png")</f>
        <v/>
      </c>
      <c r="F165" s="22" t="str">
        <f>IMAGE("https://raw.githubusercontent.com/ltdimages/images/refs/heads/main/ClothHeadwearCoverSwim_03.png")</f>
        <v/>
      </c>
      <c r="G165" s="22" t="str">
        <f>IMAGE("https://raw.githubusercontent.com/ltdimages/images/refs/heads/main/ClothHeadwearCoverSwim_04.png")</f>
        <v/>
      </c>
      <c r="H165" s="22" t="str">
        <f>IMAGE("https://raw.githubusercontent.com/ltdimages/images/refs/heads/main/ClothHeadwearCoverSwim_05.png")</f>
        <v/>
      </c>
      <c r="I165" s="22" t="str">
        <f>IMAGE("https://raw.githubusercontent.com/ltdimages/images/refs/heads/main/ClothHeadwearCoverSwim_06.png")</f>
        <v/>
      </c>
      <c r="J165" s="22" t="str">
        <f>IMAGE("https://raw.githubusercontent.com/ltdimages/images/refs/heads/main/ClothHeadwearCoverSwim_07.png")</f>
        <v/>
      </c>
      <c r="K165" s="63" t="s">
        <v>3244</v>
      </c>
      <c r="L165" s="23">
        <v>18.0</v>
      </c>
      <c r="M165" s="22" t="s">
        <v>3097</v>
      </c>
      <c r="N165" s="22" t="s">
        <v>3123</v>
      </c>
      <c r="O165" s="22" t="s">
        <v>45</v>
      </c>
      <c r="P165" s="22" t="s">
        <v>45</v>
      </c>
      <c r="Q165" s="22" t="s">
        <v>49</v>
      </c>
      <c r="R165" s="22" t="s">
        <v>45</v>
      </c>
      <c r="S165" s="22" t="s">
        <v>45</v>
      </c>
      <c r="T165" s="22" t="s">
        <v>5593</v>
      </c>
      <c r="U165" s="22" t="s">
        <v>45</v>
      </c>
      <c r="V165" s="22" t="s">
        <v>45</v>
      </c>
      <c r="W165" s="22" t="s">
        <v>5656</v>
      </c>
    </row>
    <row r="166" ht="45.0" customHeight="1">
      <c r="A166" s="55" t="s">
        <v>752</v>
      </c>
      <c r="B166" s="62" t="s">
        <v>5657</v>
      </c>
      <c r="C166" s="22" t="str">
        <f>IMAGE("https://raw.githubusercontent.com/ltdimages/images/refs/heads/main/ClothHeadwearCostumeTiger_00.png")</f>
        <v/>
      </c>
      <c r="D166" s="22" t="str">
        <f>IMAGE("https://raw.githubusercontent.com/ltdimages/images/refs/heads/main/ClothHeadwearCostumeTiger_01.png")</f>
        <v/>
      </c>
      <c r="E166" s="22" t="str">
        <f>IMAGE("https://raw.githubusercontent.com/ltdimages/images/refs/heads/main/ClothHeadwearCostumeTiger_02.png")</f>
        <v/>
      </c>
      <c r="F166" s="22" t="s">
        <v>3095</v>
      </c>
      <c r="G166" s="22" t="s">
        <v>3095</v>
      </c>
      <c r="H166" s="22" t="s">
        <v>3095</v>
      </c>
      <c r="I166" s="22" t="s">
        <v>3095</v>
      </c>
      <c r="J166" s="22" t="s">
        <v>3095</v>
      </c>
      <c r="K166" s="63" t="s">
        <v>3244</v>
      </c>
      <c r="L166" s="23">
        <v>35.0</v>
      </c>
      <c r="M166" s="22" t="s">
        <v>3097</v>
      </c>
      <c r="N166" s="22" t="s">
        <v>3099</v>
      </c>
      <c r="O166" s="22" t="s">
        <v>45</v>
      </c>
      <c r="P166" s="22" t="s">
        <v>45</v>
      </c>
      <c r="Q166" s="22" t="s">
        <v>45</v>
      </c>
      <c r="R166" s="22" t="s">
        <v>49</v>
      </c>
      <c r="S166" s="22" t="s">
        <v>45</v>
      </c>
      <c r="T166" s="22" t="s">
        <v>5584</v>
      </c>
      <c r="U166" s="22" t="s">
        <v>45</v>
      </c>
      <c r="V166" s="22" t="s">
        <v>45</v>
      </c>
      <c r="W166" s="22" t="s">
        <v>5658</v>
      </c>
    </row>
    <row r="167" ht="45.0" customHeight="1">
      <c r="A167" s="55" t="s">
        <v>756</v>
      </c>
      <c r="B167" s="62" t="s">
        <v>4131</v>
      </c>
      <c r="C167" s="22" t="str">
        <f>IMAGE("https://raw.githubusercontent.com/ltdimages/images/refs/heads/main/ClothHeadwearFullfaceRobot_00.png")</f>
        <v/>
      </c>
      <c r="D167" s="22" t="str">
        <f>IMAGE("https://raw.githubusercontent.com/ltdimages/images/refs/heads/main/ClothHeadwearFullfaceRobot_01.png")</f>
        <v/>
      </c>
      <c r="E167" s="22" t="str">
        <f>IMAGE("https://raw.githubusercontent.com/ltdimages/images/refs/heads/main/ClothHeadwearFullfaceRobot_02.png")</f>
        <v/>
      </c>
      <c r="F167" s="22" t="str">
        <f>IMAGE("https://raw.githubusercontent.com/ltdimages/images/refs/heads/main/ClothHeadwearFullfaceRobot_03.png")</f>
        <v/>
      </c>
      <c r="G167" s="22" t="s">
        <v>3095</v>
      </c>
      <c r="H167" s="22" t="s">
        <v>3095</v>
      </c>
      <c r="I167" s="22" t="s">
        <v>3095</v>
      </c>
      <c r="J167" s="22" t="s">
        <v>3095</v>
      </c>
      <c r="K167" s="63" t="s">
        <v>3244</v>
      </c>
      <c r="L167" s="23">
        <v>30.0</v>
      </c>
      <c r="M167" s="22" t="s">
        <v>3097</v>
      </c>
      <c r="N167" s="22" t="s">
        <v>3099</v>
      </c>
      <c r="O167" s="22" t="s">
        <v>45</v>
      </c>
      <c r="P167" s="22" t="s">
        <v>45</v>
      </c>
      <c r="Q167" s="22" t="s">
        <v>45</v>
      </c>
      <c r="R167" s="22" t="s">
        <v>49</v>
      </c>
      <c r="S167" s="22" t="s">
        <v>45</v>
      </c>
      <c r="T167" s="22" t="s">
        <v>5582</v>
      </c>
      <c r="U167" s="22" t="s">
        <v>45</v>
      </c>
      <c r="V167" s="22" t="s">
        <v>45</v>
      </c>
      <c r="W167" s="22" t="s">
        <v>5659</v>
      </c>
    </row>
    <row r="168" ht="45.0" customHeight="1">
      <c r="A168" s="55" t="s">
        <v>760</v>
      </c>
      <c r="B168" s="62" t="s">
        <v>3176</v>
      </c>
      <c r="C168" s="22" t="str">
        <f>IMAGE("https://raw.githubusercontent.com/ltdimages/images/refs/heads/main/ClothHeadwearProtectorPilot_00.png")</f>
        <v/>
      </c>
      <c r="D168" s="22" t="str">
        <f>IMAGE("https://raw.githubusercontent.com/ltdimages/images/refs/heads/main/ClothHeadwearProtectorPilot_01.png")</f>
        <v/>
      </c>
      <c r="E168" s="22" t="str">
        <f>IMAGE("https://raw.githubusercontent.com/ltdimages/images/refs/heads/main/ClothHeadwearProtectorPilot_02.png")</f>
        <v/>
      </c>
      <c r="F168" s="22" t="str">
        <f>IMAGE("https://raw.githubusercontent.com/ltdimages/images/refs/heads/main/ClothHeadwearProtectorPilot_03.png")</f>
        <v/>
      </c>
      <c r="G168" s="22" t="str">
        <f>IMAGE("https://raw.githubusercontent.com/ltdimages/images/refs/heads/main/ClothHeadwearProtectorPilot_04.png")</f>
        <v/>
      </c>
      <c r="H168" s="22" t="str">
        <f>IMAGE("https://raw.githubusercontent.com/ltdimages/images/refs/heads/main/ClothHeadwearProtectorPilot_05.png")</f>
        <v/>
      </c>
      <c r="I168" s="22" t="s">
        <v>3095</v>
      </c>
      <c r="J168" s="22" t="s">
        <v>3095</v>
      </c>
      <c r="K168" s="63" t="s">
        <v>3244</v>
      </c>
      <c r="L168" s="23">
        <v>18.0</v>
      </c>
      <c r="M168" s="22" t="s">
        <v>3097</v>
      </c>
      <c r="N168" s="22" t="s">
        <v>3099</v>
      </c>
      <c r="O168" s="22" t="s">
        <v>45</v>
      </c>
      <c r="P168" s="22" t="s">
        <v>45</v>
      </c>
      <c r="Q168" s="22" t="s">
        <v>45</v>
      </c>
      <c r="R168" s="22" t="s">
        <v>45</v>
      </c>
      <c r="S168" s="22" t="s">
        <v>45</v>
      </c>
      <c r="T168" s="22" t="s">
        <v>5589</v>
      </c>
      <c r="U168" s="22" t="s">
        <v>45</v>
      </c>
      <c r="V168" s="22" t="s">
        <v>45</v>
      </c>
      <c r="W168" s="22" t="s">
        <v>5660</v>
      </c>
    </row>
    <row r="169" ht="45.0" customHeight="1">
      <c r="A169" s="55" t="s">
        <v>765</v>
      </c>
      <c r="B169" s="62" t="s">
        <v>4150</v>
      </c>
      <c r="C169" s="22" t="str">
        <f>IMAGE("https://raw.githubusercontent.com/ltdimages/images/refs/heads/main/ClothHeadwearCostumeTree_00.png")</f>
        <v/>
      </c>
      <c r="D169" s="22" t="str">
        <f>IMAGE("https://raw.githubusercontent.com/ltdimages/images/refs/heads/main/ClothHeadwearCostumeTree_01.png")</f>
        <v/>
      </c>
      <c r="E169" s="22" t="str">
        <f>IMAGE("https://raw.githubusercontent.com/ltdimages/images/refs/heads/main/ClothHeadwearCostumeTree_02.png")</f>
        <v/>
      </c>
      <c r="F169" s="22" t="s">
        <v>3095</v>
      </c>
      <c r="G169" s="22" t="s">
        <v>3095</v>
      </c>
      <c r="H169" s="22" t="s">
        <v>3095</v>
      </c>
      <c r="I169" s="22" t="s">
        <v>3095</v>
      </c>
      <c r="J169" s="22" t="s">
        <v>3095</v>
      </c>
      <c r="K169" s="63" t="s">
        <v>3244</v>
      </c>
      <c r="L169" s="23">
        <v>32.0</v>
      </c>
      <c r="M169" s="22" t="s">
        <v>3097</v>
      </c>
      <c r="N169" s="22" t="s">
        <v>3099</v>
      </c>
      <c r="O169" s="22" t="s">
        <v>45</v>
      </c>
      <c r="P169" s="22" t="s">
        <v>45</v>
      </c>
      <c r="Q169" s="22" t="s">
        <v>45</v>
      </c>
      <c r="R169" s="22" t="s">
        <v>49</v>
      </c>
      <c r="S169" s="22" t="s">
        <v>45</v>
      </c>
      <c r="T169" s="22" t="s">
        <v>5584</v>
      </c>
      <c r="U169" s="22" t="s">
        <v>45</v>
      </c>
      <c r="V169" s="22" t="s">
        <v>45</v>
      </c>
      <c r="W169" s="22" t="s">
        <v>5661</v>
      </c>
    </row>
    <row r="170" ht="45.0" customHeight="1">
      <c r="A170" s="55" t="s">
        <v>769</v>
      </c>
      <c r="B170" s="62" t="s">
        <v>5662</v>
      </c>
      <c r="C170" s="22" t="str">
        <f>IMAGE("https://raw.githubusercontent.com/ltdimages/images/refs/heads/main/ClothHeadwearCostumeTriceratops_00.png")</f>
        <v/>
      </c>
      <c r="D170" s="22" t="str">
        <f>IMAGE("https://raw.githubusercontent.com/ltdimages/images/refs/heads/main/ClothHeadwearCostumeTriceratops_01.png")</f>
        <v/>
      </c>
      <c r="E170" s="22" t="str">
        <f>IMAGE("https://raw.githubusercontent.com/ltdimages/images/refs/heads/main/ClothHeadwearCostumeTriceratops_02.png")</f>
        <v/>
      </c>
      <c r="F170" s="22" t="str">
        <f>IMAGE("https://raw.githubusercontent.com/ltdimages/images/refs/heads/main/ClothHeadwearCostumeTriceratops_03.png")</f>
        <v/>
      </c>
      <c r="G170" s="22" t="str">
        <f>IMAGE("https://raw.githubusercontent.com/ltdimages/images/refs/heads/main/ClothHeadwearCostumeTriceratops_04.png")</f>
        <v/>
      </c>
      <c r="H170" s="22" t="str">
        <f>IMAGE("https://raw.githubusercontent.com/ltdimages/images/refs/heads/main/ClothHeadwearCostumeTriceratops_05.png")</f>
        <v/>
      </c>
      <c r="I170" s="22" t="str">
        <f>IMAGE("https://raw.githubusercontent.com/ltdimages/images/refs/heads/main/ClothHeadwearCostumeTriceratops_06.png")</f>
        <v/>
      </c>
      <c r="J170" s="22" t="str">
        <f>IMAGE("https://raw.githubusercontent.com/ltdimages/images/refs/heads/main/ClothHeadwearCostumeTriceratops_07.png")</f>
        <v/>
      </c>
      <c r="K170" s="63" t="s">
        <v>3244</v>
      </c>
      <c r="L170" s="23">
        <v>21.0</v>
      </c>
      <c r="M170" s="22" t="s">
        <v>3097</v>
      </c>
      <c r="N170" s="22" t="s">
        <v>3099</v>
      </c>
      <c r="O170" s="22" t="s">
        <v>45</v>
      </c>
      <c r="P170" s="22" t="s">
        <v>45</v>
      </c>
      <c r="Q170" s="22" t="s">
        <v>45</v>
      </c>
      <c r="R170" s="22" t="s">
        <v>49</v>
      </c>
      <c r="S170" s="22" t="s">
        <v>45</v>
      </c>
      <c r="T170" s="22" t="s">
        <v>5584</v>
      </c>
      <c r="U170" s="22" t="s">
        <v>45</v>
      </c>
      <c r="V170" s="22" t="s">
        <v>45</v>
      </c>
      <c r="W170" s="22" t="s">
        <v>5663</v>
      </c>
    </row>
    <row r="171" ht="45.0" customHeight="1">
      <c r="A171" s="55" t="s">
        <v>774</v>
      </c>
      <c r="B171" s="62" t="s">
        <v>5664</v>
      </c>
      <c r="C171" s="22" t="str">
        <f>IMAGE("https://raw.githubusercontent.com/ltdimages/images/refs/heads/main/ClothHeadwearCoverTurban_00.png")</f>
        <v/>
      </c>
      <c r="D171" s="22" t="str">
        <f>IMAGE("https://raw.githubusercontent.com/ltdimages/images/refs/heads/main/ClothHeadwearCoverTurban_01.png")</f>
        <v/>
      </c>
      <c r="E171" s="22" t="str">
        <f>IMAGE("https://raw.githubusercontent.com/ltdimages/images/refs/heads/main/ClothHeadwearCoverTurban_02.png")</f>
        <v/>
      </c>
      <c r="F171" s="22" t="str">
        <f>IMAGE("https://raw.githubusercontent.com/ltdimages/images/refs/heads/main/ClothHeadwearCoverTurban_03.png")</f>
        <v/>
      </c>
      <c r="G171" s="22" t="str">
        <f>IMAGE("https://raw.githubusercontent.com/ltdimages/images/refs/heads/main/ClothHeadwearCoverTurban_04.png")</f>
        <v/>
      </c>
      <c r="H171" s="22" t="str">
        <f>IMAGE("https://raw.githubusercontent.com/ltdimages/images/refs/heads/main/ClothHeadwearCoverTurban_05.png")</f>
        <v/>
      </c>
      <c r="I171" s="22" t="str">
        <f>IMAGE("https://raw.githubusercontent.com/ltdimages/images/refs/heads/main/ClothHeadwearCoverTurban_06.png")</f>
        <v/>
      </c>
      <c r="J171" s="22" t="str">
        <f>IMAGE("https://raw.githubusercontent.com/ltdimages/images/refs/heads/main/ClothHeadwearCoverTurban_07.png")</f>
        <v/>
      </c>
      <c r="K171" s="63" t="s">
        <v>3244</v>
      </c>
      <c r="L171" s="23">
        <v>32.0</v>
      </c>
      <c r="M171" s="22" t="s">
        <v>3097</v>
      </c>
      <c r="N171" s="22" t="s">
        <v>3099</v>
      </c>
      <c r="O171" s="22" t="s">
        <v>45</v>
      </c>
      <c r="P171" s="22" t="s">
        <v>45</v>
      </c>
      <c r="Q171" s="22" t="s">
        <v>45</v>
      </c>
      <c r="R171" s="22" t="s">
        <v>45</v>
      </c>
      <c r="S171" s="22" t="s">
        <v>45</v>
      </c>
      <c r="T171" s="22" t="s">
        <v>5593</v>
      </c>
      <c r="U171" s="22" t="s">
        <v>45</v>
      </c>
      <c r="V171" s="22" t="s">
        <v>45</v>
      </c>
      <c r="W171" s="22" t="s">
        <v>5665</v>
      </c>
    </row>
    <row r="172" ht="45.0" customHeight="1">
      <c r="A172" s="55" t="s">
        <v>778</v>
      </c>
      <c r="B172" s="62" t="s">
        <v>4157</v>
      </c>
      <c r="C172" s="22" t="str">
        <f>IMAGE("https://raw.githubusercontent.com/ltdimages/images/refs/heads/main/ClothHeadwearCostumeTurkey_00.png")</f>
        <v/>
      </c>
      <c r="D172" s="22" t="s">
        <v>3095</v>
      </c>
      <c r="E172" s="22" t="s">
        <v>3095</v>
      </c>
      <c r="F172" s="22" t="s">
        <v>3095</v>
      </c>
      <c r="G172" s="22" t="s">
        <v>3095</v>
      </c>
      <c r="H172" s="22" t="s">
        <v>3095</v>
      </c>
      <c r="I172" s="22" t="s">
        <v>3095</v>
      </c>
      <c r="J172" s="22" t="s">
        <v>3095</v>
      </c>
      <c r="K172" s="63" t="s">
        <v>3244</v>
      </c>
      <c r="L172" s="23">
        <v>35.0</v>
      </c>
      <c r="M172" s="22" t="s">
        <v>3097</v>
      </c>
      <c r="N172" s="22" t="s">
        <v>3099</v>
      </c>
      <c r="O172" s="22" t="s">
        <v>45</v>
      </c>
      <c r="P172" s="22" t="s">
        <v>45</v>
      </c>
      <c r="Q172" s="22" t="s">
        <v>45</v>
      </c>
      <c r="R172" s="22" t="s">
        <v>49</v>
      </c>
      <c r="S172" s="22" t="s">
        <v>45</v>
      </c>
      <c r="T172" s="22" t="s">
        <v>5584</v>
      </c>
      <c r="U172" s="22" t="s">
        <v>45</v>
      </c>
      <c r="V172" s="22" t="s">
        <v>45</v>
      </c>
      <c r="W172" s="22" t="s">
        <v>5666</v>
      </c>
    </row>
    <row r="173" ht="45.0" customHeight="1">
      <c r="A173" s="55" t="s">
        <v>782</v>
      </c>
      <c r="B173" s="62" t="s">
        <v>5667</v>
      </c>
      <c r="C173" s="22" t="str">
        <f>IMAGE("https://raw.githubusercontent.com/ltdimages/images/refs/heads/main/ClothHeadwearFullfaceTelevision_00.png")</f>
        <v/>
      </c>
      <c r="D173" s="22" t="str">
        <f>IMAGE("https://raw.githubusercontent.com/ltdimages/images/refs/heads/main/ClothHeadwearFullfaceTelevision_01.png")</f>
        <v/>
      </c>
      <c r="E173" s="22" t="str">
        <f>IMAGE("https://raw.githubusercontent.com/ltdimages/images/refs/heads/main/ClothHeadwearFullfaceTelevision_02.png")</f>
        <v/>
      </c>
      <c r="F173" s="22" t="str">
        <f>IMAGE("https://raw.githubusercontent.com/ltdimages/images/refs/heads/main/ClothHeadwearFullfaceTelevision_03.png")</f>
        <v/>
      </c>
      <c r="G173" s="22" t="str">
        <f>IMAGE("https://raw.githubusercontent.com/ltdimages/images/refs/heads/main/ClothHeadwearFullfaceTelevision_04.png")</f>
        <v/>
      </c>
      <c r="H173" s="22" t="str">
        <f>IMAGE("https://raw.githubusercontent.com/ltdimages/images/refs/heads/main/ClothHeadwearFullfaceTelevision_05.png")</f>
        <v/>
      </c>
      <c r="I173" s="22" t="str">
        <f>IMAGE("https://raw.githubusercontent.com/ltdimages/images/refs/heads/main/ClothHeadwearFullfaceTelevision_06.png")</f>
        <v/>
      </c>
      <c r="J173" s="22" t="str">
        <f>IMAGE("https://raw.githubusercontent.com/ltdimages/images/refs/heads/main/ClothHeadwearFullfaceTelevision_07.png")</f>
        <v/>
      </c>
      <c r="K173" s="63" t="s">
        <v>3244</v>
      </c>
      <c r="L173" s="23">
        <v>30.0</v>
      </c>
      <c r="M173" s="22" t="s">
        <v>3097</v>
      </c>
      <c r="N173" s="22" t="s">
        <v>3099</v>
      </c>
      <c r="O173" s="22" t="s">
        <v>45</v>
      </c>
      <c r="P173" s="22" t="s">
        <v>45</v>
      </c>
      <c r="Q173" s="22" t="s">
        <v>45</v>
      </c>
      <c r="R173" s="22" t="s">
        <v>49</v>
      </c>
      <c r="S173" s="22" t="s">
        <v>45</v>
      </c>
      <c r="T173" s="22" t="s">
        <v>5582</v>
      </c>
      <c r="U173" s="22" t="s">
        <v>45</v>
      </c>
      <c r="V173" s="22" t="s">
        <v>45</v>
      </c>
      <c r="W173" s="22" t="s">
        <v>5668</v>
      </c>
    </row>
    <row r="174" ht="45.0" customHeight="1">
      <c r="A174" s="55" t="s">
        <v>786</v>
      </c>
      <c r="B174" s="62" t="s">
        <v>5669</v>
      </c>
      <c r="C174" s="22" t="str">
        <f>IMAGE("https://raw.githubusercontent.com/ltdimages/images/refs/heads/main/ClothHeadwearGlassThreeD_00.png")</f>
        <v/>
      </c>
      <c r="D174" s="22" t="s">
        <v>3095</v>
      </c>
      <c r="E174" s="22" t="s">
        <v>3095</v>
      </c>
      <c r="F174" s="22" t="s">
        <v>3095</v>
      </c>
      <c r="G174" s="22" t="s">
        <v>3095</v>
      </c>
      <c r="H174" s="22" t="s">
        <v>3095</v>
      </c>
      <c r="I174" s="22" t="s">
        <v>3095</v>
      </c>
      <c r="J174" s="22" t="s">
        <v>3095</v>
      </c>
      <c r="K174" s="63" t="s">
        <v>3244</v>
      </c>
      <c r="L174" s="23">
        <v>15.0</v>
      </c>
      <c r="M174" s="22" t="s">
        <v>3097</v>
      </c>
      <c r="N174" s="22" t="s">
        <v>3099</v>
      </c>
      <c r="O174" s="22" t="s">
        <v>45</v>
      </c>
      <c r="P174" s="22" t="s">
        <v>45</v>
      </c>
      <c r="Q174" s="22" t="s">
        <v>45</v>
      </c>
      <c r="R174" s="22" t="s">
        <v>49</v>
      </c>
      <c r="S174" s="22" t="s">
        <v>45</v>
      </c>
      <c r="T174" s="22" t="s">
        <v>5670</v>
      </c>
      <c r="U174" s="22" t="s">
        <v>45</v>
      </c>
      <c r="V174" s="22" t="s">
        <v>45</v>
      </c>
      <c r="W174" s="22" t="s">
        <v>5671</v>
      </c>
    </row>
    <row r="175" ht="45.0" customHeight="1">
      <c r="A175" s="55" t="s">
        <v>790</v>
      </c>
      <c r="B175" s="62" t="s">
        <v>5672</v>
      </c>
      <c r="C175" s="22" t="str">
        <f>IMAGE("https://raw.githubusercontent.com/ltdimages/images/refs/heads/main/ClothHeadwearGlassCyber_00.png")</f>
        <v/>
      </c>
      <c r="D175" s="22" t="str">
        <f>IMAGE("https://raw.githubusercontent.com/ltdimages/images/refs/heads/main/ClothHeadwearGlassCyber_01.png")</f>
        <v/>
      </c>
      <c r="E175" s="22" t="str">
        <f>IMAGE("https://raw.githubusercontent.com/ltdimages/images/refs/heads/main/ClothHeadwearGlassCyber_02.png")</f>
        <v/>
      </c>
      <c r="F175" s="22" t="str">
        <f>IMAGE("https://raw.githubusercontent.com/ltdimages/images/refs/heads/main/ClothHeadwearGlassCyber_03.png")</f>
        <v/>
      </c>
      <c r="G175" s="22" t="str">
        <f>IMAGE("https://raw.githubusercontent.com/ltdimages/images/refs/heads/main/ClothHeadwearGlassCyber_04.png")</f>
        <v/>
      </c>
      <c r="H175" s="22" t="str">
        <f>IMAGE("https://raw.githubusercontent.com/ltdimages/images/refs/heads/main/ClothHeadwearGlassCyber_05.png")</f>
        <v/>
      </c>
      <c r="I175" s="22" t="s">
        <v>3095</v>
      </c>
      <c r="J175" s="22" t="s">
        <v>3095</v>
      </c>
      <c r="K175" s="63" t="s">
        <v>3244</v>
      </c>
      <c r="L175" s="23">
        <v>13.0</v>
      </c>
      <c r="M175" s="22" t="s">
        <v>3097</v>
      </c>
      <c r="N175" s="22" t="s">
        <v>3099</v>
      </c>
      <c r="O175" s="22" t="s">
        <v>45</v>
      </c>
      <c r="P175" s="22" t="s">
        <v>45</v>
      </c>
      <c r="Q175" s="22" t="s">
        <v>45</v>
      </c>
      <c r="R175" s="22" t="s">
        <v>49</v>
      </c>
      <c r="S175" s="22" t="s">
        <v>45</v>
      </c>
      <c r="T175" s="22" t="s">
        <v>5670</v>
      </c>
      <c r="U175" s="22" t="s">
        <v>45</v>
      </c>
      <c r="V175" s="22" t="s">
        <v>45</v>
      </c>
      <c r="W175" s="22" t="s">
        <v>5673</v>
      </c>
    </row>
    <row r="176" ht="45.0" customHeight="1">
      <c r="A176" s="55" t="s">
        <v>794</v>
      </c>
      <c r="B176" s="62" t="s">
        <v>5674</v>
      </c>
      <c r="C176" s="22" t="str">
        <f>IMAGE("https://raw.githubusercontent.com/ltdimages/images/refs/heads/main/ClothHeadwearGlassEyeMask_00.png")</f>
        <v/>
      </c>
      <c r="D176" s="22" t="str">
        <f>IMAGE("https://raw.githubusercontent.com/ltdimages/images/refs/heads/main/ClothHeadwearGlassEyeMask_01.png")</f>
        <v/>
      </c>
      <c r="E176" s="22" t="str">
        <f>IMAGE("https://raw.githubusercontent.com/ltdimages/images/refs/heads/main/ClothHeadwearGlassEyeMask_02.png")</f>
        <v/>
      </c>
      <c r="F176" s="22" t="str">
        <f>IMAGE("https://raw.githubusercontent.com/ltdimages/images/refs/heads/main/ClothHeadwearGlassEyeMask_03.png")</f>
        <v/>
      </c>
      <c r="G176" s="22" t="str">
        <f>IMAGE("https://raw.githubusercontent.com/ltdimages/images/refs/heads/main/ClothHeadwearGlassEyeMask_04.png")</f>
        <v/>
      </c>
      <c r="H176" s="22" t="str">
        <f>IMAGE("https://raw.githubusercontent.com/ltdimages/images/refs/heads/main/ClothHeadwearGlassEyeMask_05.png")</f>
        <v/>
      </c>
      <c r="I176" s="22" t="str">
        <f>IMAGE("https://raw.githubusercontent.com/ltdimages/images/refs/heads/main/ClothHeadwearGlassEyeMask_06.png")</f>
        <v/>
      </c>
      <c r="J176" s="22" t="str">
        <f>IMAGE("https://raw.githubusercontent.com/ltdimages/images/refs/heads/main/ClothHeadwearGlassEyeMask_07.png")</f>
        <v/>
      </c>
      <c r="K176" s="63" t="s">
        <v>3244</v>
      </c>
      <c r="L176" s="23">
        <v>11.5</v>
      </c>
      <c r="M176" s="22" t="s">
        <v>3097</v>
      </c>
      <c r="N176" s="22" t="s">
        <v>3099</v>
      </c>
      <c r="O176" s="22" t="s">
        <v>45</v>
      </c>
      <c r="P176" s="22" t="s">
        <v>45</v>
      </c>
      <c r="Q176" s="22" t="s">
        <v>45</v>
      </c>
      <c r="R176" s="22" t="s">
        <v>45</v>
      </c>
      <c r="S176" s="22" t="s">
        <v>45</v>
      </c>
      <c r="T176" s="22" t="s">
        <v>5670</v>
      </c>
      <c r="U176" s="22" t="s">
        <v>45</v>
      </c>
      <c r="V176" s="22" t="s">
        <v>45</v>
      </c>
      <c r="W176" s="22" t="s">
        <v>5675</v>
      </c>
    </row>
    <row r="177" ht="45.0" customHeight="1">
      <c r="A177" s="55" t="s">
        <v>798</v>
      </c>
      <c r="B177" s="62" t="s">
        <v>5676</v>
      </c>
      <c r="C177" s="22" t="str">
        <f>IMAGE("https://raw.githubusercontent.com/ltdimages/images/refs/heads/main/ClothHeadwearGlassEyepatch_00.png")</f>
        <v/>
      </c>
      <c r="D177" s="22" t="str">
        <f>IMAGE("https://raw.githubusercontent.com/ltdimages/images/refs/heads/main/ClothHeadwearGlassEyepatch_01.png")</f>
        <v/>
      </c>
      <c r="E177" s="22" t="str">
        <f>IMAGE("https://raw.githubusercontent.com/ltdimages/images/refs/heads/main/ClothHeadwearGlassEyepatch_02.png")</f>
        <v/>
      </c>
      <c r="F177" s="22" t="s">
        <v>3095</v>
      </c>
      <c r="G177" s="22" t="s">
        <v>3095</v>
      </c>
      <c r="H177" s="22" t="s">
        <v>3095</v>
      </c>
      <c r="I177" s="22" t="s">
        <v>3095</v>
      </c>
      <c r="J177" s="22" t="s">
        <v>3095</v>
      </c>
      <c r="K177" s="63" t="s">
        <v>3244</v>
      </c>
      <c r="L177" s="23">
        <v>11.0</v>
      </c>
      <c r="M177" s="22" t="s">
        <v>3097</v>
      </c>
      <c r="N177" s="22" t="s">
        <v>3099</v>
      </c>
      <c r="O177" s="22" t="s">
        <v>45</v>
      </c>
      <c r="P177" s="22" t="s">
        <v>45</v>
      </c>
      <c r="Q177" s="22" t="s">
        <v>45</v>
      </c>
      <c r="R177" s="22" t="s">
        <v>45</v>
      </c>
      <c r="S177" s="22" t="s">
        <v>45</v>
      </c>
      <c r="T177" s="22" t="s">
        <v>5670</v>
      </c>
      <c r="U177" s="22" t="s">
        <v>45</v>
      </c>
      <c r="V177" s="22" t="s">
        <v>45</v>
      </c>
      <c r="W177" s="22" t="s">
        <v>5677</v>
      </c>
    </row>
    <row r="178" ht="45.0" customHeight="1">
      <c r="A178" s="55" t="s">
        <v>802</v>
      </c>
      <c r="B178" s="62" t="s">
        <v>5678</v>
      </c>
      <c r="C178" s="22" t="str">
        <f>IMAGE("https://raw.githubusercontent.com/ltdimages/images/refs/heads/main/ClothHeadwearGlassFlower_00.png")</f>
        <v/>
      </c>
      <c r="D178" s="22" t="str">
        <f>IMAGE("https://raw.githubusercontent.com/ltdimages/images/refs/heads/main/ClothHeadwearGlassFlower_01.png")</f>
        <v/>
      </c>
      <c r="E178" s="22" t="str">
        <f>IMAGE("https://raw.githubusercontent.com/ltdimages/images/refs/heads/main/ClothHeadwearGlassFlower_02.png")</f>
        <v/>
      </c>
      <c r="F178" s="22" t="str">
        <f>IMAGE("https://raw.githubusercontent.com/ltdimages/images/refs/heads/main/ClothHeadwearGlassFlower_03.png")</f>
        <v/>
      </c>
      <c r="G178" s="22" t="str">
        <f>IMAGE("https://raw.githubusercontent.com/ltdimages/images/refs/heads/main/ClothHeadwearGlassFlower_04.png")</f>
        <v/>
      </c>
      <c r="H178" s="22" t="str">
        <f>IMAGE("https://raw.githubusercontent.com/ltdimages/images/refs/heads/main/ClothHeadwearGlassFlower_05.png")</f>
        <v/>
      </c>
      <c r="I178" s="22" t="str">
        <f>IMAGE("https://raw.githubusercontent.com/ltdimages/images/refs/heads/main/ClothHeadwearGlassFlower_06.png")</f>
        <v/>
      </c>
      <c r="J178" s="22" t="str">
        <f>IMAGE("https://raw.githubusercontent.com/ltdimages/images/refs/heads/main/ClothHeadwearGlassFlower_07.png")</f>
        <v/>
      </c>
      <c r="K178" s="63" t="s">
        <v>3244</v>
      </c>
      <c r="L178" s="23">
        <v>13.8</v>
      </c>
      <c r="M178" s="22" t="s">
        <v>3097</v>
      </c>
      <c r="N178" s="22" t="s">
        <v>3099</v>
      </c>
      <c r="O178" s="22" t="s">
        <v>45</v>
      </c>
      <c r="P178" s="22" t="s">
        <v>45</v>
      </c>
      <c r="Q178" s="22" t="s">
        <v>45</v>
      </c>
      <c r="R178" s="22" t="s">
        <v>45</v>
      </c>
      <c r="S178" s="22" t="s">
        <v>45</v>
      </c>
      <c r="T178" s="22" t="s">
        <v>5670</v>
      </c>
      <c r="U178" s="22" t="s">
        <v>45</v>
      </c>
      <c r="V178" s="22" t="s">
        <v>45</v>
      </c>
      <c r="W178" s="22" t="s">
        <v>5679</v>
      </c>
    </row>
    <row r="179" ht="45.0" customHeight="1">
      <c r="A179" s="55" t="s">
        <v>806</v>
      </c>
      <c r="B179" s="62" t="s">
        <v>5680</v>
      </c>
      <c r="C179" s="22" t="str">
        <f>IMAGE("https://raw.githubusercontent.com/ltdimages/images/refs/heads/main/ClothHeadwearGlassGoggle_00.png")</f>
        <v/>
      </c>
      <c r="D179" s="22" t="str">
        <f>IMAGE("https://raw.githubusercontent.com/ltdimages/images/refs/heads/main/ClothHeadwearGlassGoggle_01.png")</f>
        <v/>
      </c>
      <c r="E179" s="22" t="s">
        <v>3095</v>
      </c>
      <c r="F179" s="22" t="s">
        <v>3095</v>
      </c>
      <c r="G179" s="22" t="s">
        <v>3095</v>
      </c>
      <c r="H179" s="22" t="s">
        <v>3095</v>
      </c>
      <c r="I179" s="22" t="s">
        <v>3095</v>
      </c>
      <c r="J179" s="22" t="s">
        <v>3095</v>
      </c>
      <c r="K179" s="63" t="s">
        <v>3244</v>
      </c>
      <c r="L179" s="23">
        <v>15.6</v>
      </c>
      <c r="M179" s="22" t="s">
        <v>3097</v>
      </c>
      <c r="N179" s="22" t="s">
        <v>3099</v>
      </c>
      <c r="O179" s="22" t="s">
        <v>45</v>
      </c>
      <c r="P179" s="22" t="s">
        <v>45</v>
      </c>
      <c r="Q179" s="22" t="s">
        <v>45</v>
      </c>
      <c r="R179" s="22" t="s">
        <v>45</v>
      </c>
      <c r="S179" s="22" t="s">
        <v>45</v>
      </c>
      <c r="T179" s="22" t="s">
        <v>5670</v>
      </c>
      <c r="U179" s="22" t="s">
        <v>45</v>
      </c>
      <c r="V179" s="22" t="s">
        <v>45</v>
      </c>
      <c r="W179" s="22" t="s">
        <v>5681</v>
      </c>
    </row>
    <row r="180" ht="45.0" customHeight="1">
      <c r="A180" s="55" t="s">
        <v>810</v>
      </c>
      <c r="B180" s="62" t="s">
        <v>4078</v>
      </c>
      <c r="C180" s="22" t="str">
        <f>IMAGE("https://raw.githubusercontent.com/ltdimages/images/refs/heads/main/ClothHeadwearGlassHeart_00.png")</f>
        <v/>
      </c>
      <c r="D180" s="22" t="str">
        <f>IMAGE("https://raw.githubusercontent.com/ltdimages/images/refs/heads/main/ClothHeadwearGlassHeart_01.png")</f>
        <v/>
      </c>
      <c r="E180" s="22" t="str">
        <f>IMAGE("https://raw.githubusercontent.com/ltdimages/images/refs/heads/main/ClothHeadwearGlassHeart_02.png")</f>
        <v/>
      </c>
      <c r="F180" s="22" t="str">
        <f>IMAGE("https://raw.githubusercontent.com/ltdimages/images/refs/heads/main/ClothHeadwearGlassHeart_03.png")</f>
        <v/>
      </c>
      <c r="G180" s="22" t="str">
        <f>IMAGE("https://raw.githubusercontent.com/ltdimages/images/refs/heads/main/ClothHeadwearGlassHeart_04.png")</f>
        <v/>
      </c>
      <c r="H180" s="22" t="str">
        <f>IMAGE("https://raw.githubusercontent.com/ltdimages/images/refs/heads/main/ClothHeadwearGlassHeart_05.png")</f>
        <v/>
      </c>
      <c r="I180" s="22" t="str">
        <f>IMAGE("https://raw.githubusercontent.com/ltdimages/images/refs/heads/main/ClothHeadwearGlassHeart_06.png")</f>
        <v/>
      </c>
      <c r="J180" s="22" t="str">
        <f>IMAGE("https://raw.githubusercontent.com/ltdimages/images/refs/heads/main/ClothHeadwearGlassHeart_07.png")</f>
        <v/>
      </c>
      <c r="K180" s="63" t="s">
        <v>3244</v>
      </c>
      <c r="L180" s="23">
        <v>19.9</v>
      </c>
      <c r="M180" s="22" t="s">
        <v>3097</v>
      </c>
      <c r="N180" s="22" t="s">
        <v>3099</v>
      </c>
      <c r="O180" s="22" t="s">
        <v>45</v>
      </c>
      <c r="P180" s="22" t="s">
        <v>45</v>
      </c>
      <c r="Q180" s="22" t="s">
        <v>45</v>
      </c>
      <c r="R180" s="22" t="s">
        <v>45</v>
      </c>
      <c r="S180" s="22" t="s">
        <v>45</v>
      </c>
      <c r="T180" s="22" t="s">
        <v>5670</v>
      </c>
      <c r="U180" s="22" t="s">
        <v>45</v>
      </c>
      <c r="V180" s="22" t="s">
        <v>45</v>
      </c>
      <c r="W180" s="22" t="s">
        <v>5682</v>
      </c>
    </row>
    <row r="181" ht="45.0" customHeight="1">
      <c r="A181" s="55" t="s">
        <v>814</v>
      </c>
      <c r="B181" s="62" t="s">
        <v>5683</v>
      </c>
      <c r="C181" s="22" t="str">
        <f>IMAGE("https://raw.githubusercontent.com/ltdimages/images/refs/heads/main/ClothHeadwearGlassMasquerade_00.png")</f>
        <v/>
      </c>
      <c r="D181" s="22" t="str">
        <f>IMAGE("https://raw.githubusercontent.com/ltdimages/images/refs/heads/main/ClothHeadwearGlassMasquerade_01.png")</f>
        <v/>
      </c>
      <c r="E181" s="22" t="str">
        <f>IMAGE("https://raw.githubusercontent.com/ltdimages/images/refs/heads/main/ClothHeadwearGlassMasquerade_02.png")</f>
        <v/>
      </c>
      <c r="F181" s="22" t="str">
        <f>IMAGE("https://raw.githubusercontent.com/ltdimages/images/refs/heads/main/ClothHeadwearGlassMasquerade_03.png")</f>
        <v/>
      </c>
      <c r="G181" s="22" t="str">
        <f>IMAGE("https://raw.githubusercontent.com/ltdimages/images/refs/heads/main/ClothHeadwearGlassMasquerade_04.png")</f>
        <v/>
      </c>
      <c r="H181" s="22" t="str">
        <f>IMAGE("https://raw.githubusercontent.com/ltdimages/images/refs/heads/main/ClothHeadwearGlassMasquerade_05.png")</f>
        <v/>
      </c>
      <c r="I181" s="22" t="str">
        <f>IMAGE("https://raw.githubusercontent.com/ltdimages/images/refs/heads/main/ClothHeadwearGlassMasquerade_06.png")</f>
        <v/>
      </c>
      <c r="J181" s="22" t="str">
        <f>IMAGE("https://raw.githubusercontent.com/ltdimages/images/refs/heads/main/ClothHeadwearGlassMasquerade_07.png")</f>
        <v/>
      </c>
      <c r="K181" s="63" t="s">
        <v>3244</v>
      </c>
      <c r="L181" s="23">
        <v>23.3</v>
      </c>
      <c r="M181" s="22" t="s">
        <v>3097</v>
      </c>
      <c r="N181" s="22" t="s">
        <v>3099</v>
      </c>
      <c r="O181" s="22" t="s">
        <v>45</v>
      </c>
      <c r="P181" s="22" t="s">
        <v>45</v>
      </c>
      <c r="Q181" s="22" t="s">
        <v>45</v>
      </c>
      <c r="R181" s="22" t="s">
        <v>49</v>
      </c>
      <c r="S181" s="22" t="s">
        <v>45</v>
      </c>
      <c r="T181" s="22" t="s">
        <v>5670</v>
      </c>
      <c r="U181" s="22" t="s">
        <v>45</v>
      </c>
      <c r="V181" s="22" t="s">
        <v>45</v>
      </c>
      <c r="W181" s="22" t="s">
        <v>5684</v>
      </c>
    </row>
    <row r="182" ht="45.0" customHeight="1">
      <c r="A182" s="55" t="s">
        <v>818</v>
      </c>
      <c r="B182" s="62" t="s">
        <v>3808</v>
      </c>
      <c r="C182" s="22" t="str">
        <f>IMAGE("https://raw.githubusercontent.com/ltdimages/images/refs/heads/main/ClothHeadwearGlassPhantomThief_00.png")</f>
        <v/>
      </c>
      <c r="D182" s="22" t="str">
        <f>IMAGE("https://raw.githubusercontent.com/ltdimages/images/refs/heads/main/ClothHeadwearGlassPhantomThief_01.png")</f>
        <v/>
      </c>
      <c r="E182" s="22" t="str">
        <f>IMAGE("https://raw.githubusercontent.com/ltdimages/images/refs/heads/main/ClothHeadwearGlassPhantomThief_02.png")</f>
        <v/>
      </c>
      <c r="F182" s="22" t="str">
        <f>IMAGE("https://raw.githubusercontent.com/ltdimages/images/refs/heads/main/ClothHeadwearGlassPhantomThief_03.png")</f>
        <v/>
      </c>
      <c r="G182" s="22" t="str">
        <f>IMAGE("https://raw.githubusercontent.com/ltdimages/images/refs/heads/main/ClothHeadwearGlassPhantomThief_04.png")</f>
        <v/>
      </c>
      <c r="H182" s="22" t="s">
        <v>3095</v>
      </c>
      <c r="I182" s="22" t="s">
        <v>3095</v>
      </c>
      <c r="J182" s="22" t="s">
        <v>3095</v>
      </c>
      <c r="K182" s="63" t="s">
        <v>3244</v>
      </c>
      <c r="L182" s="23">
        <v>21.0</v>
      </c>
      <c r="M182" s="22" t="s">
        <v>3097</v>
      </c>
      <c r="N182" s="22" t="s">
        <v>3099</v>
      </c>
      <c r="O182" s="22" t="s">
        <v>45</v>
      </c>
      <c r="P182" s="22" t="s">
        <v>45</v>
      </c>
      <c r="Q182" s="22" t="s">
        <v>45</v>
      </c>
      <c r="R182" s="22" t="s">
        <v>49</v>
      </c>
      <c r="S182" s="22" t="s">
        <v>45</v>
      </c>
      <c r="T182" s="22" t="s">
        <v>5670</v>
      </c>
      <c r="U182" s="22" t="s">
        <v>45</v>
      </c>
      <c r="V182" s="22" t="s">
        <v>45</v>
      </c>
      <c r="W182" s="22" t="s">
        <v>5685</v>
      </c>
    </row>
    <row r="183" ht="45.0" customHeight="1">
      <c r="A183" s="55" t="s">
        <v>822</v>
      </c>
      <c r="B183" s="62" t="s">
        <v>5686</v>
      </c>
      <c r="C183" s="22" t="str">
        <f>IMAGE("https://raw.githubusercontent.com/ltdimages/images/refs/heads/main/ClothHeadwearGlassPixel_00.png")</f>
        <v/>
      </c>
      <c r="D183" s="22" t="str">
        <f>IMAGE("https://raw.githubusercontent.com/ltdimages/images/refs/heads/main/ClothHeadwearGlassPixel_01.png")</f>
        <v/>
      </c>
      <c r="E183" s="22" t="str">
        <f>IMAGE("https://raw.githubusercontent.com/ltdimages/images/refs/heads/main/ClothHeadwearGlassPixel_02.png")</f>
        <v/>
      </c>
      <c r="F183" s="22" t="str">
        <f>IMAGE("https://raw.githubusercontent.com/ltdimages/images/refs/heads/main/ClothHeadwearGlassPixel_03.png")</f>
        <v/>
      </c>
      <c r="G183" s="22" t="str">
        <f>IMAGE("https://raw.githubusercontent.com/ltdimages/images/refs/heads/main/ClothHeadwearGlassPixel_04.png")</f>
        <v/>
      </c>
      <c r="H183" s="22" t="str">
        <f>IMAGE("https://raw.githubusercontent.com/ltdimages/images/refs/heads/main/ClothHeadwearGlassPixel_05.png")</f>
        <v/>
      </c>
      <c r="I183" s="22" t="s">
        <v>3095</v>
      </c>
      <c r="J183" s="22" t="s">
        <v>3095</v>
      </c>
      <c r="K183" s="63" t="s">
        <v>3244</v>
      </c>
      <c r="L183" s="23">
        <v>10.0</v>
      </c>
      <c r="M183" s="22" t="s">
        <v>3097</v>
      </c>
      <c r="N183" s="22" t="s">
        <v>3099</v>
      </c>
      <c r="O183" s="22" t="s">
        <v>45</v>
      </c>
      <c r="P183" s="22" t="s">
        <v>45</v>
      </c>
      <c r="Q183" s="22" t="s">
        <v>45</v>
      </c>
      <c r="R183" s="22" t="s">
        <v>49</v>
      </c>
      <c r="S183" s="22" t="s">
        <v>45</v>
      </c>
      <c r="T183" s="22" t="s">
        <v>5670</v>
      </c>
      <c r="U183" s="22" t="s">
        <v>45</v>
      </c>
      <c r="V183" s="22" t="s">
        <v>45</v>
      </c>
      <c r="W183" s="22" t="s">
        <v>5687</v>
      </c>
    </row>
    <row r="184" ht="45.0" customHeight="1">
      <c r="A184" s="55" t="s">
        <v>826</v>
      </c>
      <c r="B184" s="62" t="s">
        <v>5688</v>
      </c>
      <c r="C184" s="22" t="str">
        <f>IMAGE("https://raw.githubusercontent.com/ltdimages/images/refs/heads/main/ClothHeadwearGlassEye_00.png")</f>
        <v/>
      </c>
      <c r="D184" s="22" t="str">
        <f>IMAGE("https://raw.githubusercontent.com/ltdimages/images/refs/heads/main/ClothHeadwearGlassEye_01.png")</f>
        <v/>
      </c>
      <c r="E184" s="22" t="str">
        <f>IMAGE("https://raw.githubusercontent.com/ltdimages/images/refs/heads/main/ClothHeadwearGlassEye_02.png")</f>
        <v/>
      </c>
      <c r="F184" s="22" t="str">
        <f>IMAGE("https://raw.githubusercontent.com/ltdimages/images/refs/heads/main/ClothHeadwearGlassEye_03.png")</f>
        <v/>
      </c>
      <c r="G184" s="22" t="str">
        <f>IMAGE("https://raw.githubusercontent.com/ltdimages/images/refs/heads/main/ClothHeadwearGlassEye_04.png")</f>
        <v/>
      </c>
      <c r="H184" s="22" t="str">
        <f>IMAGE("https://raw.githubusercontent.com/ltdimages/images/refs/heads/main/ClothHeadwearGlassEye_05.png")</f>
        <v/>
      </c>
      <c r="I184" s="22" t="s">
        <v>3095</v>
      </c>
      <c r="J184" s="22" t="s">
        <v>3095</v>
      </c>
      <c r="K184" s="63" t="s">
        <v>3244</v>
      </c>
      <c r="L184" s="23">
        <v>12.3</v>
      </c>
      <c r="M184" s="22" t="s">
        <v>3097</v>
      </c>
      <c r="N184" s="22" t="s">
        <v>3099</v>
      </c>
      <c r="O184" s="22" t="s">
        <v>45</v>
      </c>
      <c r="P184" s="22" t="s">
        <v>45</v>
      </c>
      <c r="Q184" s="22" t="s">
        <v>45</v>
      </c>
      <c r="R184" s="22" t="s">
        <v>49</v>
      </c>
      <c r="S184" s="22" t="s">
        <v>45</v>
      </c>
      <c r="T184" s="22" t="s">
        <v>5670</v>
      </c>
      <c r="U184" s="22" t="s">
        <v>45</v>
      </c>
      <c r="V184" s="22" t="s">
        <v>45</v>
      </c>
      <c r="W184" s="22" t="s">
        <v>5689</v>
      </c>
    </row>
    <row r="185" ht="45.0" customHeight="1">
      <c r="A185" s="55" t="s">
        <v>830</v>
      </c>
      <c r="B185" s="62" t="s">
        <v>5690</v>
      </c>
      <c r="C185" s="22" t="str">
        <f>IMAGE("https://raw.githubusercontent.com/ltdimages/images/refs/heads/main/ClothHeadwearGlassLineStone_00.png")</f>
        <v/>
      </c>
      <c r="D185" s="22" t="str">
        <f>IMAGE("https://raw.githubusercontent.com/ltdimages/images/refs/heads/main/ClothHeadwearGlassLineStone_01.png")</f>
        <v/>
      </c>
      <c r="E185" s="22" t="str">
        <f>IMAGE("https://raw.githubusercontent.com/ltdimages/images/refs/heads/main/ClothHeadwearGlassLineStone_02.png")</f>
        <v/>
      </c>
      <c r="F185" s="22" t="str">
        <f>IMAGE("https://raw.githubusercontent.com/ltdimages/images/refs/heads/main/ClothHeadwearGlassLineStone_03.png")</f>
        <v/>
      </c>
      <c r="G185" s="22" t="str">
        <f>IMAGE("https://raw.githubusercontent.com/ltdimages/images/refs/heads/main/ClothHeadwearGlassLineStone_04.png")</f>
        <v/>
      </c>
      <c r="H185" s="22" t="str">
        <f>IMAGE("https://raw.githubusercontent.com/ltdimages/images/refs/heads/main/ClothHeadwearGlassLineStone_05.png")</f>
        <v/>
      </c>
      <c r="I185" s="22" t="s">
        <v>3095</v>
      </c>
      <c r="J185" s="22" t="s">
        <v>3095</v>
      </c>
      <c r="K185" s="63" t="s">
        <v>3244</v>
      </c>
      <c r="L185" s="23">
        <v>13.2</v>
      </c>
      <c r="M185" s="22" t="s">
        <v>3097</v>
      </c>
      <c r="N185" s="22" t="s">
        <v>3099</v>
      </c>
      <c r="O185" s="22" t="s">
        <v>45</v>
      </c>
      <c r="P185" s="22" t="s">
        <v>45</v>
      </c>
      <c r="Q185" s="22" t="s">
        <v>45</v>
      </c>
      <c r="R185" s="22" t="s">
        <v>45</v>
      </c>
      <c r="S185" s="22" t="s">
        <v>45</v>
      </c>
      <c r="T185" s="22" t="s">
        <v>5670</v>
      </c>
      <c r="U185" s="22" t="s">
        <v>45</v>
      </c>
      <c r="V185" s="22" t="s">
        <v>45</v>
      </c>
      <c r="W185" s="22" t="s">
        <v>5691</v>
      </c>
    </row>
    <row r="186" ht="45.0" customHeight="1">
      <c r="A186" s="55" t="s">
        <v>835</v>
      </c>
      <c r="B186" s="62" t="s">
        <v>5692</v>
      </c>
      <c r="C186" s="22" t="str">
        <f>IMAGE("https://raw.githubusercontent.com/ltdimages/images/refs/heads/main/ClothHeadwearGlassShield_00.png")</f>
        <v/>
      </c>
      <c r="D186" s="22" t="str">
        <f>IMAGE("https://raw.githubusercontent.com/ltdimages/images/refs/heads/main/ClothHeadwearGlassShield_01.png")</f>
        <v/>
      </c>
      <c r="E186" s="22" t="s">
        <v>3095</v>
      </c>
      <c r="F186" s="22" t="s">
        <v>3095</v>
      </c>
      <c r="G186" s="22" t="s">
        <v>3095</v>
      </c>
      <c r="H186" s="22" t="s">
        <v>3095</v>
      </c>
      <c r="I186" s="22" t="s">
        <v>3095</v>
      </c>
      <c r="J186" s="22" t="s">
        <v>3095</v>
      </c>
      <c r="K186" s="63" t="s">
        <v>3244</v>
      </c>
      <c r="L186" s="23">
        <v>12.5</v>
      </c>
      <c r="M186" s="22" t="s">
        <v>3097</v>
      </c>
      <c r="N186" s="22" t="s">
        <v>3099</v>
      </c>
      <c r="O186" s="22" t="s">
        <v>45</v>
      </c>
      <c r="P186" s="22" t="s">
        <v>45</v>
      </c>
      <c r="Q186" s="22" t="s">
        <v>45</v>
      </c>
      <c r="R186" s="22" t="s">
        <v>45</v>
      </c>
      <c r="S186" s="22" t="s">
        <v>45</v>
      </c>
      <c r="T186" s="22" t="s">
        <v>5670</v>
      </c>
      <c r="U186" s="22" t="s">
        <v>45</v>
      </c>
      <c r="V186" s="22" t="s">
        <v>45</v>
      </c>
      <c r="W186" s="22" t="s">
        <v>5693</v>
      </c>
    </row>
    <row r="187" ht="45.0" customHeight="1">
      <c r="A187" s="55" t="s">
        <v>839</v>
      </c>
      <c r="B187" s="62" t="s">
        <v>5694</v>
      </c>
      <c r="C187" s="22" t="str">
        <f>IMAGE("https://raw.githubusercontent.com/ltdimages/images/refs/heads/main/ClothHeadwearGlassShutter_00.png")</f>
        <v/>
      </c>
      <c r="D187" s="22" t="str">
        <f>IMAGE("https://raw.githubusercontent.com/ltdimages/images/refs/heads/main/ClothHeadwearGlassShutter_01.png")</f>
        <v/>
      </c>
      <c r="E187" s="22" t="str">
        <f>IMAGE("https://raw.githubusercontent.com/ltdimages/images/refs/heads/main/ClothHeadwearGlassShutter_02.png")</f>
        <v/>
      </c>
      <c r="F187" s="22" t="str">
        <f>IMAGE("https://raw.githubusercontent.com/ltdimages/images/refs/heads/main/ClothHeadwearGlassShutter_03.png")</f>
        <v/>
      </c>
      <c r="G187" s="22" t="str">
        <f>IMAGE("https://raw.githubusercontent.com/ltdimages/images/refs/heads/main/ClothHeadwearGlassShutter_04.png")</f>
        <v/>
      </c>
      <c r="H187" s="22" t="str">
        <f>IMAGE("https://raw.githubusercontent.com/ltdimages/images/refs/heads/main/ClothHeadwearGlassShutter_05.png")</f>
        <v/>
      </c>
      <c r="I187" s="22" t="str">
        <f>IMAGE("https://raw.githubusercontent.com/ltdimages/images/refs/heads/main/ClothHeadwearGlassShutter_06.png")</f>
        <v/>
      </c>
      <c r="J187" s="22" t="str">
        <f>IMAGE("https://raw.githubusercontent.com/ltdimages/images/refs/heads/main/ClothHeadwearGlassShutter_07.png")</f>
        <v/>
      </c>
      <c r="K187" s="63" t="s">
        <v>3244</v>
      </c>
      <c r="L187" s="23">
        <v>15.0</v>
      </c>
      <c r="M187" s="22" t="s">
        <v>3097</v>
      </c>
      <c r="N187" s="22" t="s">
        <v>3099</v>
      </c>
      <c r="O187" s="22" t="s">
        <v>45</v>
      </c>
      <c r="P187" s="22" t="s">
        <v>45</v>
      </c>
      <c r="Q187" s="22" t="s">
        <v>45</v>
      </c>
      <c r="R187" s="22" t="s">
        <v>45</v>
      </c>
      <c r="S187" s="22" t="s">
        <v>45</v>
      </c>
      <c r="T187" s="22" t="s">
        <v>5670</v>
      </c>
      <c r="U187" s="22" t="s">
        <v>45</v>
      </c>
      <c r="V187" s="22" t="s">
        <v>45</v>
      </c>
      <c r="W187" s="22" t="s">
        <v>5695</v>
      </c>
    </row>
    <row r="188" ht="45.0" customHeight="1">
      <c r="A188" s="55" t="s">
        <v>844</v>
      </c>
      <c r="B188" s="62" t="s">
        <v>4010</v>
      </c>
      <c r="C188" s="22" t="str">
        <f>IMAGE("https://raw.githubusercontent.com/ltdimages/images/refs/heads/main/ClothHeadwearGlassSnorkel_00.png")</f>
        <v/>
      </c>
      <c r="D188" s="22" t="str">
        <f>IMAGE("https://raw.githubusercontent.com/ltdimages/images/refs/heads/main/ClothHeadwearGlassSnorkel_01.png")</f>
        <v/>
      </c>
      <c r="E188" s="22" t="str">
        <f>IMAGE("https://raw.githubusercontent.com/ltdimages/images/refs/heads/main/ClothHeadwearGlassSnorkel_02.png")</f>
        <v/>
      </c>
      <c r="F188" s="22" t="str">
        <f>IMAGE("https://raw.githubusercontent.com/ltdimages/images/refs/heads/main/ClothHeadwearGlassSnorkel_03.png")</f>
        <v/>
      </c>
      <c r="G188" s="22" t="str">
        <f>IMAGE("https://raw.githubusercontent.com/ltdimages/images/refs/heads/main/ClothHeadwearGlassSnorkel_04.png")</f>
        <v/>
      </c>
      <c r="H188" s="22" t="str">
        <f>IMAGE("https://raw.githubusercontent.com/ltdimages/images/refs/heads/main/ClothHeadwearGlassSnorkel_05.png")</f>
        <v/>
      </c>
      <c r="I188" s="22" t="str">
        <f>IMAGE("https://raw.githubusercontent.com/ltdimages/images/refs/heads/main/ClothHeadwearGlassSnorkel_06.png")</f>
        <v/>
      </c>
      <c r="J188" s="22" t="str">
        <f>IMAGE("https://raw.githubusercontent.com/ltdimages/images/refs/heads/main/ClothHeadwearGlassSnorkel_07.png")</f>
        <v/>
      </c>
      <c r="K188" s="63" t="s">
        <v>3244</v>
      </c>
      <c r="L188" s="23">
        <v>18.0</v>
      </c>
      <c r="M188" s="22" t="s">
        <v>3097</v>
      </c>
      <c r="N188" s="22" t="s">
        <v>3099</v>
      </c>
      <c r="O188" s="22" t="s">
        <v>45</v>
      </c>
      <c r="P188" s="22" t="s">
        <v>45</v>
      </c>
      <c r="Q188" s="22" t="s">
        <v>49</v>
      </c>
      <c r="R188" s="22" t="s">
        <v>45</v>
      </c>
      <c r="S188" s="22" t="s">
        <v>45</v>
      </c>
      <c r="T188" s="22" t="s">
        <v>5670</v>
      </c>
      <c r="U188" s="22" t="s">
        <v>45</v>
      </c>
      <c r="V188" s="22" t="s">
        <v>45</v>
      </c>
      <c r="W188" s="22" t="s">
        <v>5696</v>
      </c>
    </row>
    <row r="189" ht="45.0" customHeight="1">
      <c r="A189" s="55" t="s">
        <v>848</v>
      </c>
      <c r="B189" s="62" t="s">
        <v>5697</v>
      </c>
      <c r="C189" s="22" t="str">
        <f>IMAGE("https://raw.githubusercontent.com/ltdimages/images/refs/heads/main/ClothHeadwearGlassStar_00.png")</f>
        <v/>
      </c>
      <c r="D189" s="22" t="str">
        <f>IMAGE("https://raw.githubusercontent.com/ltdimages/images/refs/heads/main/ClothHeadwearGlassStar_01.png")</f>
        <v/>
      </c>
      <c r="E189" s="22" t="str">
        <f>IMAGE("https://raw.githubusercontent.com/ltdimages/images/refs/heads/main/ClothHeadwearGlassStar_02.png")</f>
        <v/>
      </c>
      <c r="F189" s="22" t="str">
        <f>IMAGE("https://raw.githubusercontent.com/ltdimages/images/refs/heads/main/ClothHeadwearGlassStar_03.png")</f>
        <v/>
      </c>
      <c r="G189" s="22" t="str">
        <f>IMAGE("https://raw.githubusercontent.com/ltdimages/images/refs/heads/main/ClothHeadwearGlassStar_04.png")</f>
        <v/>
      </c>
      <c r="H189" s="22" t="str">
        <f>IMAGE("https://raw.githubusercontent.com/ltdimages/images/refs/heads/main/ClothHeadwearGlassStar_05.png")</f>
        <v/>
      </c>
      <c r="I189" s="22" t="str">
        <f>IMAGE("https://raw.githubusercontent.com/ltdimages/images/refs/heads/main/ClothHeadwearGlassStar_06.png")</f>
        <v/>
      </c>
      <c r="J189" s="22" t="str">
        <f>IMAGE("https://raw.githubusercontent.com/ltdimages/images/refs/heads/main/ClothHeadwearGlassStar_07.png")</f>
        <v/>
      </c>
      <c r="K189" s="63" t="s">
        <v>3244</v>
      </c>
      <c r="L189" s="23">
        <v>14.0</v>
      </c>
      <c r="M189" s="22" t="s">
        <v>3097</v>
      </c>
      <c r="N189" s="22" t="s">
        <v>3099</v>
      </c>
      <c r="O189" s="22" t="s">
        <v>45</v>
      </c>
      <c r="P189" s="22" t="s">
        <v>45</v>
      </c>
      <c r="Q189" s="22" t="s">
        <v>45</v>
      </c>
      <c r="R189" s="22" t="s">
        <v>45</v>
      </c>
      <c r="S189" s="22" t="s">
        <v>45</v>
      </c>
      <c r="T189" s="22" t="s">
        <v>5670</v>
      </c>
      <c r="U189" s="22" t="s">
        <v>45</v>
      </c>
      <c r="V189" s="22" t="s">
        <v>45</v>
      </c>
      <c r="W189" s="22" t="s">
        <v>5698</v>
      </c>
    </row>
    <row r="190" ht="45.0" customHeight="1">
      <c r="A190" s="55" t="s">
        <v>852</v>
      </c>
      <c r="B190" s="62" t="s">
        <v>5699</v>
      </c>
      <c r="C190" s="22" t="str">
        <f>IMAGE("https://raw.githubusercontent.com/ltdimages/images/refs/heads/main/ClothHeadwearGlassBottomBottom_00.png")</f>
        <v/>
      </c>
      <c r="D190" s="22" t="s">
        <v>3095</v>
      </c>
      <c r="E190" s="22" t="s">
        <v>3095</v>
      </c>
      <c r="F190" s="22" t="s">
        <v>3095</v>
      </c>
      <c r="G190" s="22" t="s">
        <v>3095</v>
      </c>
      <c r="H190" s="22" t="s">
        <v>3095</v>
      </c>
      <c r="I190" s="22" t="s">
        <v>3095</v>
      </c>
      <c r="J190" s="22" t="s">
        <v>3095</v>
      </c>
      <c r="K190" s="63" t="s">
        <v>3244</v>
      </c>
      <c r="L190" s="23">
        <v>12.0</v>
      </c>
      <c r="M190" s="22" t="s">
        <v>3097</v>
      </c>
      <c r="N190" s="22" t="s">
        <v>3099</v>
      </c>
      <c r="O190" s="22" t="s">
        <v>45</v>
      </c>
      <c r="P190" s="22" t="s">
        <v>45</v>
      </c>
      <c r="Q190" s="22" t="s">
        <v>45</v>
      </c>
      <c r="R190" s="22" t="s">
        <v>45</v>
      </c>
      <c r="S190" s="22" t="s">
        <v>45</v>
      </c>
      <c r="T190" s="22" t="s">
        <v>5670</v>
      </c>
      <c r="U190" s="22" t="s">
        <v>45</v>
      </c>
      <c r="V190" s="22" t="s">
        <v>45</v>
      </c>
      <c r="W190" s="22" t="s">
        <v>5700</v>
      </c>
    </row>
    <row r="191" ht="45.0" customHeight="1">
      <c r="A191" s="55" t="s">
        <v>856</v>
      </c>
      <c r="B191" s="62" t="s">
        <v>5701</v>
      </c>
      <c r="C191" s="22" t="str">
        <f>IMAGE("https://raw.githubusercontent.com/ltdimages/images/refs/heads/main/ClothHeadwearGlassHMD_00.png")</f>
        <v/>
      </c>
      <c r="D191" s="22" t="str">
        <f>IMAGE("https://raw.githubusercontent.com/ltdimages/images/refs/heads/main/ClothHeadwearGlassHMD_01.png")</f>
        <v/>
      </c>
      <c r="E191" s="22" t="str">
        <f>IMAGE("https://raw.githubusercontent.com/ltdimages/images/refs/heads/main/ClothHeadwearGlassHMD_02.png")</f>
        <v/>
      </c>
      <c r="F191" s="22" t="str">
        <f>IMAGE("https://raw.githubusercontent.com/ltdimages/images/refs/heads/main/ClothHeadwearGlassHMD_03.png")</f>
        <v/>
      </c>
      <c r="G191" s="22" t="str">
        <f>IMAGE("https://raw.githubusercontent.com/ltdimages/images/refs/heads/main/ClothHeadwearGlassHMD_04.png")</f>
        <v/>
      </c>
      <c r="H191" s="22" t="str">
        <f>IMAGE("https://raw.githubusercontent.com/ltdimages/images/refs/heads/main/ClothHeadwearGlassHMD_05.png")</f>
        <v/>
      </c>
      <c r="I191" s="22" t="s">
        <v>3095</v>
      </c>
      <c r="J191" s="22" t="s">
        <v>3095</v>
      </c>
      <c r="K191" s="63" t="s">
        <v>3244</v>
      </c>
      <c r="L191" s="23">
        <v>38.7</v>
      </c>
      <c r="M191" s="22" t="s">
        <v>3097</v>
      </c>
      <c r="N191" s="22" t="s">
        <v>3099</v>
      </c>
      <c r="O191" s="22" t="s">
        <v>45</v>
      </c>
      <c r="P191" s="22" t="s">
        <v>45</v>
      </c>
      <c r="Q191" s="22" t="s">
        <v>45</v>
      </c>
      <c r="R191" s="22" t="s">
        <v>45</v>
      </c>
      <c r="S191" s="22" t="s">
        <v>45</v>
      </c>
      <c r="T191" s="22" t="s">
        <v>5670</v>
      </c>
      <c r="U191" s="22" t="s">
        <v>45</v>
      </c>
      <c r="V191" s="22" t="s">
        <v>45</v>
      </c>
      <c r="W191" s="22" t="s">
        <v>5702</v>
      </c>
    </row>
    <row r="192" ht="45.0" customHeight="1">
      <c r="A192" s="55" t="s">
        <v>860</v>
      </c>
      <c r="B192" s="62" t="s">
        <v>5703</v>
      </c>
      <c r="C192" s="22" t="str">
        <f>IMAGE("https://raw.githubusercontent.com/ltdimages/images/refs/heads/main/ClothHeadwearMaskAnimal_00.png")</f>
        <v/>
      </c>
      <c r="D192" s="22" t="str">
        <f>IMAGE("https://raw.githubusercontent.com/ltdimages/images/refs/heads/main/ClothHeadwearMaskAnimal_01.png")</f>
        <v/>
      </c>
      <c r="E192" s="22" t="str">
        <f>IMAGE("https://raw.githubusercontent.com/ltdimages/images/refs/heads/main/ClothHeadwearMaskAnimal_02.png")</f>
        <v/>
      </c>
      <c r="F192" s="22" t="s">
        <v>3095</v>
      </c>
      <c r="G192" s="22" t="s">
        <v>3095</v>
      </c>
      <c r="H192" s="22" t="s">
        <v>3095</v>
      </c>
      <c r="I192" s="22" t="s">
        <v>3095</v>
      </c>
      <c r="J192" s="22" t="s">
        <v>3095</v>
      </c>
      <c r="K192" s="63" t="s">
        <v>3244</v>
      </c>
      <c r="L192" s="23">
        <v>13.5</v>
      </c>
      <c r="M192" s="22" t="s">
        <v>3097</v>
      </c>
      <c r="N192" s="22" t="s">
        <v>3099</v>
      </c>
      <c r="O192" s="22" t="s">
        <v>45</v>
      </c>
      <c r="P192" s="22" t="s">
        <v>45</v>
      </c>
      <c r="Q192" s="22" t="s">
        <v>45</v>
      </c>
      <c r="R192" s="22" t="s">
        <v>49</v>
      </c>
      <c r="S192" s="22" t="s">
        <v>45</v>
      </c>
      <c r="T192" s="22" t="s">
        <v>5704</v>
      </c>
      <c r="U192" s="22" t="s">
        <v>45</v>
      </c>
      <c r="V192" s="22" t="s">
        <v>45</v>
      </c>
      <c r="W192" s="22" t="s">
        <v>5705</v>
      </c>
    </row>
    <row r="193" ht="45.0" customHeight="1">
      <c r="A193" s="55" t="s">
        <v>864</v>
      </c>
      <c r="B193" s="62" t="s">
        <v>5706</v>
      </c>
      <c r="C193" s="22" t="str">
        <f>IMAGE("https://raw.githubusercontent.com/ltdimages/images/refs/heads/main/ClothHeadwearMaskPlain_00.png")</f>
        <v/>
      </c>
      <c r="D193" s="22" t="str">
        <f>IMAGE("https://raw.githubusercontent.com/ltdimages/images/refs/heads/main/ClothHeadwearMaskPlain_01.png")</f>
        <v/>
      </c>
      <c r="E193" s="22" t="str">
        <f>IMAGE("https://raw.githubusercontent.com/ltdimages/images/refs/heads/main/ClothHeadwearMaskPlain_02.png")</f>
        <v/>
      </c>
      <c r="F193" s="22" t="str">
        <f>IMAGE("https://raw.githubusercontent.com/ltdimages/images/refs/heads/main/ClothHeadwearMaskPlain_03.png")</f>
        <v/>
      </c>
      <c r="G193" s="22" t="str">
        <f>IMAGE("https://raw.githubusercontent.com/ltdimages/images/refs/heads/main/ClothHeadwearMaskPlain_04.png")</f>
        <v/>
      </c>
      <c r="H193" s="22" t="str">
        <f>IMAGE("https://raw.githubusercontent.com/ltdimages/images/refs/heads/main/ClothHeadwearMaskPlain_05.png")</f>
        <v/>
      </c>
      <c r="I193" s="22" t="str">
        <f>IMAGE("https://raw.githubusercontent.com/ltdimages/images/refs/heads/main/ClothHeadwearMaskPlain_06.png")</f>
        <v/>
      </c>
      <c r="J193" s="22" t="str">
        <f>IMAGE("https://raw.githubusercontent.com/ltdimages/images/refs/heads/main/ClothHeadwearMaskPlain_07.png")</f>
        <v/>
      </c>
      <c r="K193" s="63" t="s">
        <v>3244</v>
      </c>
      <c r="L193" s="23">
        <v>14.3</v>
      </c>
      <c r="M193" s="22" t="s">
        <v>3097</v>
      </c>
      <c r="N193" s="22" t="s">
        <v>3099</v>
      </c>
      <c r="O193" s="22" t="s">
        <v>45</v>
      </c>
      <c r="P193" s="22" t="s">
        <v>45</v>
      </c>
      <c r="Q193" s="22" t="s">
        <v>45</v>
      </c>
      <c r="R193" s="22" t="s">
        <v>49</v>
      </c>
      <c r="S193" s="22" t="s">
        <v>45</v>
      </c>
      <c r="T193" s="22" t="s">
        <v>5704</v>
      </c>
      <c r="U193" s="22" t="s">
        <v>45</v>
      </c>
      <c r="V193" s="22" t="s">
        <v>45</v>
      </c>
      <c r="W193" s="22" t="s">
        <v>5707</v>
      </c>
    </row>
    <row r="194" ht="45.0" customHeight="1">
      <c r="A194" s="55" t="s">
        <v>868</v>
      </c>
      <c r="B194" s="62" t="s">
        <v>5708</v>
      </c>
      <c r="C194" s="22" t="str">
        <f>IMAGE("https://raw.githubusercontent.com/ltdimages/images/refs/heads/main/ClothHeadwearMaskPierrot_00.png")</f>
        <v/>
      </c>
      <c r="D194" s="22" t="str">
        <f>IMAGE("https://raw.githubusercontent.com/ltdimages/images/refs/heads/main/ClothHeadwearMaskPierrot_01.png")</f>
        <v/>
      </c>
      <c r="E194" s="22" t="str">
        <f>IMAGE("https://raw.githubusercontent.com/ltdimages/images/refs/heads/main/ClothHeadwearMaskPierrot_02.png")</f>
        <v/>
      </c>
      <c r="F194" s="22" t="str">
        <f>IMAGE("https://raw.githubusercontent.com/ltdimages/images/refs/heads/main/ClothHeadwearMaskPierrot_03.png")</f>
        <v/>
      </c>
      <c r="G194" s="22" t="s">
        <v>3095</v>
      </c>
      <c r="H194" s="22" t="s">
        <v>3095</v>
      </c>
      <c r="I194" s="22" t="s">
        <v>3095</v>
      </c>
      <c r="J194" s="22" t="s">
        <v>3095</v>
      </c>
      <c r="K194" s="63" t="s">
        <v>3244</v>
      </c>
      <c r="L194" s="23">
        <v>15.0</v>
      </c>
      <c r="M194" s="22" t="s">
        <v>3097</v>
      </c>
      <c r="N194" s="22" t="s">
        <v>3099</v>
      </c>
      <c r="O194" s="22" t="s">
        <v>45</v>
      </c>
      <c r="P194" s="22" t="s">
        <v>45</v>
      </c>
      <c r="Q194" s="22" t="s">
        <v>45</v>
      </c>
      <c r="R194" s="22" t="s">
        <v>49</v>
      </c>
      <c r="S194" s="22" t="s">
        <v>45</v>
      </c>
      <c r="T194" s="22" t="s">
        <v>5704</v>
      </c>
      <c r="U194" s="22" t="s">
        <v>45</v>
      </c>
      <c r="V194" s="22" t="s">
        <v>45</v>
      </c>
      <c r="W194" s="22" t="s">
        <v>5709</v>
      </c>
    </row>
    <row r="195" ht="45.0" customHeight="1">
      <c r="A195" s="55" t="s">
        <v>872</v>
      </c>
      <c r="B195" s="62" t="s">
        <v>5710</v>
      </c>
      <c r="C195" s="22" t="str">
        <f>IMAGE("https://raw.githubusercontent.com/ltdimages/images/refs/heads/main/ClothHeadwearMaskCrow_00.png")</f>
        <v/>
      </c>
      <c r="D195" s="22" t="str">
        <f>IMAGE("https://raw.githubusercontent.com/ltdimages/images/refs/heads/main/ClothHeadwearMaskCrow_01.png")</f>
        <v/>
      </c>
      <c r="E195" s="22" t="str">
        <f>IMAGE("https://raw.githubusercontent.com/ltdimages/images/refs/heads/main/ClothHeadwearMaskCrow_02.png")</f>
        <v/>
      </c>
      <c r="F195" s="22" t="s">
        <v>3095</v>
      </c>
      <c r="G195" s="22" t="s">
        <v>3095</v>
      </c>
      <c r="H195" s="22" t="s">
        <v>3095</v>
      </c>
      <c r="I195" s="22" t="s">
        <v>3095</v>
      </c>
      <c r="J195" s="22" t="s">
        <v>3095</v>
      </c>
      <c r="K195" s="63" t="s">
        <v>3244</v>
      </c>
      <c r="L195" s="23">
        <v>29.0</v>
      </c>
      <c r="M195" s="22" t="s">
        <v>3097</v>
      </c>
      <c r="N195" s="22" t="s">
        <v>3099</v>
      </c>
      <c r="O195" s="22" t="s">
        <v>45</v>
      </c>
      <c r="P195" s="22" t="s">
        <v>45</v>
      </c>
      <c r="Q195" s="22" t="s">
        <v>45</v>
      </c>
      <c r="R195" s="22" t="s">
        <v>49</v>
      </c>
      <c r="S195" s="22" t="s">
        <v>45</v>
      </c>
      <c r="T195" s="22" t="s">
        <v>5704</v>
      </c>
      <c r="U195" s="22" t="s">
        <v>45</v>
      </c>
      <c r="V195" s="22" t="s">
        <v>45</v>
      </c>
      <c r="W195" s="22" t="s">
        <v>5711</v>
      </c>
    </row>
    <row r="196" ht="45.0" customHeight="1">
      <c r="A196" s="55" t="s">
        <v>877</v>
      </c>
      <c r="B196" s="62" t="s">
        <v>5712</v>
      </c>
      <c r="C196" s="22" t="str">
        <f>IMAGE("https://raw.githubusercontent.com/ltdimages/images/refs/heads/main/ClothHeadwearMaskGasMask_00.png")</f>
        <v/>
      </c>
      <c r="D196" s="22" t="str">
        <f>IMAGE("https://raw.githubusercontent.com/ltdimages/images/refs/heads/main/ClothHeadwearMaskGasMask_01.png")</f>
        <v/>
      </c>
      <c r="E196" s="22" t="str">
        <f>IMAGE("https://raw.githubusercontent.com/ltdimages/images/refs/heads/main/ClothHeadwearMaskGasMask_02.png")</f>
        <v/>
      </c>
      <c r="F196" s="22" t="str">
        <f>IMAGE("https://raw.githubusercontent.com/ltdimages/images/refs/heads/main/ClothHeadwearMaskGasMask_03.png")</f>
        <v/>
      </c>
      <c r="G196" s="22" t="str">
        <f>IMAGE("https://raw.githubusercontent.com/ltdimages/images/refs/heads/main/ClothHeadwearMaskGasMask_04.png")</f>
        <v/>
      </c>
      <c r="H196" s="22" t="str">
        <f>IMAGE("https://raw.githubusercontent.com/ltdimages/images/refs/heads/main/ClothHeadwearMaskGasMask_05.png")</f>
        <v/>
      </c>
      <c r="I196" s="22" t="s">
        <v>3095</v>
      </c>
      <c r="J196" s="22" t="s">
        <v>3095</v>
      </c>
      <c r="K196" s="63" t="s">
        <v>3244</v>
      </c>
      <c r="L196" s="23">
        <v>29.0</v>
      </c>
      <c r="M196" s="22" t="s">
        <v>3097</v>
      </c>
      <c r="N196" s="22" t="s">
        <v>3099</v>
      </c>
      <c r="O196" s="22" t="s">
        <v>45</v>
      </c>
      <c r="P196" s="22" t="s">
        <v>45</v>
      </c>
      <c r="Q196" s="22" t="s">
        <v>45</v>
      </c>
      <c r="R196" s="22" t="s">
        <v>49</v>
      </c>
      <c r="S196" s="22" t="s">
        <v>45</v>
      </c>
      <c r="T196" s="22" t="s">
        <v>5704</v>
      </c>
      <c r="U196" s="22" t="s">
        <v>45</v>
      </c>
      <c r="V196" s="22" t="s">
        <v>45</v>
      </c>
      <c r="W196" s="22" t="s">
        <v>5713</v>
      </c>
    </row>
    <row r="197" ht="45.0" customHeight="1">
      <c r="A197" s="55" t="s">
        <v>881</v>
      </c>
      <c r="B197" s="62" t="s">
        <v>5714</v>
      </c>
      <c r="C197" s="22" t="str">
        <f>IMAGE("https://raw.githubusercontent.com/ltdimages/images/refs/heads/main/ClothHeadwearMaskHockey_00.png")</f>
        <v/>
      </c>
      <c r="D197" s="22" t="s">
        <v>3095</v>
      </c>
      <c r="E197" s="22" t="s">
        <v>3095</v>
      </c>
      <c r="F197" s="22" t="s">
        <v>3095</v>
      </c>
      <c r="G197" s="22" t="s">
        <v>3095</v>
      </c>
      <c r="H197" s="22" t="s">
        <v>3095</v>
      </c>
      <c r="I197" s="22" t="s">
        <v>3095</v>
      </c>
      <c r="J197" s="22" t="s">
        <v>3095</v>
      </c>
      <c r="K197" s="63" t="s">
        <v>3244</v>
      </c>
      <c r="L197" s="23">
        <v>18.7</v>
      </c>
      <c r="M197" s="22" t="s">
        <v>3097</v>
      </c>
      <c r="N197" s="22" t="s">
        <v>3099</v>
      </c>
      <c r="O197" s="22" t="s">
        <v>45</v>
      </c>
      <c r="P197" s="22" t="s">
        <v>45</v>
      </c>
      <c r="Q197" s="22" t="s">
        <v>45</v>
      </c>
      <c r="R197" s="22" t="s">
        <v>45</v>
      </c>
      <c r="S197" s="22" t="s">
        <v>45</v>
      </c>
      <c r="T197" s="22" t="s">
        <v>5704</v>
      </c>
      <c r="U197" s="22" t="s">
        <v>45</v>
      </c>
      <c r="V197" s="22" t="s">
        <v>45</v>
      </c>
      <c r="W197" s="22" t="s">
        <v>5715</v>
      </c>
    </row>
    <row r="198" ht="45.0" customHeight="1">
      <c r="A198" s="55" t="s">
        <v>885</v>
      </c>
      <c r="B198" s="62" t="s">
        <v>5716</v>
      </c>
      <c r="C198" s="22" t="str">
        <f>IMAGE("https://raw.githubusercontent.com/ltdimages/images/refs/heads/main/ClothHeadwearMaskFox_00.png")</f>
        <v/>
      </c>
      <c r="D198" s="22" t="str">
        <f>IMAGE("https://raw.githubusercontent.com/ltdimages/images/refs/heads/main/ClothHeadwearMaskFox_01.png")</f>
        <v/>
      </c>
      <c r="E198" s="22" t="str">
        <f>IMAGE("https://raw.githubusercontent.com/ltdimages/images/refs/heads/main/ClothHeadwearMaskFox_02.png")</f>
        <v/>
      </c>
      <c r="F198" s="22" t="str">
        <f>IMAGE("https://raw.githubusercontent.com/ltdimages/images/refs/heads/main/ClothHeadwearMaskFox_03.png")</f>
        <v/>
      </c>
      <c r="G198" s="22" t="str">
        <f>IMAGE("https://raw.githubusercontent.com/ltdimages/images/refs/heads/main/ClothHeadwearMaskFox_04.png")</f>
        <v/>
      </c>
      <c r="H198" s="22" t="str">
        <f>IMAGE("https://raw.githubusercontent.com/ltdimages/images/refs/heads/main/ClothHeadwearMaskFox_05.png")</f>
        <v/>
      </c>
      <c r="I198" s="22" t="s">
        <v>3095</v>
      </c>
      <c r="J198" s="22" t="s">
        <v>3095</v>
      </c>
      <c r="K198" s="63" t="s">
        <v>3244</v>
      </c>
      <c r="L198" s="23">
        <v>30.0</v>
      </c>
      <c r="M198" s="22" t="s">
        <v>3097</v>
      </c>
      <c r="N198" s="22" t="s">
        <v>3099</v>
      </c>
      <c r="O198" s="22" t="s">
        <v>45</v>
      </c>
      <c r="P198" s="22" t="s">
        <v>45</v>
      </c>
      <c r="Q198" s="22" t="s">
        <v>45</v>
      </c>
      <c r="R198" s="22" t="s">
        <v>49</v>
      </c>
      <c r="S198" s="22" t="s">
        <v>45</v>
      </c>
      <c r="T198" s="22" t="s">
        <v>5704</v>
      </c>
      <c r="U198" s="22" t="s">
        <v>45</v>
      </c>
      <c r="V198" s="22" t="s">
        <v>45</v>
      </c>
      <c r="W198" s="22" t="s">
        <v>5717</v>
      </c>
    </row>
    <row r="199" ht="45.0" customHeight="1">
      <c r="A199" s="55" t="s">
        <v>889</v>
      </c>
      <c r="B199" s="62" t="s">
        <v>5718</v>
      </c>
      <c r="C199" s="22" t="str">
        <f>IMAGE("https://raw.githubusercontent.com/ltdimages/images/refs/heads/main/ClothHeadwearMaskMask_00.png")</f>
        <v/>
      </c>
      <c r="D199" s="22" t="str">
        <f>IMAGE("https://raw.githubusercontent.com/ltdimages/images/refs/heads/main/ClothHeadwearMaskMask_01.png")</f>
        <v/>
      </c>
      <c r="E199" s="22" t="str">
        <f>IMAGE("https://raw.githubusercontent.com/ltdimages/images/refs/heads/main/ClothHeadwearMaskMask_02.png")</f>
        <v/>
      </c>
      <c r="F199" s="22" t="str">
        <f>IMAGE("https://raw.githubusercontent.com/ltdimages/images/refs/heads/main/ClothHeadwearMaskMask_03.png")</f>
        <v/>
      </c>
      <c r="G199" s="22" t="str">
        <f>IMAGE("https://raw.githubusercontent.com/ltdimages/images/refs/heads/main/ClothHeadwearMaskMask_04.png")</f>
        <v/>
      </c>
      <c r="H199" s="22" t="str">
        <f>IMAGE("https://raw.githubusercontent.com/ltdimages/images/refs/heads/main/ClothHeadwearMaskMask_05.png")</f>
        <v/>
      </c>
      <c r="I199" s="22" t="str">
        <f>IMAGE("https://raw.githubusercontent.com/ltdimages/images/refs/heads/main/ClothHeadwearMaskMask_06.png")</f>
        <v/>
      </c>
      <c r="J199" s="22" t="str">
        <f>IMAGE("https://raw.githubusercontent.com/ltdimages/images/refs/heads/main/ClothHeadwearMaskMask_07.png")</f>
        <v/>
      </c>
      <c r="K199" s="63" t="s">
        <v>3244</v>
      </c>
      <c r="L199" s="23">
        <v>1.0</v>
      </c>
      <c r="M199" s="22" t="s">
        <v>3097</v>
      </c>
      <c r="N199" s="22" t="s">
        <v>3099</v>
      </c>
      <c r="O199" s="22" t="s">
        <v>45</v>
      </c>
      <c r="P199" s="22" t="s">
        <v>45</v>
      </c>
      <c r="Q199" s="22" t="s">
        <v>45</v>
      </c>
      <c r="R199" s="22" t="s">
        <v>45</v>
      </c>
      <c r="S199" s="22" t="s">
        <v>45</v>
      </c>
      <c r="T199" s="22" t="s">
        <v>5719</v>
      </c>
      <c r="U199" s="22" t="s">
        <v>45</v>
      </c>
      <c r="V199" s="22" t="s">
        <v>45</v>
      </c>
      <c r="W199" s="22" t="s">
        <v>5720</v>
      </c>
    </row>
    <row r="200" ht="45.0" customHeight="1">
      <c r="A200" s="55" t="s">
        <v>893</v>
      </c>
      <c r="B200" s="62" t="s">
        <v>3767</v>
      </c>
      <c r="C200" s="22" t="str">
        <f>IMAGE("https://raw.githubusercontent.com/ltdimages/images/refs/heads/main/ClothHeadwearMaskOgre_00.png")</f>
        <v/>
      </c>
      <c r="D200" s="22" t="str">
        <f>IMAGE("https://raw.githubusercontent.com/ltdimages/images/refs/heads/main/ClothHeadwearMaskOgre_01.png")</f>
        <v/>
      </c>
      <c r="E200" s="22" t="str">
        <f>IMAGE("https://raw.githubusercontent.com/ltdimages/images/refs/heads/main/ClothHeadwearMaskOgre_02.png")</f>
        <v/>
      </c>
      <c r="F200" s="22" t="str">
        <f>IMAGE("https://raw.githubusercontent.com/ltdimages/images/refs/heads/main/ClothHeadwearMaskOgre_03.png")</f>
        <v/>
      </c>
      <c r="G200" s="22" t="s">
        <v>3095</v>
      </c>
      <c r="H200" s="22" t="s">
        <v>3095</v>
      </c>
      <c r="I200" s="22" t="s">
        <v>3095</v>
      </c>
      <c r="J200" s="22" t="s">
        <v>3095</v>
      </c>
      <c r="K200" s="63" t="s">
        <v>3244</v>
      </c>
      <c r="L200" s="23">
        <v>21.0</v>
      </c>
      <c r="M200" s="22" t="s">
        <v>3097</v>
      </c>
      <c r="N200" s="22" t="s">
        <v>3099</v>
      </c>
      <c r="O200" s="22" t="s">
        <v>45</v>
      </c>
      <c r="P200" s="22" t="s">
        <v>45</v>
      </c>
      <c r="Q200" s="22" t="s">
        <v>45</v>
      </c>
      <c r="R200" s="22" t="s">
        <v>49</v>
      </c>
      <c r="S200" s="22" t="s">
        <v>45</v>
      </c>
      <c r="T200" s="22" t="s">
        <v>5704</v>
      </c>
      <c r="U200" s="22" t="s">
        <v>45</v>
      </c>
      <c r="V200" s="22" t="s">
        <v>45</v>
      </c>
      <c r="W200" s="22" t="s">
        <v>5721</v>
      </c>
    </row>
    <row r="201" ht="45.0" customHeight="1">
      <c r="A201" s="55" t="s">
        <v>897</v>
      </c>
      <c r="B201" s="62" t="s">
        <v>5722</v>
      </c>
      <c r="C201" s="22" t="str">
        <f>IMAGE("https://raw.githubusercontent.com/ltdimages/images/refs/heads/main/ClothHeadwearMaskPrintMask_00.png")</f>
        <v/>
      </c>
      <c r="D201" s="22" t="str">
        <f>IMAGE("https://raw.githubusercontent.com/ltdimages/images/refs/heads/main/ClothHeadwearMaskPrintMask_01.png")</f>
        <v/>
      </c>
      <c r="E201" s="22" t="str">
        <f>IMAGE("https://raw.githubusercontent.com/ltdimages/images/refs/heads/main/ClothHeadwearMaskPrintMask_02.png")</f>
        <v/>
      </c>
      <c r="F201" s="22" t="str">
        <f>IMAGE("https://raw.githubusercontent.com/ltdimages/images/refs/heads/main/ClothHeadwearMaskPrintMask_03.png")</f>
        <v/>
      </c>
      <c r="G201" s="22" t="str">
        <f>IMAGE("https://raw.githubusercontent.com/ltdimages/images/refs/heads/main/ClothHeadwearMaskPrintMask_04.png")</f>
        <v/>
      </c>
      <c r="H201" s="22" t="str">
        <f>IMAGE("https://raw.githubusercontent.com/ltdimages/images/refs/heads/main/ClothHeadwearMaskPrintMask_05.png")</f>
        <v/>
      </c>
      <c r="I201" s="22" t="str">
        <f>IMAGE("https://raw.githubusercontent.com/ltdimages/images/refs/heads/main/ClothHeadwearMaskPrintMask_06.png")</f>
        <v/>
      </c>
      <c r="J201" s="22" t="str">
        <f>IMAGE("https://raw.githubusercontent.com/ltdimages/images/refs/heads/main/ClothHeadwearMaskPrintMask_07.png")</f>
        <v/>
      </c>
      <c r="K201" s="63" t="s">
        <v>3244</v>
      </c>
      <c r="L201" s="23">
        <v>8.0</v>
      </c>
      <c r="M201" s="22" t="s">
        <v>3097</v>
      </c>
      <c r="N201" s="22" t="s">
        <v>3099</v>
      </c>
      <c r="O201" s="22" t="s">
        <v>45</v>
      </c>
      <c r="P201" s="22" t="s">
        <v>45</v>
      </c>
      <c r="Q201" s="22" t="s">
        <v>45</v>
      </c>
      <c r="R201" s="22" t="s">
        <v>45</v>
      </c>
      <c r="S201" s="22" t="s">
        <v>45</v>
      </c>
      <c r="T201" s="22" t="s">
        <v>5719</v>
      </c>
      <c r="U201" s="22" t="s">
        <v>45</v>
      </c>
      <c r="V201" s="22" t="s">
        <v>45</v>
      </c>
      <c r="W201" s="22" t="s">
        <v>5723</v>
      </c>
    </row>
    <row r="202" ht="45.0" customHeight="1">
      <c r="A202" s="55" t="s">
        <v>901</v>
      </c>
      <c r="B202" s="62" t="s">
        <v>5724</v>
      </c>
      <c r="C202" s="22" t="str">
        <f>IMAGE("https://raw.githubusercontent.com/ltdimages/images/refs/heads/main/ClothHeadwearMaskKatrina_00.png")</f>
        <v/>
      </c>
      <c r="D202" s="22" t="str">
        <f>IMAGE("https://raw.githubusercontent.com/ltdimages/images/refs/heads/main/ClothHeadwearMaskKatrina_01.png")</f>
        <v/>
      </c>
      <c r="E202" s="22" t="str">
        <f>IMAGE("https://raw.githubusercontent.com/ltdimages/images/refs/heads/main/ClothHeadwearMaskKatrina_02.png")</f>
        <v/>
      </c>
      <c r="F202" s="22" t="str">
        <f>IMAGE("https://raw.githubusercontent.com/ltdimages/images/refs/heads/main/ClothHeadwearMaskKatrina_03.png")</f>
        <v/>
      </c>
      <c r="G202" s="22" t="str">
        <f>IMAGE("https://raw.githubusercontent.com/ltdimages/images/refs/heads/main/ClothHeadwearMaskKatrina_04.png")</f>
        <v/>
      </c>
      <c r="H202" s="22" t="str">
        <f>IMAGE("https://raw.githubusercontent.com/ltdimages/images/refs/heads/main/ClothHeadwearMaskKatrina_05.png")</f>
        <v/>
      </c>
      <c r="I202" s="22" t="s">
        <v>3095</v>
      </c>
      <c r="J202" s="22" t="s">
        <v>3095</v>
      </c>
      <c r="K202" s="63" t="s">
        <v>3244</v>
      </c>
      <c r="L202" s="23">
        <v>22.0</v>
      </c>
      <c r="M202" s="22" t="s">
        <v>3097</v>
      </c>
      <c r="N202" s="22" t="s">
        <v>3099</v>
      </c>
      <c r="O202" s="22" t="s">
        <v>45</v>
      </c>
      <c r="P202" s="22" t="s">
        <v>45</v>
      </c>
      <c r="Q202" s="22" t="s">
        <v>45</v>
      </c>
      <c r="R202" s="22" t="s">
        <v>49</v>
      </c>
      <c r="S202" s="22" t="s">
        <v>45</v>
      </c>
      <c r="T202" s="22" t="s">
        <v>5704</v>
      </c>
      <c r="U202" s="22" t="s">
        <v>45</v>
      </c>
      <c r="V202" s="22" t="s">
        <v>45</v>
      </c>
      <c r="W202" s="22" t="s">
        <v>5725</v>
      </c>
    </row>
    <row r="203" ht="45.0" customHeight="1">
      <c r="A203" s="55" t="s">
        <v>905</v>
      </c>
      <c r="B203" s="62" t="s">
        <v>5726</v>
      </c>
      <c r="C203" s="22" t="str">
        <f>IMAGE("https://raw.githubusercontent.com/ltdimages/images/refs/heads/main/ClothHeadwearMaskWelding_00.png")</f>
        <v/>
      </c>
      <c r="D203" s="22" t="str">
        <f>IMAGE("https://raw.githubusercontent.com/ltdimages/images/refs/heads/main/ClothHeadwearMaskWelding_01.png")</f>
        <v/>
      </c>
      <c r="E203" s="22" t="s">
        <v>3095</v>
      </c>
      <c r="F203" s="22" t="s">
        <v>3095</v>
      </c>
      <c r="G203" s="22" t="s">
        <v>3095</v>
      </c>
      <c r="H203" s="22" t="s">
        <v>3095</v>
      </c>
      <c r="I203" s="22" t="s">
        <v>3095</v>
      </c>
      <c r="J203" s="22" t="s">
        <v>3095</v>
      </c>
      <c r="K203" s="63" t="s">
        <v>3244</v>
      </c>
      <c r="L203" s="23">
        <v>20.0</v>
      </c>
      <c r="M203" s="22" t="s">
        <v>3097</v>
      </c>
      <c r="N203" s="22" t="s">
        <v>3099</v>
      </c>
      <c r="O203" s="22" t="s">
        <v>45</v>
      </c>
      <c r="P203" s="22" t="s">
        <v>45</v>
      </c>
      <c r="Q203" s="22" t="s">
        <v>45</v>
      </c>
      <c r="R203" s="22" t="s">
        <v>49</v>
      </c>
      <c r="S203" s="22" t="s">
        <v>45</v>
      </c>
      <c r="T203" s="22" t="s">
        <v>5704</v>
      </c>
      <c r="U203" s="22" t="s">
        <v>45</v>
      </c>
      <c r="V203" s="22" t="s">
        <v>45</v>
      </c>
      <c r="W203" s="22" t="s">
        <v>5727</v>
      </c>
    </row>
    <row r="204" ht="45.0" customHeight="1">
      <c r="A204" s="55" t="s">
        <v>909</v>
      </c>
      <c r="B204" s="62" t="s">
        <v>3133</v>
      </c>
      <c r="C204" s="22" t="str">
        <f>IMAGE("https://raw.githubusercontent.com/ltdimages/images/refs/heads/main/ClothHeadwearOrnamentTopAngel_00.png")</f>
        <v/>
      </c>
      <c r="D204" s="22" t="s">
        <v>3095</v>
      </c>
      <c r="E204" s="22" t="s">
        <v>3095</v>
      </c>
      <c r="F204" s="22" t="s">
        <v>3095</v>
      </c>
      <c r="G204" s="22" t="s">
        <v>3095</v>
      </c>
      <c r="H204" s="22" t="s">
        <v>3095</v>
      </c>
      <c r="I204" s="22" t="s">
        <v>3095</v>
      </c>
      <c r="J204" s="22" t="s">
        <v>3095</v>
      </c>
      <c r="K204" s="63" t="s">
        <v>3244</v>
      </c>
      <c r="L204" s="23">
        <v>20.0</v>
      </c>
      <c r="M204" s="22" t="s">
        <v>3097</v>
      </c>
      <c r="N204" s="22" t="s">
        <v>3099</v>
      </c>
      <c r="O204" s="22" t="s">
        <v>45</v>
      </c>
      <c r="P204" s="22" t="s">
        <v>45</v>
      </c>
      <c r="Q204" s="22" t="s">
        <v>45</v>
      </c>
      <c r="R204" s="22" t="s">
        <v>49</v>
      </c>
      <c r="S204" s="22" t="s">
        <v>45</v>
      </c>
      <c r="T204" s="22" t="s">
        <v>2956</v>
      </c>
      <c r="U204" s="22" t="s">
        <v>45</v>
      </c>
      <c r="V204" s="22" t="s">
        <v>45</v>
      </c>
      <c r="W204" s="22" t="s">
        <v>5728</v>
      </c>
    </row>
    <row r="205" ht="45.0" customHeight="1">
      <c r="A205" s="55" t="s">
        <v>913</v>
      </c>
      <c r="B205" s="62" t="s">
        <v>4529</v>
      </c>
      <c r="C205" s="22" t="str">
        <f>IMAGE("https://raw.githubusercontent.com/ltdimages/images/refs/heads/main/ClothHeadwearOrnamentFrontLolita_00.png")</f>
        <v/>
      </c>
      <c r="D205" s="22" t="str">
        <f>IMAGE("https://raw.githubusercontent.com/ltdimages/images/refs/heads/main/ClothHeadwearOrnamentFrontLolita_01.png")</f>
        <v/>
      </c>
      <c r="E205" s="22" t="str">
        <f>IMAGE("https://raw.githubusercontent.com/ltdimages/images/refs/heads/main/ClothHeadwearOrnamentFrontLolita_02.png")</f>
        <v/>
      </c>
      <c r="F205" s="22" t="str">
        <f>IMAGE("https://raw.githubusercontent.com/ltdimages/images/refs/heads/main/ClothHeadwearOrnamentFrontLolita_03.png")</f>
        <v/>
      </c>
      <c r="G205" s="22" t="str">
        <f>IMAGE("https://raw.githubusercontent.com/ltdimages/images/refs/heads/main/ClothHeadwearOrnamentFrontLolita_04.png")</f>
        <v/>
      </c>
      <c r="H205" s="22" t="str">
        <f>IMAGE("https://raw.githubusercontent.com/ltdimages/images/refs/heads/main/ClothHeadwearOrnamentFrontLolita_05.png")</f>
        <v/>
      </c>
      <c r="I205" s="22" t="s">
        <v>3095</v>
      </c>
      <c r="J205" s="22" t="s">
        <v>3095</v>
      </c>
      <c r="K205" s="63" t="s">
        <v>3244</v>
      </c>
      <c r="L205" s="23">
        <v>18.0</v>
      </c>
      <c r="M205" s="22" t="s">
        <v>4231</v>
      </c>
      <c r="N205" s="22" t="s">
        <v>3099</v>
      </c>
      <c r="O205" s="22" t="s">
        <v>45</v>
      </c>
      <c r="P205" s="22" t="s">
        <v>45</v>
      </c>
      <c r="Q205" s="22" t="s">
        <v>45</v>
      </c>
      <c r="R205" s="22" t="s">
        <v>45</v>
      </c>
      <c r="S205" s="22" t="s">
        <v>45</v>
      </c>
      <c r="T205" s="22" t="s">
        <v>5729</v>
      </c>
      <c r="U205" s="22" t="s">
        <v>45</v>
      </c>
      <c r="V205" s="22" t="s">
        <v>45</v>
      </c>
      <c r="W205" s="22" t="s">
        <v>5730</v>
      </c>
    </row>
    <row r="206" ht="45.0" customHeight="1">
      <c r="A206" s="55" t="s">
        <v>917</v>
      </c>
      <c r="B206" s="62" t="s">
        <v>4497</v>
      </c>
      <c r="C206" s="22" t="str">
        <f>IMAGE("https://raw.githubusercontent.com/ltdimages/images/refs/heads/main/ClothHeadwearOrnamentFrontBigRibbon_00.png")</f>
        <v/>
      </c>
      <c r="D206" s="22" t="str">
        <f>IMAGE("https://raw.githubusercontent.com/ltdimages/images/refs/heads/main/ClothHeadwearOrnamentFrontBigRibbon_01.png")</f>
        <v/>
      </c>
      <c r="E206" s="22" t="str">
        <f>IMAGE("https://raw.githubusercontent.com/ltdimages/images/refs/heads/main/ClothHeadwearOrnamentFrontBigRibbon_02.png")</f>
        <v/>
      </c>
      <c r="F206" s="22" t="str">
        <f>IMAGE("https://raw.githubusercontent.com/ltdimages/images/refs/heads/main/ClothHeadwearOrnamentFrontBigRibbon_03.png")</f>
        <v/>
      </c>
      <c r="G206" s="22" t="str">
        <f>IMAGE("https://raw.githubusercontent.com/ltdimages/images/refs/heads/main/ClothHeadwearOrnamentFrontBigRibbon_04.png")</f>
        <v/>
      </c>
      <c r="H206" s="22" t="str">
        <f>IMAGE("https://raw.githubusercontent.com/ltdimages/images/refs/heads/main/ClothHeadwearOrnamentFrontBigRibbon_05.png")</f>
        <v/>
      </c>
      <c r="I206" s="22" t="str">
        <f>IMAGE("https://raw.githubusercontent.com/ltdimages/images/refs/heads/main/ClothHeadwearOrnamentFrontBigRibbon_06.png")</f>
        <v/>
      </c>
      <c r="J206" s="22" t="str">
        <f>IMAGE("https://raw.githubusercontent.com/ltdimages/images/refs/heads/main/ClothHeadwearOrnamentFrontBigRibbon_07.png")</f>
        <v/>
      </c>
      <c r="K206" s="63" t="s">
        <v>3244</v>
      </c>
      <c r="L206" s="23">
        <v>19.0</v>
      </c>
      <c r="M206" s="22" t="s">
        <v>4231</v>
      </c>
      <c r="N206" s="22" t="s">
        <v>3099</v>
      </c>
      <c r="O206" s="22" t="s">
        <v>45</v>
      </c>
      <c r="P206" s="22" t="s">
        <v>45</v>
      </c>
      <c r="Q206" s="22" t="s">
        <v>45</v>
      </c>
      <c r="R206" s="22" t="s">
        <v>45</v>
      </c>
      <c r="S206" s="22" t="s">
        <v>45</v>
      </c>
      <c r="T206" s="22" t="s">
        <v>5729</v>
      </c>
      <c r="U206" s="22" t="s">
        <v>45</v>
      </c>
      <c r="V206" s="22" t="s">
        <v>45</v>
      </c>
      <c r="W206" s="22" t="s">
        <v>5731</v>
      </c>
    </row>
    <row r="207" ht="45.0" customHeight="1">
      <c r="A207" s="55" t="s">
        <v>921</v>
      </c>
      <c r="B207" s="62" t="s">
        <v>5732</v>
      </c>
      <c r="C207" s="22" t="str">
        <f>IMAGE("https://raw.githubusercontent.com/ltdimages/images/refs/heads/main/ClothHeadwearOrnamentFrontNest_00.png")</f>
        <v/>
      </c>
      <c r="D207" s="22" t="s">
        <v>3095</v>
      </c>
      <c r="E207" s="22" t="s">
        <v>3095</v>
      </c>
      <c r="F207" s="22" t="s">
        <v>3095</v>
      </c>
      <c r="G207" s="22" t="s">
        <v>3095</v>
      </c>
      <c r="H207" s="22" t="s">
        <v>3095</v>
      </c>
      <c r="I207" s="22" t="s">
        <v>3095</v>
      </c>
      <c r="J207" s="22" t="s">
        <v>3095</v>
      </c>
      <c r="K207" s="63" t="s">
        <v>3244</v>
      </c>
      <c r="L207" s="23">
        <v>12.0</v>
      </c>
      <c r="M207" s="22" t="s">
        <v>3097</v>
      </c>
      <c r="N207" s="22" t="s">
        <v>3099</v>
      </c>
      <c r="O207" s="22" t="s">
        <v>45</v>
      </c>
      <c r="P207" s="22" t="s">
        <v>45</v>
      </c>
      <c r="Q207" s="22" t="s">
        <v>45</v>
      </c>
      <c r="R207" s="22" t="s">
        <v>49</v>
      </c>
      <c r="S207" s="22" t="s">
        <v>45</v>
      </c>
      <c r="T207" s="22" t="s">
        <v>5729</v>
      </c>
      <c r="U207" s="22" t="s">
        <v>45</v>
      </c>
      <c r="V207" s="22" t="s">
        <v>45</v>
      </c>
      <c r="W207" s="22" t="s">
        <v>5733</v>
      </c>
    </row>
    <row r="208" ht="45.0" customHeight="1">
      <c r="A208" s="55" t="s">
        <v>925</v>
      </c>
      <c r="B208" s="62" t="s">
        <v>5734</v>
      </c>
      <c r="C208" s="22" t="str">
        <f>IMAGE("https://raw.githubusercontent.com/ltdimages/images/refs/heads/main/ClothHeadwearOrnamentTopInsect_00.png")</f>
        <v/>
      </c>
      <c r="D208" s="22" t="str">
        <f>IMAGE("https://raw.githubusercontent.com/ltdimages/images/refs/heads/main/ClothHeadwearOrnamentTopInsect_01.png")</f>
        <v/>
      </c>
      <c r="E208" s="22" t="str">
        <f>IMAGE("https://raw.githubusercontent.com/ltdimages/images/refs/heads/main/ClothHeadwearOrnamentTopInsect_02.png")</f>
        <v/>
      </c>
      <c r="F208" s="22" t="str">
        <f>IMAGE("https://raw.githubusercontent.com/ltdimages/images/refs/heads/main/ClothHeadwearOrnamentTopInsect_03.png")</f>
        <v/>
      </c>
      <c r="G208" s="22" t="str">
        <f>IMAGE("https://raw.githubusercontent.com/ltdimages/images/refs/heads/main/ClothHeadwearOrnamentTopInsect_04.png")</f>
        <v/>
      </c>
      <c r="H208" s="22" t="str">
        <f>IMAGE("https://raw.githubusercontent.com/ltdimages/images/refs/heads/main/ClothHeadwearOrnamentTopInsect_05.png")</f>
        <v/>
      </c>
      <c r="I208" s="22" t="s">
        <v>3095</v>
      </c>
      <c r="J208" s="22" t="s">
        <v>3095</v>
      </c>
      <c r="K208" s="63" t="s">
        <v>3244</v>
      </c>
      <c r="L208" s="23">
        <v>16.6</v>
      </c>
      <c r="M208" s="22" t="s">
        <v>3097</v>
      </c>
      <c r="N208" s="22" t="s">
        <v>3099</v>
      </c>
      <c r="O208" s="22" t="s">
        <v>45</v>
      </c>
      <c r="P208" s="22" t="s">
        <v>45</v>
      </c>
      <c r="Q208" s="22" t="s">
        <v>45</v>
      </c>
      <c r="R208" s="22" t="s">
        <v>49</v>
      </c>
      <c r="S208" s="22" t="s">
        <v>45</v>
      </c>
      <c r="T208" s="22" t="s">
        <v>2956</v>
      </c>
      <c r="U208" s="22" t="s">
        <v>45</v>
      </c>
      <c r="V208" s="22" t="s">
        <v>45</v>
      </c>
      <c r="W208" s="22" t="s">
        <v>5735</v>
      </c>
    </row>
    <row r="209" ht="45.0" customHeight="1">
      <c r="A209" s="55" t="s">
        <v>929</v>
      </c>
      <c r="B209" s="62" t="s">
        <v>5736</v>
      </c>
      <c r="C209" s="22" t="str">
        <f>IMAGE("https://raw.githubusercontent.com/ltdimages/images/refs/heads/main/ClothHeadwearOrnamentFrontRabbitRibbon_00.png")</f>
        <v/>
      </c>
      <c r="D209" s="22" t="str">
        <f>IMAGE("https://raw.githubusercontent.com/ltdimages/images/refs/heads/main/ClothHeadwearOrnamentFrontRabbitRibbon_01.png")</f>
        <v/>
      </c>
      <c r="E209" s="22" t="str">
        <f>IMAGE("https://raw.githubusercontent.com/ltdimages/images/refs/heads/main/ClothHeadwearOrnamentFrontRabbitRibbon_02.png")</f>
        <v/>
      </c>
      <c r="F209" s="22" t="str">
        <f>IMAGE("https://raw.githubusercontent.com/ltdimages/images/refs/heads/main/ClothHeadwearOrnamentFrontRabbitRibbon_03.png")</f>
        <v/>
      </c>
      <c r="G209" s="22" t="str">
        <f>IMAGE("https://raw.githubusercontent.com/ltdimages/images/refs/heads/main/ClothHeadwearOrnamentFrontRabbitRibbon_04.png")</f>
        <v/>
      </c>
      <c r="H209" s="22" t="str">
        <f>IMAGE("https://raw.githubusercontent.com/ltdimages/images/refs/heads/main/ClothHeadwearOrnamentFrontRabbitRibbon_05.png")</f>
        <v/>
      </c>
      <c r="I209" s="22" t="str">
        <f>IMAGE("https://raw.githubusercontent.com/ltdimages/images/refs/heads/main/ClothHeadwearOrnamentFrontRabbitRibbon_06.png")</f>
        <v/>
      </c>
      <c r="J209" s="22" t="str">
        <f>IMAGE("https://raw.githubusercontent.com/ltdimages/images/refs/heads/main/ClothHeadwearOrnamentFrontRabbitRibbon_07.png")</f>
        <v/>
      </c>
      <c r="K209" s="63" t="s">
        <v>3244</v>
      </c>
      <c r="L209" s="23">
        <v>14.0</v>
      </c>
      <c r="M209" s="22" t="s">
        <v>4231</v>
      </c>
      <c r="N209" s="22" t="s">
        <v>3099</v>
      </c>
      <c r="O209" s="22" t="s">
        <v>45</v>
      </c>
      <c r="P209" s="22" t="s">
        <v>45</v>
      </c>
      <c r="Q209" s="22" t="s">
        <v>45</v>
      </c>
      <c r="R209" s="22" t="s">
        <v>45</v>
      </c>
      <c r="S209" s="22" t="s">
        <v>45</v>
      </c>
      <c r="T209" s="22" t="s">
        <v>5729</v>
      </c>
      <c r="U209" s="22" t="s">
        <v>45</v>
      </c>
      <c r="V209" s="22" t="s">
        <v>45</v>
      </c>
      <c r="W209" s="22" t="s">
        <v>5737</v>
      </c>
    </row>
    <row r="210" ht="45.0" customHeight="1">
      <c r="A210" s="55" t="s">
        <v>933</v>
      </c>
      <c r="B210" s="62" t="s">
        <v>4360</v>
      </c>
      <c r="C210" s="22" t="str">
        <f>IMAGE("https://raw.githubusercontent.com/ltdimages/images/refs/heads/main/ClothHeadwearOrnamentFrontBunny_00.png")</f>
        <v/>
      </c>
      <c r="D210" s="22" t="str">
        <f>IMAGE("https://raw.githubusercontent.com/ltdimages/images/refs/heads/main/ClothHeadwearOrnamentFrontBunny_01.png")</f>
        <v/>
      </c>
      <c r="E210" s="22" t="str">
        <f>IMAGE("https://raw.githubusercontent.com/ltdimages/images/refs/heads/main/ClothHeadwearOrnamentFrontBunny_02.png")</f>
        <v/>
      </c>
      <c r="F210" s="22" t="str">
        <f>IMAGE("https://raw.githubusercontent.com/ltdimages/images/refs/heads/main/ClothHeadwearOrnamentFrontBunny_03.png")</f>
        <v/>
      </c>
      <c r="G210" s="22" t="str">
        <f>IMAGE("https://raw.githubusercontent.com/ltdimages/images/refs/heads/main/ClothHeadwearOrnamentFrontBunny_04.png")</f>
        <v/>
      </c>
      <c r="H210" s="22" t="str">
        <f>IMAGE("https://raw.githubusercontent.com/ltdimages/images/refs/heads/main/ClothHeadwearOrnamentFrontBunny_05.png")</f>
        <v/>
      </c>
      <c r="I210" s="22" t="str">
        <f>IMAGE("https://raw.githubusercontent.com/ltdimages/images/refs/heads/main/ClothHeadwearOrnamentFrontBunny_06.png")</f>
        <v/>
      </c>
      <c r="J210" s="22" t="str">
        <f>IMAGE("https://raw.githubusercontent.com/ltdimages/images/refs/heads/main/ClothHeadwearOrnamentFrontBunny_07.png")</f>
        <v/>
      </c>
      <c r="K210" s="63" t="s">
        <v>3244</v>
      </c>
      <c r="L210" s="23">
        <v>19.5</v>
      </c>
      <c r="M210" s="22" t="s">
        <v>3097</v>
      </c>
      <c r="N210" s="22" t="s">
        <v>3099</v>
      </c>
      <c r="O210" s="22" t="s">
        <v>45</v>
      </c>
      <c r="P210" s="22" t="s">
        <v>45</v>
      </c>
      <c r="Q210" s="22" t="s">
        <v>45</v>
      </c>
      <c r="R210" s="22" t="s">
        <v>49</v>
      </c>
      <c r="S210" s="22" t="s">
        <v>45</v>
      </c>
      <c r="T210" s="22" t="s">
        <v>5729</v>
      </c>
      <c r="U210" s="22" t="s">
        <v>45</v>
      </c>
      <c r="V210" s="22" t="s">
        <v>45</v>
      </c>
      <c r="W210" s="22" t="s">
        <v>5738</v>
      </c>
    </row>
    <row r="211" ht="45.0" customHeight="1">
      <c r="A211" s="55" t="s">
        <v>937</v>
      </c>
      <c r="B211" s="62" t="s">
        <v>5739</v>
      </c>
      <c r="C211" s="22" t="str">
        <f>IMAGE("https://raw.githubusercontent.com/ltdimages/images/refs/heads/main/ClothHeadwearOrnamentSideButterfly_00.png")</f>
        <v/>
      </c>
      <c r="D211" s="22" t="str">
        <f>IMAGE("https://raw.githubusercontent.com/ltdimages/images/refs/heads/main/ClothHeadwearOrnamentSideButterfly_01.png")</f>
        <v/>
      </c>
      <c r="E211" s="22" t="str">
        <f>IMAGE("https://raw.githubusercontent.com/ltdimages/images/refs/heads/main/ClothHeadwearOrnamentSideButterfly_02.png")</f>
        <v/>
      </c>
      <c r="F211" s="22" t="str">
        <f>IMAGE("https://raw.githubusercontent.com/ltdimages/images/refs/heads/main/ClothHeadwearOrnamentSideButterfly_03.png")</f>
        <v/>
      </c>
      <c r="G211" s="22" t="str">
        <f>IMAGE("https://raw.githubusercontent.com/ltdimages/images/refs/heads/main/ClothHeadwearOrnamentSideButterfly_04.png")</f>
        <v/>
      </c>
      <c r="H211" s="22" t="str">
        <f>IMAGE("https://raw.githubusercontent.com/ltdimages/images/refs/heads/main/ClothHeadwearOrnamentSideButterfly_05.png")</f>
        <v/>
      </c>
      <c r="I211" s="22" t="str">
        <f>IMAGE("https://raw.githubusercontent.com/ltdimages/images/refs/heads/main/ClothHeadwearOrnamentSideButterfly_06.png")</f>
        <v/>
      </c>
      <c r="J211" s="22" t="str">
        <f>IMAGE("https://raw.githubusercontent.com/ltdimages/images/refs/heads/main/ClothHeadwearOrnamentSideButterfly_07.png")</f>
        <v/>
      </c>
      <c r="K211" s="63" t="s">
        <v>3244</v>
      </c>
      <c r="L211" s="23">
        <v>10.0</v>
      </c>
      <c r="M211" s="22" t="s">
        <v>3097</v>
      </c>
      <c r="N211" s="22" t="s">
        <v>3099</v>
      </c>
      <c r="O211" s="22" t="s">
        <v>45</v>
      </c>
      <c r="P211" s="22" t="s">
        <v>45</v>
      </c>
      <c r="Q211" s="22" t="s">
        <v>45</v>
      </c>
      <c r="R211" s="22" t="s">
        <v>45</v>
      </c>
      <c r="S211" s="22" t="s">
        <v>45</v>
      </c>
      <c r="T211" s="22" t="s">
        <v>5740</v>
      </c>
      <c r="U211" s="22" t="s">
        <v>45</v>
      </c>
      <c r="V211" s="22" t="s">
        <v>45</v>
      </c>
      <c r="W211" s="22" t="s">
        <v>5741</v>
      </c>
    </row>
    <row r="212" ht="45.0" customHeight="1">
      <c r="A212" s="55" t="s">
        <v>941</v>
      </c>
      <c r="B212" s="62" t="s">
        <v>5742</v>
      </c>
      <c r="C212" s="22" t="str">
        <f>IMAGE("https://raw.githubusercontent.com/ltdimages/images/refs/heads/main/ClothHeadwearOrnamentTopAntenna_00.png")</f>
        <v/>
      </c>
      <c r="D212" s="22" t="str">
        <f>IMAGE("https://raw.githubusercontent.com/ltdimages/images/refs/heads/main/ClothHeadwearOrnamentTopAntenna_01.png")</f>
        <v/>
      </c>
      <c r="E212" s="22" t="str">
        <f>IMAGE("https://raw.githubusercontent.com/ltdimages/images/refs/heads/main/ClothHeadwearOrnamentTopAntenna_02.png")</f>
        <v/>
      </c>
      <c r="F212" s="22" t="str">
        <f>IMAGE("https://raw.githubusercontent.com/ltdimages/images/refs/heads/main/ClothHeadwearOrnamentTopAntenna_03.png")</f>
        <v/>
      </c>
      <c r="G212" s="22" t="str">
        <f>IMAGE("https://raw.githubusercontent.com/ltdimages/images/refs/heads/main/ClothHeadwearOrnamentTopAntenna_04.png")</f>
        <v/>
      </c>
      <c r="H212" s="22" t="str">
        <f>IMAGE("https://raw.githubusercontent.com/ltdimages/images/refs/heads/main/ClothHeadwearOrnamentTopAntenna_05.png")</f>
        <v/>
      </c>
      <c r="I212" s="22" t="s">
        <v>3095</v>
      </c>
      <c r="J212" s="22" t="s">
        <v>3095</v>
      </c>
      <c r="K212" s="63" t="s">
        <v>3244</v>
      </c>
      <c r="L212" s="23">
        <v>17.0</v>
      </c>
      <c r="M212" s="22" t="s">
        <v>3097</v>
      </c>
      <c r="N212" s="22" t="s">
        <v>3099</v>
      </c>
      <c r="O212" s="22" t="s">
        <v>45</v>
      </c>
      <c r="P212" s="22" t="s">
        <v>45</v>
      </c>
      <c r="Q212" s="22" t="s">
        <v>45</v>
      </c>
      <c r="R212" s="22" t="s">
        <v>49</v>
      </c>
      <c r="S212" s="22" t="s">
        <v>45</v>
      </c>
      <c r="T212" s="22" t="s">
        <v>2956</v>
      </c>
      <c r="U212" s="22" t="s">
        <v>45</v>
      </c>
      <c r="V212" s="22" t="s">
        <v>45</v>
      </c>
      <c r="W212" s="22" t="s">
        <v>5743</v>
      </c>
    </row>
    <row r="213" ht="45.0" customHeight="1">
      <c r="A213" s="55" t="s">
        <v>945</v>
      </c>
      <c r="B213" s="62" t="s">
        <v>5744</v>
      </c>
      <c r="C213" s="22" t="str">
        <f>IMAGE("https://raw.githubusercontent.com/ltdimages/images/refs/heads/main/ClothHeadwearOrnamentSidePinCross_00.png")</f>
        <v/>
      </c>
      <c r="D213" s="22" t="str">
        <f>IMAGE("https://raw.githubusercontent.com/ltdimages/images/refs/heads/main/ClothHeadwearOrnamentSidePinCross_01.png")</f>
        <v/>
      </c>
      <c r="E213" s="22" t="str">
        <f>IMAGE("https://raw.githubusercontent.com/ltdimages/images/refs/heads/main/ClothHeadwearOrnamentSidePinCross_02.png")</f>
        <v/>
      </c>
      <c r="F213" s="22" t="str">
        <f>IMAGE("https://raw.githubusercontent.com/ltdimages/images/refs/heads/main/ClothHeadwearOrnamentSidePinCross_03.png")</f>
        <v/>
      </c>
      <c r="G213" s="22" t="str">
        <f>IMAGE("https://raw.githubusercontent.com/ltdimages/images/refs/heads/main/ClothHeadwearOrnamentSidePinCross_04.png")</f>
        <v/>
      </c>
      <c r="H213" s="22" t="str">
        <f>IMAGE("https://raw.githubusercontent.com/ltdimages/images/refs/heads/main/ClothHeadwearOrnamentSidePinCross_05.png")</f>
        <v/>
      </c>
      <c r="I213" s="22" t="str">
        <f>IMAGE("https://raw.githubusercontent.com/ltdimages/images/refs/heads/main/ClothHeadwearOrnamentSidePinCross_06.png")</f>
        <v/>
      </c>
      <c r="J213" s="22" t="str">
        <f>IMAGE("https://raw.githubusercontent.com/ltdimages/images/refs/heads/main/ClothHeadwearOrnamentSidePinCross_07.png")</f>
        <v/>
      </c>
      <c r="K213" s="63" t="s">
        <v>3244</v>
      </c>
      <c r="L213" s="23">
        <v>6.0</v>
      </c>
      <c r="M213" s="22" t="s">
        <v>3097</v>
      </c>
      <c r="N213" s="22" t="s">
        <v>3099</v>
      </c>
      <c r="O213" s="22" t="s">
        <v>45</v>
      </c>
      <c r="P213" s="22" t="s">
        <v>45</v>
      </c>
      <c r="Q213" s="22" t="s">
        <v>45</v>
      </c>
      <c r="R213" s="22" t="s">
        <v>45</v>
      </c>
      <c r="S213" s="22" t="s">
        <v>45</v>
      </c>
      <c r="T213" s="22" t="s">
        <v>5740</v>
      </c>
      <c r="U213" s="22" t="s">
        <v>45</v>
      </c>
      <c r="V213" s="22" t="s">
        <v>45</v>
      </c>
      <c r="W213" s="22" t="s">
        <v>5745</v>
      </c>
    </row>
    <row r="214" ht="45.0" customHeight="1">
      <c r="A214" s="55" t="s">
        <v>949</v>
      </c>
      <c r="B214" s="62" t="s">
        <v>5746</v>
      </c>
      <c r="C214" s="22" t="str">
        <f>IMAGE("https://raw.githubusercontent.com/ltdimages/images/refs/heads/main/ClothHeadwearOrnamentSideDaisy_00.png")</f>
        <v/>
      </c>
      <c r="D214" s="22" t="str">
        <f>IMAGE("https://raw.githubusercontent.com/ltdimages/images/refs/heads/main/ClothHeadwearOrnamentSideDaisy_01.png")</f>
        <v/>
      </c>
      <c r="E214" s="22" t="str">
        <f>IMAGE("https://raw.githubusercontent.com/ltdimages/images/refs/heads/main/ClothHeadwearOrnamentSideDaisy_02.png")</f>
        <v/>
      </c>
      <c r="F214" s="22" t="str">
        <f>IMAGE("https://raw.githubusercontent.com/ltdimages/images/refs/heads/main/ClothHeadwearOrnamentSideDaisy_03.png")</f>
        <v/>
      </c>
      <c r="G214" s="22" t="str">
        <f>IMAGE("https://raw.githubusercontent.com/ltdimages/images/refs/heads/main/ClothHeadwearOrnamentSideDaisy_04.png")</f>
        <v/>
      </c>
      <c r="H214" s="22" t="str">
        <f>IMAGE("https://raw.githubusercontent.com/ltdimages/images/refs/heads/main/ClothHeadwearOrnamentSideDaisy_05.png")</f>
        <v/>
      </c>
      <c r="I214" s="22" t="str">
        <f>IMAGE("https://raw.githubusercontent.com/ltdimages/images/refs/heads/main/ClothHeadwearOrnamentSideDaisy_06.png")</f>
        <v/>
      </c>
      <c r="J214" s="22" t="str">
        <f>IMAGE("https://raw.githubusercontent.com/ltdimages/images/refs/heads/main/ClothHeadwearOrnamentSideDaisy_07.png")</f>
        <v/>
      </c>
      <c r="K214" s="63" t="s">
        <v>3244</v>
      </c>
      <c r="L214" s="23">
        <v>10.0</v>
      </c>
      <c r="M214" s="22" t="s">
        <v>3097</v>
      </c>
      <c r="N214" s="22" t="s">
        <v>3099</v>
      </c>
      <c r="O214" s="22" t="s">
        <v>45</v>
      </c>
      <c r="P214" s="22" t="s">
        <v>45</v>
      </c>
      <c r="Q214" s="22" t="s">
        <v>45</v>
      </c>
      <c r="R214" s="22" t="s">
        <v>45</v>
      </c>
      <c r="S214" s="22" t="s">
        <v>45</v>
      </c>
      <c r="T214" s="22" t="s">
        <v>5740</v>
      </c>
      <c r="U214" s="22" t="s">
        <v>45</v>
      </c>
      <c r="V214" s="22" t="s">
        <v>45</v>
      </c>
      <c r="W214" s="22" t="s">
        <v>5747</v>
      </c>
    </row>
    <row r="215" ht="45.0" customHeight="1">
      <c r="A215" s="55" t="s">
        <v>954</v>
      </c>
      <c r="B215" s="62" t="s">
        <v>5748</v>
      </c>
      <c r="C215" s="22" t="str">
        <f>IMAGE("https://raw.githubusercontent.com/ltdimages/images/refs/heads/main/ClothHeadwearOrnamentSideBijou_00.png")</f>
        <v/>
      </c>
      <c r="D215" s="22" t="str">
        <f>IMAGE("https://raw.githubusercontent.com/ltdimages/images/refs/heads/main/ClothHeadwearOrnamentSideBijou_01.png")</f>
        <v/>
      </c>
      <c r="E215" s="22" t="str">
        <f>IMAGE("https://raw.githubusercontent.com/ltdimages/images/refs/heads/main/ClothHeadwearOrnamentSideBijou_02.png")</f>
        <v/>
      </c>
      <c r="F215" s="22" t="str">
        <f>IMAGE("https://raw.githubusercontent.com/ltdimages/images/refs/heads/main/ClothHeadwearOrnamentSideBijou_03.png")</f>
        <v/>
      </c>
      <c r="G215" s="22" t="str">
        <f>IMAGE("https://raw.githubusercontent.com/ltdimages/images/refs/heads/main/ClothHeadwearOrnamentSideBijou_04.png")</f>
        <v/>
      </c>
      <c r="H215" s="22" t="str">
        <f>IMAGE("https://raw.githubusercontent.com/ltdimages/images/refs/heads/main/ClothHeadwearOrnamentSideBijou_05.png")</f>
        <v/>
      </c>
      <c r="I215" s="22" t="str">
        <f>IMAGE("https://raw.githubusercontent.com/ltdimages/images/refs/heads/main/ClothHeadwearOrnamentSideBijou_06.png")</f>
        <v/>
      </c>
      <c r="J215" s="22" t="str">
        <f>IMAGE("https://raw.githubusercontent.com/ltdimages/images/refs/heads/main/ClothHeadwearOrnamentSideBijou_07.png")</f>
        <v/>
      </c>
      <c r="K215" s="63" t="s">
        <v>3244</v>
      </c>
      <c r="L215" s="23">
        <v>9.0</v>
      </c>
      <c r="M215" s="22" t="s">
        <v>4231</v>
      </c>
      <c r="N215" s="22" t="s">
        <v>3099</v>
      </c>
      <c r="O215" s="22" t="s">
        <v>45</v>
      </c>
      <c r="P215" s="22" t="s">
        <v>45</v>
      </c>
      <c r="Q215" s="22" t="s">
        <v>45</v>
      </c>
      <c r="R215" s="22" t="s">
        <v>45</v>
      </c>
      <c r="S215" s="22" t="s">
        <v>45</v>
      </c>
      <c r="T215" s="22" t="s">
        <v>5740</v>
      </c>
      <c r="U215" s="22" t="s">
        <v>45</v>
      </c>
      <c r="V215" s="22" t="s">
        <v>45</v>
      </c>
      <c r="W215" s="22" t="s">
        <v>5749</v>
      </c>
    </row>
    <row r="216" ht="45.0" customHeight="1">
      <c r="A216" s="55" t="s">
        <v>958</v>
      </c>
      <c r="B216" s="62" t="s">
        <v>4024</v>
      </c>
      <c r="C216" s="22" t="str">
        <f>IMAGE("https://raw.githubusercontent.com/ltdimages/images/refs/heads/main/ClothHeadwearOrnamentSideStraw_00.png")</f>
        <v/>
      </c>
      <c r="D216" s="22" t="str">
        <f>IMAGE("https://raw.githubusercontent.com/ltdimages/images/refs/heads/main/ClothHeadwearOrnamentSideStraw_01.png")</f>
        <v/>
      </c>
      <c r="E216" s="22" t="str">
        <f>IMAGE("https://raw.githubusercontent.com/ltdimages/images/refs/heads/main/ClothHeadwearOrnamentSideStraw_02.png")</f>
        <v/>
      </c>
      <c r="F216" s="22" t="str">
        <f>IMAGE("https://raw.githubusercontent.com/ltdimages/images/refs/heads/main/ClothHeadwearOrnamentSideStraw_03.png")</f>
        <v/>
      </c>
      <c r="G216" s="22" t="str">
        <f>IMAGE("https://raw.githubusercontent.com/ltdimages/images/refs/heads/main/ClothHeadwearOrnamentSideStraw_04.png")</f>
        <v/>
      </c>
      <c r="H216" s="22" t="str">
        <f>IMAGE("https://raw.githubusercontent.com/ltdimages/images/refs/heads/main/ClothHeadwearOrnamentSideStraw_05.png")</f>
        <v/>
      </c>
      <c r="I216" s="22" t="s">
        <v>3095</v>
      </c>
      <c r="J216" s="22" t="s">
        <v>3095</v>
      </c>
      <c r="K216" s="63" t="s">
        <v>3244</v>
      </c>
      <c r="L216" s="23">
        <v>7.0</v>
      </c>
      <c r="M216" s="22" t="s">
        <v>3097</v>
      </c>
      <c r="N216" s="22" t="s">
        <v>3099</v>
      </c>
      <c r="O216" s="22" t="s">
        <v>45</v>
      </c>
      <c r="P216" s="22" t="s">
        <v>45</v>
      </c>
      <c r="Q216" s="22" t="s">
        <v>45</v>
      </c>
      <c r="R216" s="22" t="s">
        <v>49</v>
      </c>
      <c r="S216" s="22" t="s">
        <v>45</v>
      </c>
      <c r="T216" s="22" t="s">
        <v>5740</v>
      </c>
      <c r="U216" s="22" t="s">
        <v>45</v>
      </c>
      <c r="V216" s="22" t="s">
        <v>45</v>
      </c>
      <c r="W216" s="22" t="s">
        <v>5750</v>
      </c>
    </row>
    <row r="217" ht="45.0" customHeight="1">
      <c r="A217" s="55" t="s">
        <v>962</v>
      </c>
      <c r="B217" s="62" t="s">
        <v>4413</v>
      </c>
      <c r="C217" s="22" t="str">
        <f>IMAGE("https://raw.githubusercontent.com/ltdimages/images/refs/heads/main/ClothHeadwearOrnamentSideFlapper_00.png")</f>
        <v/>
      </c>
      <c r="D217" s="22" t="str">
        <f>IMAGE("https://raw.githubusercontent.com/ltdimages/images/refs/heads/main/ClothHeadwearOrnamentSideFlapper_01.png")</f>
        <v/>
      </c>
      <c r="E217" s="22" t="str">
        <f>IMAGE("https://raw.githubusercontent.com/ltdimages/images/refs/heads/main/ClothHeadwearOrnamentSideFlapper_02.png")</f>
        <v/>
      </c>
      <c r="F217" s="22" t="str">
        <f>IMAGE("https://raw.githubusercontent.com/ltdimages/images/refs/heads/main/ClothHeadwearOrnamentSideFlapper_03.png")</f>
        <v/>
      </c>
      <c r="G217" s="22" t="str">
        <f>IMAGE("https://raw.githubusercontent.com/ltdimages/images/refs/heads/main/ClothHeadwearOrnamentSideFlapper_04.png")</f>
        <v/>
      </c>
      <c r="H217" s="22" t="str">
        <f>IMAGE("https://raw.githubusercontent.com/ltdimages/images/refs/heads/main/ClothHeadwearOrnamentSideFlapper_05.png")</f>
        <v/>
      </c>
      <c r="I217" s="22" t="str">
        <f>IMAGE("https://raw.githubusercontent.com/ltdimages/images/refs/heads/main/ClothHeadwearOrnamentSideFlapper_06.png")</f>
        <v/>
      </c>
      <c r="J217" s="22" t="str">
        <f>IMAGE("https://raw.githubusercontent.com/ltdimages/images/refs/heads/main/ClothHeadwearOrnamentSideFlapper_07.png")</f>
        <v/>
      </c>
      <c r="K217" s="63" t="s">
        <v>3244</v>
      </c>
      <c r="L217" s="23">
        <v>22.0</v>
      </c>
      <c r="M217" s="22" t="s">
        <v>3097</v>
      </c>
      <c r="N217" s="22" t="s">
        <v>3099</v>
      </c>
      <c r="O217" s="22" t="s">
        <v>45</v>
      </c>
      <c r="P217" s="22" t="s">
        <v>45</v>
      </c>
      <c r="Q217" s="22" t="s">
        <v>45</v>
      </c>
      <c r="R217" s="22" t="s">
        <v>45</v>
      </c>
      <c r="S217" s="22" t="s">
        <v>45</v>
      </c>
      <c r="T217" s="22" t="s">
        <v>5740</v>
      </c>
      <c r="U217" s="22" t="s">
        <v>45</v>
      </c>
      <c r="V217" s="22" t="s">
        <v>45</v>
      </c>
      <c r="W217" s="22" t="s">
        <v>5751</v>
      </c>
    </row>
    <row r="218" ht="45.0" customHeight="1">
      <c r="A218" s="55" t="s">
        <v>966</v>
      </c>
      <c r="B218" s="62" t="s">
        <v>4374</v>
      </c>
      <c r="C218" s="22" t="str">
        <f>IMAGE("https://raw.githubusercontent.com/ltdimages/images/refs/heads/main/ClothHeadwearOrnamentSidePinFlower_00.png")</f>
        <v/>
      </c>
      <c r="D218" s="22" t="str">
        <f>IMAGE("https://raw.githubusercontent.com/ltdimages/images/refs/heads/main/ClothHeadwearOrnamentSidePinFlower_01.png")</f>
        <v/>
      </c>
      <c r="E218" s="22" t="str">
        <f>IMAGE("https://raw.githubusercontent.com/ltdimages/images/refs/heads/main/ClothHeadwearOrnamentSidePinFlower_02.png")</f>
        <v/>
      </c>
      <c r="F218" s="22" t="str">
        <f>IMAGE("https://raw.githubusercontent.com/ltdimages/images/refs/heads/main/ClothHeadwearOrnamentSidePinFlower_03.png")</f>
        <v/>
      </c>
      <c r="G218" s="22" t="str">
        <f>IMAGE("https://raw.githubusercontent.com/ltdimages/images/refs/heads/main/ClothHeadwearOrnamentSidePinFlower_04.png")</f>
        <v/>
      </c>
      <c r="H218" s="22" t="str">
        <f>IMAGE("https://raw.githubusercontent.com/ltdimages/images/refs/heads/main/ClothHeadwearOrnamentSidePinFlower_05.png")</f>
        <v/>
      </c>
      <c r="I218" s="22" t="str">
        <f>IMAGE("https://raw.githubusercontent.com/ltdimages/images/refs/heads/main/ClothHeadwearOrnamentSidePinFlower_06.png")</f>
        <v/>
      </c>
      <c r="J218" s="22" t="str">
        <f>IMAGE("https://raw.githubusercontent.com/ltdimages/images/refs/heads/main/ClothHeadwearOrnamentSidePinFlower_07.png")</f>
        <v/>
      </c>
      <c r="K218" s="63" t="s">
        <v>3244</v>
      </c>
      <c r="L218" s="23">
        <v>8.7</v>
      </c>
      <c r="M218" s="22" t="s">
        <v>3097</v>
      </c>
      <c r="N218" s="22" t="s">
        <v>3099</v>
      </c>
      <c r="O218" s="22" t="s">
        <v>45</v>
      </c>
      <c r="P218" s="22" t="s">
        <v>45</v>
      </c>
      <c r="Q218" s="22" t="s">
        <v>45</v>
      </c>
      <c r="R218" s="22" t="s">
        <v>45</v>
      </c>
      <c r="S218" s="22" t="s">
        <v>45</v>
      </c>
      <c r="T218" s="22" t="s">
        <v>5740</v>
      </c>
      <c r="U218" s="22" t="s">
        <v>45</v>
      </c>
      <c r="V218" s="22" t="s">
        <v>45</v>
      </c>
      <c r="W218" s="22" t="s">
        <v>5752</v>
      </c>
    </row>
    <row r="219" ht="45.0" customHeight="1">
      <c r="A219" s="55" t="s">
        <v>970</v>
      </c>
      <c r="B219" s="62" t="s">
        <v>5753</v>
      </c>
      <c r="C219" s="22" t="str">
        <f>IMAGE("https://raw.githubusercontent.com/ltdimages/images/refs/heads/main/ClothHeadwearOrnamentSideFlower_00.png")</f>
        <v/>
      </c>
      <c r="D219" s="22" t="str">
        <f>IMAGE("https://raw.githubusercontent.com/ltdimages/images/refs/heads/main/ClothHeadwearOrnamentSideFlower_01.png")</f>
        <v/>
      </c>
      <c r="E219" s="22" t="str">
        <f>IMAGE("https://raw.githubusercontent.com/ltdimages/images/refs/heads/main/ClothHeadwearOrnamentSideFlower_02.png")</f>
        <v/>
      </c>
      <c r="F219" s="22" t="str">
        <f>IMAGE("https://raw.githubusercontent.com/ltdimages/images/refs/heads/main/ClothHeadwearOrnamentSideFlower_03.png")</f>
        <v/>
      </c>
      <c r="G219" s="22" t="str">
        <f>IMAGE("https://raw.githubusercontent.com/ltdimages/images/refs/heads/main/ClothHeadwearOrnamentSideFlower_04.png")</f>
        <v/>
      </c>
      <c r="H219" s="22" t="str">
        <f>IMAGE("https://raw.githubusercontent.com/ltdimages/images/refs/heads/main/ClothHeadwearOrnamentSideFlower_05.png")</f>
        <v/>
      </c>
      <c r="I219" s="22" t="str">
        <f>IMAGE("https://raw.githubusercontent.com/ltdimages/images/refs/heads/main/ClothHeadwearOrnamentSideFlower_06.png")</f>
        <v/>
      </c>
      <c r="J219" s="22" t="str">
        <f>IMAGE("https://raw.githubusercontent.com/ltdimages/images/refs/heads/main/ClothHeadwearOrnamentSideFlower_07.png")</f>
        <v/>
      </c>
      <c r="K219" s="63" t="s">
        <v>3244</v>
      </c>
      <c r="L219" s="23">
        <v>21.3</v>
      </c>
      <c r="M219" s="22" t="s">
        <v>4231</v>
      </c>
      <c r="N219" s="22" t="s">
        <v>3099</v>
      </c>
      <c r="O219" s="22" t="s">
        <v>45</v>
      </c>
      <c r="P219" s="22" t="s">
        <v>45</v>
      </c>
      <c r="Q219" s="22" t="s">
        <v>45</v>
      </c>
      <c r="R219" s="22" t="s">
        <v>45</v>
      </c>
      <c r="S219" s="22" t="s">
        <v>45</v>
      </c>
      <c r="T219" s="22" t="s">
        <v>5740</v>
      </c>
      <c r="U219" s="22" t="s">
        <v>45</v>
      </c>
      <c r="V219" s="22" t="s">
        <v>45</v>
      </c>
      <c r="W219" s="22" t="s">
        <v>5754</v>
      </c>
    </row>
    <row r="220" ht="45.0" customHeight="1">
      <c r="A220" s="55" t="s">
        <v>974</v>
      </c>
      <c r="B220" s="62" t="s">
        <v>5755</v>
      </c>
      <c r="C220" s="22" t="str">
        <f>IMAGE("https://raw.githubusercontent.com/ltdimages/images/refs/heads/main/ClothHeadwearOrnamentTopFlower_00.png")</f>
        <v/>
      </c>
      <c r="D220" s="22" t="str">
        <f>IMAGE("https://raw.githubusercontent.com/ltdimages/images/refs/heads/main/ClothHeadwearOrnamentTopFlower_01.png")</f>
        <v/>
      </c>
      <c r="E220" s="22" t="str">
        <f>IMAGE("https://raw.githubusercontent.com/ltdimages/images/refs/heads/main/ClothHeadwearOrnamentTopFlower_02.png")</f>
        <v/>
      </c>
      <c r="F220" s="22" t="str">
        <f>IMAGE("https://raw.githubusercontent.com/ltdimages/images/refs/heads/main/ClothHeadwearOrnamentTopFlower_03.png")</f>
        <v/>
      </c>
      <c r="G220" s="22" t="str">
        <f>IMAGE("https://raw.githubusercontent.com/ltdimages/images/refs/heads/main/ClothHeadwearOrnamentTopFlower_04.png")</f>
        <v/>
      </c>
      <c r="H220" s="22" t="str">
        <f>IMAGE("https://raw.githubusercontent.com/ltdimages/images/refs/heads/main/ClothHeadwearOrnamentTopFlower_05.png")</f>
        <v/>
      </c>
      <c r="I220" s="22" t="str">
        <f>IMAGE("https://raw.githubusercontent.com/ltdimages/images/refs/heads/main/ClothHeadwearOrnamentTopFlower_06.png")</f>
        <v/>
      </c>
      <c r="J220" s="22" t="str">
        <f>IMAGE("https://raw.githubusercontent.com/ltdimages/images/refs/heads/main/ClothHeadwearOrnamentTopFlower_07.png")</f>
        <v/>
      </c>
      <c r="K220" s="63" t="s">
        <v>3244</v>
      </c>
      <c r="L220" s="23">
        <v>7.5</v>
      </c>
      <c r="M220" s="22" t="s">
        <v>3097</v>
      </c>
      <c r="N220" s="22" t="s">
        <v>3099</v>
      </c>
      <c r="O220" s="22" t="s">
        <v>45</v>
      </c>
      <c r="P220" s="22" t="s">
        <v>45</v>
      </c>
      <c r="Q220" s="22" t="s">
        <v>45</v>
      </c>
      <c r="R220" s="22" t="s">
        <v>49</v>
      </c>
      <c r="S220" s="22" t="s">
        <v>45</v>
      </c>
      <c r="T220" s="22" t="s">
        <v>2956</v>
      </c>
      <c r="U220" s="22" t="s">
        <v>45</v>
      </c>
      <c r="V220" s="22" t="s">
        <v>45</v>
      </c>
      <c r="W220" s="22" t="s">
        <v>5756</v>
      </c>
    </row>
    <row r="221" ht="45.0" customHeight="1">
      <c r="A221" s="55" t="s">
        <v>977</v>
      </c>
      <c r="B221" s="62" t="s">
        <v>5757</v>
      </c>
      <c r="C221" s="22" t="str">
        <f>IMAGE("https://raw.githubusercontent.com/ltdimages/images/refs/heads/main/ClothHeadwearOrnamentSideHairClip_00.png")</f>
        <v/>
      </c>
      <c r="D221" s="22" t="str">
        <f>IMAGE("https://raw.githubusercontent.com/ltdimages/images/refs/heads/main/ClothHeadwearOrnamentSideHairClip_01.png")</f>
        <v/>
      </c>
      <c r="E221" s="22" t="str">
        <f>IMAGE("https://raw.githubusercontent.com/ltdimages/images/refs/heads/main/ClothHeadwearOrnamentSideHairClip_02.png")</f>
        <v/>
      </c>
      <c r="F221" s="22" t="str">
        <f>IMAGE("https://raw.githubusercontent.com/ltdimages/images/refs/heads/main/ClothHeadwearOrnamentSideHairClip_03.png")</f>
        <v/>
      </c>
      <c r="G221" s="22" t="str">
        <f>IMAGE("https://raw.githubusercontent.com/ltdimages/images/refs/heads/main/ClothHeadwearOrnamentSideHairClip_04.png")</f>
        <v/>
      </c>
      <c r="H221" s="22" t="str">
        <f>IMAGE("https://raw.githubusercontent.com/ltdimages/images/refs/heads/main/ClothHeadwearOrnamentSideHairClip_05.png")</f>
        <v/>
      </c>
      <c r="I221" s="22" t="s">
        <v>3095</v>
      </c>
      <c r="J221" s="22" t="s">
        <v>3095</v>
      </c>
      <c r="K221" s="63" t="s">
        <v>3244</v>
      </c>
      <c r="L221" s="23">
        <v>7.0</v>
      </c>
      <c r="M221" s="22" t="s">
        <v>3097</v>
      </c>
      <c r="N221" s="22" t="s">
        <v>3099</v>
      </c>
      <c r="O221" s="22" t="s">
        <v>45</v>
      </c>
      <c r="P221" s="22" t="s">
        <v>45</v>
      </c>
      <c r="Q221" s="22" t="s">
        <v>45</v>
      </c>
      <c r="R221" s="22" t="s">
        <v>45</v>
      </c>
      <c r="S221" s="22" t="s">
        <v>45</v>
      </c>
      <c r="T221" s="22" t="s">
        <v>5740</v>
      </c>
      <c r="U221" s="22" t="s">
        <v>45</v>
      </c>
      <c r="V221" s="22" t="s">
        <v>45</v>
      </c>
      <c r="W221" s="22" t="s">
        <v>5758</v>
      </c>
    </row>
    <row r="222" ht="45.0" customHeight="1">
      <c r="A222" s="55" t="s">
        <v>981</v>
      </c>
      <c r="B222" s="62" t="s">
        <v>4431</v>
      </c>
      <c r="C222" s="22" t="str">
        <f>IMAGE("https://raw.githubusercontent.com/ltdimages/images/refs/heads/main/ClothHeadwearOrnamentFrontHairCurler_00.png")</f>
        <v/>
      </c>
      <c r="D222" s="22" t="str">
        <f>IMAGE("https://raw.githubusercontent.com/ltdimages/images/refs/heads/main/ClothHeadwearOrnamentFrontHairCurler_01.png")</f>
        <v/>
      </c>
      <c r="E222" s="22" t="str">
        <f>IMAGE("https://raw.githubusercontent.com/ltdimages/images/refs/heads/main/ClothHeadwearOrnamentFrontHairCurler_02.png")</f>
        <v/>
      </c>
      <c r="F222" s="22" t="str">
        <f>IMAGE("https://raw.githubusercontent.com/ltdimages/images/refs/heads/main/ClothHeadwearOrnamentFrontHairCurler_03.png")</f>
        <v/>
      </c>
      <c r="G222" s="22" t="str">
        <f>IMAGE("https://raw.githubusercontent.com/ltdimages/images/refs/heads/main/ClothHeadwearOrnamentFrontHairCurler_04.png")</f>
        <v/>
      </c>
      <c r="H222" s="22" t="str">
        <f>IMAGE("https://raw.githubusercontent.com/ltdimages/images/refs/heads/main/ClothHeadwearOrnamentFrontHairCurler_05.png")</f>
        <v/>
      </c>
      <c r="I222" s="22" t="s">
        <v>3095</v>
      </c>
      <c r="J222" s="22" t="s">
        <v>3095</v>
      </c>
      <c r="K222" s="63" t="s">
        <v>3244</v>
      </c>
      <c r="L222" s="23">
        <v>8.0</v>
      </c>
      <c r="M222" s="22" t="s">
        <v>3097</v>
      </c>
      <c r="N222" s="22" t="s">
        <v>3099</v>
      </c>
      <c r="O222" s="22" t="s">
        <v>45</v>
      </c>
      <c r="P222" s="22" t="s">
        <v>45</v>
      </c>
      <c r="Q222" s="22" t="s">
        <v>45</v>
      </c>
      <c r="R222" s="22" t="s">
        <v>45</v>
      </c>
      <c r="S222" s="22" t="s">
        <v>45</v>
      </c>
      <c r="T222" s="22" t="s">
        <v>5729</v>
      </c>
      <c r="U222" s="22" t="s">
        <v>45</v>
      </c>
      <c r="V222" s="22" t="s">
        <v>45</v>
      </c>
      <c r="W222" s="22" t="s">
        <v>5759</v>
      </c>
    </row>
    <row r="223" ht="45.0" customHeight="1">
      <c r="A223" s="55" t="s">
        <v>985</v>
      </c>
      <c r="B223" s="62" t="s">
        <v>4697</v>
      </c>
      <c r="C223" s="22" t="str">
        <f>IMAGE("https://raw.githubusercontent.com/ltdimages/images/refs/heads/main/ClothHeadwearOrnamentSideHibiscus_00.png")</f>
        <v/>
      </c>
      <c r="D223" s="22" t="str">
        <f>IMAGE("https://raw.githubusercontent.com/ltdimages/images/refs/heads/main/ClothHeadwearOrnamentSideHibiscus_01.png")</f>
        <v/>
      </c>
      <c r="E223" s="22" t="str">
        <f>IMAGE("https://raw.githubusercontent.com/ltdimages/images/refs/heads/main/ClothHeadwearOrnamentSideHibiscus_02.png")</f>
        <v/>
      </c>
      <c r="F223" s="22" t="str">
        <f>IMAGE("https://raw.githubusercontent.com/ltdimages/images/refs/heads/main/ClothHeadwearOrnamentSideHibiscus_03.png")</f>
        <v/>
      </c>
      <c r="G223" s="22" t="str">
        <f>IMAGE("https://raw.githubusercontent.com/ltdimages/images/refs/heads/main/ClothHeadwearOrnamentSideHibiscus_04.png")</f>
        <v/>
      </c>
      <c r="H223" s="22" t="str">
        <f>IMAGE("https://raw.githubusercontent.com/ltdimages/images/refs/heads/main/ClothHeadwearOrnamentSideHibiscus_05.png")</f>
        <v/>
      </c>
      <c r="I223" s="22" t="s">
        <v>3095</v>
      </c>
      <c r="J223" s="22" t="s">
        <v>3095</v>
      </c>
      <c r="K223" s="63" t="s">
        <v>3244</v>
      </c>
      <c r="L223" s="23">
        <v>11.0</v>
      </c>
      <c r="M223" s="22" t="s">
        <v>3097</v>
      </c>
      <c r="N223" s="22" t="s">
        <v>3123</v>
      </c>
      <c r="O223" s="22" t="s">
        <v>45</v>
      </c>
      <c r="P223" s="22" t="s">
        <v>45</v>
      </c>
      <c r="Q223" s="22" t="s">
        <v>45</v>
      </c>
      <c r="R223" s="22" t="s">
        <v>45</v>
      </c>
      <c r="S223" s="22" t="s">
        <v>45</v>
      </c>
      <c r="T223" s="22" t="s">
        <v>5740</v>
      </c>
      <c r="U223" s="22" t="s">
        <v>45</v>
      </c>
      <c r="V223" s="22" t="s">
        <v>45</v>
      </c>
      <c r="W223" s="22" t="s">
        <v>5760</v>
      </c>
    </row>
    <row r="224" ht="45.0" customHeight="1">
      <c r="A224" s="55" t="s">
        <v>989</v>
      </c>
      <c r="B224" s="62" t="s">
        <v>5761</v>
      </c>
      <c r="C224" s="22" t="str">
        <f>IMAGE("https://raw.githubusercontent.com/ltdimages/images/refs/heads/main/ClothHeadwearOrnamentFrontHorn_00.png")</f>
        <v/>
      </c>
      <c r="D224" s="22" t="str">
        <f>IMAGE("https://raw.githubusercontent.com/ltdimages/images/refs/heads/main/ClothHeadwearOrnamentFrontHorn_01.png")</f>
        <v/>
      </c>
      <c r="E224" s="22" t="str">
        <f>IMAGE("https://raw.githubusercontent.com/ltdimages/images/refs/heads/main/ClothHeadwearOrnamentFrontHorn_02.png")</f>
        <v/>
      </c>
      <c r="F224" s="22" t="str">
        <f>IMAGE("https://raw.githubusercontent.com/ltdimages/images/refs/heads/main/ClothHeadwearOrnamentFrontHorn_03.png")</f>
        <v/>
      </c>
      <c r="G224" s="22" t="str">
        <f>IMAGE("https://raw.githubusercontent.com/ltdimages/images/refs/heads/main/ClothHeadwearOrnamentFrontHorn_04.png")</f>
        <v/>
      </c>
      <c r="H224" s="22" t="str">
        <f>IMAGE("https://raw.githubusercontent.com/ltdimages/images/refs/heads/main/ClothHeadwearOrnamentFrontHorn_05.png")</f>
        <v/>
      </c>
      <c r="I224" s="22" t="str">
        <f>IMAGE("https://raw.githubusercontent.com/ltdimages/images/refs/heads/main/ClothHeadwearOrnamentFrontHorn_06.png")</f>
        <v/>
      </c>
      <c r="J224" s="22" t="str">
        <f>IMAGE("https://raw.githubusercontent.com/ltdimages/images/refs/heads/main/ClothHeadwearOrnamentFrontHorn_07.png")</f>
        <v/>
      </c>
      <c r="K224" s="63" t="s">
        <v>3244</v>
      </c>
      <c r="L224" s="23">
        <v>15.0</v>
      </c>
      <c r="M224" s="22" t="s">
        <v>3097</v>
      </c>
      <c r="N224" s="22" t="s">
        <v>3099</v>
      </c>
      <c r="O224" s="22" t="s">
        <v>45</v>
      </c>
      <c r="P224" s="22" t="s">
        <v>45</v>
      </c>
      <c r="Q224" s="22" t="s">
        <v>45</v>
      </c>
      <c r="R224" s="22" t="s">
        <v>49</v>
      </c>
      <c r="S224" s="22" t="s">
        <v>45</v>
      </c>
      <c r="T224" s="22" t="s">
        <v>5729</v>
      </c>
      <c r="U224" s="22" t="s">
        <v>45</v>
      </c>
      <c r="V224" s="22" t="s">
        <v>45</v>
      </c>
      <c r="W224" s="22" t="s">
        <v>5762</v>
      </c>
    </row>
    <row r="225" ht="45.0" customHeight="1">
      <c r="A225" s="55" t="s">
        <v>993</v>
      </c>
      <c r="B225" s="62" t="s">
        <v>4506</v>
      </c>
      <c r="C225" s="22" t="str">
        <f>IMAGE("https://raw.githubusercontent.com/ltdimages/images/refs/heads/main/ClothHeadwearOrnamentSideWakazari_00.png")</f>
        <v/>
      </c>
      <c r="D225" s="22" t="str">
        <f>IMAGE("https://raw.githubusercontent.com/ltdimages/images/refs/heads/main/ClothHeadwearOrnamentSideWakazari_01.png")</f>
        <v/>
      </c>
      <c r="E225" s="22" t="str">
        <f>IMAGE("https://raw.githubusercontent.com/ltdimages/images/refs/heads/main/ClothHeadwearOrnamentSideWakazari_02.png")</f>
        <v/>
      </c>
      <c r="F225" s="22" t="str">
        <f>IMAGE("https://raw.githubusercontent.com/ltdimages/images/refs/heads/main/ClothHeadwearOrnamentSideWakazari_03.png")</f>
        <v/>
      </c>
      <c r="G225" s="22" t="str">
        <f>IMAGE("https://raw.githubusercontent.com/ltdimages/images/refs/heads/main/ClothHeadwearOrnamentSideWakazari_04.png")</f>
        <v/>
      </c>
      <c r="H225" s="22" t="str">
        <f>IMAGE("https://raw.githubusercontent.com/ltdimages/images/refs/heads/main/ClothHeadwearOrnamentSideWakazari_05.png")</f>
        <v/>
      </c>
      <c r="I225" s="22" t="str">
        <f>IMAGE("https://raw.githubusercontent.com/ltdimages/images/refs/heads/main/ClothHeadwearOrnamentSideWakazari_06.png")</f>
        <v/>
      </c>
      <c r="J225" s="22" t="str">
        <f>IMAGE("https://raw.githubusercontent.com/ltdimages/images/refs/heads/main/ClothHeadwearOrnamentSideWakazari_07.png")</f>
        <v/>
      </c>
      <c r="K225" s="63" t="s">
        <v>3244</v>
      </c>
      <c r="L225" s="23">
        <v>32.0</v>
      </c>
      <c r="M225" s="22" t="s">
        <v>3097</v>
      </c>
      <c r="N225" s="22" t="s">
        <v>3099</v>
      </c>
      <c r="O225" s="22" t="s">
        <v>45</v>
      </c>
      <c r="P225" s="22" t="s">
        <v>45</v>
      </c>
      <c r="Q225" s="22" t="s">
        <v>45</v>
      </c>
      <c r="R225" s="22" t="s">
        <v>45</v>
      </c>
      <c r="S225" s="22" t="s">
        <v>45</v>
      </c>
      <c r="T225" s="22" t="s">
        <v>5740</v>
      </c>
      <c r="U225" s="22" t="s">
        <v>45</v>
      </c>
      <c r="V225" s="22" t="s">
        <v>45</v>
      </c>
      <c r="W225" s="22" t="s">
        <v>5763</v>
      </c>
    </row>
    <row r="226" ht="45.0" customHeight="1">
      <c r="A226" s="55" t="s">
        <v>997</v>
      </c>
      <c r="B226" s="62" t="s">
        <v>5764</v>
      </c>
      <c r="C226" s="22" t="str">
        <f>IMAGE("https://raw.githubusercontent.com/ltdimages/images/refs/heads/main/ClothHeadwearOrnamentTopKeyHolder_00.png")</f>
        <v/>
      </c>
      <c r="D226" s="22" t="str">
        <f>IMAGE("https://raw.githubusercontent.com/ltdimages/images/refs/heads/main/ClothHeadwearOrnamentTopKeyHolder_01.png")</f>
        <v/>
      </c>
      <c r="E226" s="22" t="str">
        <f>IMAGE("https://raw.githubusercontent.com/ltdimages/images/refs/heads/main/ClothHeadwearOrnamentTopKeyHolder_02.png")</f>
        <v/>
      </c>
      <c r="F226" s="22" t="str">
        <f>IMAGE("https://raw.githubusercontent.com/ltdimages/images/refs/heads/main/ClothHeadwearOrnamentTopKeyHolder_03.png")</f>
        <v/>
      </c>
      <c r="G226" s="22" t="s">
        <v>3095</v>
      </c>
      <c r="H226" s="22" t="s">
        <v>3095</v>
      </c>
      <c r="I226" s="22" t="s">
        <v>3095</v>
      </c>
      <c r="J226" s="22" t="s">
        <v>3095</v>
      </c>
      <c r="K226" s="63" t="s">
        <v>3244</v>
      </c>
      <c r="L226" s="23">
        <v>9.8</v>
      </c>
      <c r="M226" s="22" t="s">
        <v>3097</v>
      </c>
      <c r="N226" s="22" t="s">
        <v>3099</v>
      </c>
      <c r="O226" s="22" t="s">
        <v>45</v>
      </c>
      <c r="P226" s="22" t="s">
        <v>45</v>
      </c>
      <c r="Q226" s="22" t="s">
        <v>45</v>
      </c>
      <c r="R226" s="22" t="s">
        <v>49</v>
      </c>
      <c r="S226" s="22" t="s">
        <v>45</v>
      </c>
      <c r="T226" s="22" t="s">
        <v>2956</v>
      </c>
      <c r="U226" s="22" t="s">
        <v>45</v>
      </c>
      <c r="V226" s="22" t="s">
        <v>45</v>
      </c>
      <c r="W226" s="22" t="s">
        <v>5765</v>
      </c>
    </row>
    <row r="227" ht="45.0" customHeight="1">
      <c r="A227" s="55" t="s">
        <v>1002</v>
      </c>
      <c r="B227" s="62" t="s">
        <v>4320</v>
      </c>
      <c r="C227" s="22" t="str">
        <f>IMAGE("https://raw.githubusercontent.com/ltdimages/images/refs/heads/main/ClothHeadwearOrnamentFrontMaid_00.png")</f>
        <v/>
      </c>
      <c r="D227" s="22" t="str">
        <f>IMAGE("https://raw.githubusercontent.com/ltdimages/images/refs/heads/main/ClothHeadwearOrnamentFrontMaid_01.png")</f>
        <v/>
      </c>
      <c r="E227" s="22" t="s">
        <v>3095</v>
      </c>
      <c r="F227" s="22" t="s">
        <v>3095</v>
      </c>
      <c r="G227" s="22" t="s">
        <v>3095</v>
      </c>
      <c r="H227" s="22" t="s">
        <v>3095</v>
      </c>
      <c r="I227" s="22" t="s">
        <v>3095</v>
      </c>
      <c r="J227" s="22" t="s">
        <v>3095</v>
      </c>
      <c r="K227" s="63" t="s">
        <v>3244</v>
      </c>
      <c r="L227" s="23">
        <v>32.0</v>
      </c>
      <c r="M227" s="22" t="s">
        <v>4231</v>
      </c>
      <c r="N227" s="22" t="s">
        <v>3099</v>
      </c>
      <c r="O227" s="22" t="s">
        <v>45</v>
      </c>
      <c r="P227" s="22" t="s">
        <v>45</v>
      </c>
      <c r="Q227" s="22" t="s">
        <v>45</v>
      </c>
      <c r="R227" s="22" t="s">
        <v>49</v>
      </c>
      <c r="S227" s="22" t="s">
        <v>45</v>
      </c>
      <c r="T227" s="22" t="s">
        <v>5729</v>
      </c>
      <c r="U227" s="22" t="s">
        <v>45</v>
      </c>
      <c r="V227" s="22" t="s">
        <v>45</v>
      </c>
      <c r="W227" s="22" t="s">
        <v>5766</v>
      </c>
    </row>
    <row r="228" ht="45.0" customHeight="1">
      <c r="A228" s="55" t="s">
        <v>1007</v>
      </c>
      <c r="B228" s="62" t="s">
        <v>5767</v>
      </c>
      <c r="C228" s="22" t="str">
        <f>IMAGE("https://raw.githubusercontent.com/ltdimages/images/refs/heads/main/ClothHeadwearOrnamentTopPuppet_00.png")</f>
        <v/>
      </c>
      <c r="D228" s="22" t="s">
        <v>3095</v>
      </c>
      <c r="E228" s="22" t="s">
        <v>3095</v>
      </c>
      <c r="F228" s="22" t="s">
        <v>3095</v>
      </c>
      <c r="G228" s="22" t="s">
        <v>3095</v>
      </c>
      <c r="H228" s="22" t="s">
        <v>3095</v>
      </c>
      <c r="I228" s="22" t="s">
        <v>3095</v>
      </c>
      <c r="J228" s="22" t="s">
        <v>3095</v>
      </c>
      <c r="K228" s="63" t="s">
        <v>3244</v>
      </c>
      <c r="L228" s="23">
        <v>10.0</v>
      </c>
      <c r="M228" s="22" t="s">
        <v>3097</v>
      </c>
      <c r="N228" s="22" t="s">
        <v>3099</v>
      </c>
      <c r="O228" s="22" t="s">
        <v>45</v>
      </c>
      <c r="P228" s="22" t="s">
        <v>45</v>
      </c>
      <c r="Q228" s="22" t="s">
        <v>45</v>
      </c>
      <c r="R228" s="22" t="s">
        <v>49</v>
      </c>
      <c r="S228" s="22" t="s">
        <v>45</v>
      </c>
      <c r="T228" s="22" t="s">
        <v>2956</v>
      </c>
      <c r="U228" s="22" t="s">
        <v>45</v>
      </c>
      <c r="V228" s="22" t="s">
        <v>45</v>
      </c>
      <c r="W228" s="22" t="s">
        <v>5768</v>
      </c>
    </row>
    <row r="229" ht="45.0" customHeight="1">
      <c r="A229" s="55" t="s">
        <v>1011</v>
      </c>
      <c r="B229" s="62" t="s">
        <v>3582</v>
      </c>
      <c r="C229" s="22" t="str">
        <f>IMAGE("https://raw.githubusercontent.com/ltdimages/images/refs/heads/main/ClothHeadwearOrnamentSideMiniSilkHat_00.png")</f>
        <v/>
      </c>
      <c r="D229" s="22" t="str">
        <f>IMAGE("https://raw.githubusercontent.com/ltdimages/images/refs/heads/main/ClothHeadwearOrnamentSideMiniSilkHat_01.png")</f>
        <v/>
      </c>
      <c r="E229" s="22" t="str">
        <f>IMAGE("https://raw.githubusercontent.com/ltdimages/images/refs/heads/main/ClothHeadwearOrnamentSideMiniSilkHat_02.png")</f>
        <v/>
      </c>
      <c r="F229" s="22" t="str">
        <f>IMAGE("https://raw.githubusercontent.com/ltdimages/images/refs/heads/main/ClothHeadwearOrnamentSideMiniSilkHat_03.png")</f>
        <v/>
      </c>
      <c r="G229" s="22" t="str">
        <f>IMAGE("https://raw.githubusercontent.com/ltdimages/images/refs/heads/main/ClothHeadwearOrnamentSideMiniSilkHat_04.png")</f>
        <v/>
      </c>
      <c r="H229" s="22" t="str">
        <f>IMAGE("https://raw.githubusercontent.com/ltdimages/images/refs/heads/main/ClothHeadwearOrnamentSideMiniSilkHat_05.png")</f>
        <v/>
      </c>
      <c r="I229" s="22" t="str">
        <f>IMAGE("https://raw.githubusercontent.com/ltdimages/images/refs/heads/main/ClothHeadwearOrnamentSideMiniSilkHat_06.png")</f>
        <v/>
      </c>
      <c r="J229" s="22" t="str">
        <f>IMAGE("https://raw.githubusercontent.com/ltdimages/images/refs/heads/main/ClothHeadwearOrnamentSideMiniSilkHat_07.png")</f>
        <v/>
      </c>
      <c r="K229" s="63" t="s">
        <v>3244</v>
      </c>
      <c r="L229" s="23">
        <v>14.4</v>
      </c>
      <c r="M229" s="22" t="s">
        <v>3097</v>
      </c>
      <c r="N229" s="22" t="s">
        <v>3099</v>
      </c>
      <c r="O229" s="22" t="s">
        <v>45</v>
      </c>
      <c r="P229" s="22" t="s">
        <v>45</v>
      </c>
      <c r="Q229" s="22" t="s">
        <v>45</v>
      </c>
      <c r="R229" s="22" t="s">
        <v>45</v>
      </c>
      <c r="S229" s="22" t="s">
        <v>45</v>
      </c>
      <c r="T229" s="22" t="s">
        <v>5740</v>
      </c>
      <c r="U229" s="22" t="s">
        <v>45</v>
      </c>
      <c r="V229" s="22" t="s">
        <v>45</v>
      </c>
      <c r="W229" s="22" t="s">
        <v>5769</v>
      </c>
    </row>
    <row r="230" ht="45.0" customHeight="1">
      <c r="A230" s="55" t="s">
        <v>1015</v>
      </c>
      <c r="B230" s="62" t="s">
        <v>5770</v>
      </c>
      <c r="C230" s="22" t="str">
        <f>IMAGE("https://raw.githubusercontent.com/ltdimages/images/refs/heads/main/ClothHeadwearOrnamentTopUfo_00.png")</f>
        <v/>
      </c>
      <c r="D230" s="22" t="s">
        <v>3095</v>
      </c>
      <c r="E230" s="22" t="s">
        <v>3095</v>
      </c>
      <c r="F230" s="22" t="s">
        <v>3095</v>
      </c>
      <c r="G230" s="22" t="s">
        <v>3095</v>
      </c>
      <c r="H230" s="22" t="s">
        <v>3095</v>
      </c>
      <c r="I230" s="22" t="s">
        <v>3095</v>
      </c>
      <c r="J230" s="22" t="s">
        <v>3095</v>
      </c>
      <c r="K230" s="63" t="s">
        <v>3244</v>
      </c>
      <c r="L230" s="23">
        <v>31.9</v>
      </c>
      <c r="M230" s="22" t="s">
        <v>3097</v>
      </c>
      <c r="N230" s="22" t="s">
        <v>3099</v>
      </c>
      <c r="O230" s="22" t="s">
        <v>45</v>
      </c>
      <c r="P230" s="22" t="s">
        <v>45</v>
      </c>
      <c r="Q230" s="22" t="s">
        <v>45</v>
      </c>
      <c r="R230" s="22" t="s">
        <v>49</v>
      </c>
      <c r="S230" s="22" t="s">
        <v>45</v>
      </c>
      <c r="T230" s="22" t="s">
        <v>2956</v>
      </c>
      <c r="U230" s="22" t="s">
        <v>45</v>
      </c>
      <c r="V230" s="22" t="s">
        <v>45</v>
      </c>
      <c r="W230" s="22" t="s">
        <v>5771</v>
      </c>
    </row>
    <row r="231" ht="45.0" customHeight="1">
      <c r="A231" s="55" t="s">
        <v>1020</v>
      </c>
      <c r="B231" s="62" t="s">
        <v>4524</v>
      </c>
      <c r="C231" s="22" t="str">
        <f>IMAGE("https://raw.githubusercontent.com/ltdimages/images/refs/heads/main/ClothHeadwearOrnamentFrontNurseCap_00.png")</f>
        <v/>
      </c>
      <c r="D231" s="22" t="str">
        <f>IMAGE("https://raw.githubusercontent.com/ltdimages/images/refs/heads/main/ClothHeadwearOrnamentFrontNurseCap_01.png")</f>
        <v/>
      </c>
      <c r="E231" s="22" t="str">
        <f>IMAGE("https://raw.githubusercontent.com/ltdimages/images/refs/heads/main/ClothHeadwearOrnamentFrontNurseCap_02.png")</f>
        <v/>
      </c>
      <c r="F231" s="22" t="s">
        <v>3095</v>
      </c>
      <c r="G231" s="22" t="s">
        <v>3095</v>
      </c>
      <c r="H231" s="22" t="s">
        <v>3095</v>
      </c>
      <c r="I231" s="22" t="s">
        <v>3095</v>
      </c>
      <c r="J231" s="22" t="s">
        <v>3095</v>
      </c>
      <c r="K231" s="63" t="s">
        <v>3244</v>
      </c>
      <c r="L231" s="23">
        <v>27.0</v>
      </c>
      <c r="M231" s="22" t="s">
        <v>4231</v>
      </c>
      <c r="N231" s="22" t="s">
        <v>3099</v>
      </c>
      <c r="O231" s="22" t="s">
        <v>45</v>
      </c>
      <c r="P231" s="22" t="s">
        <v>45</v>
      </c>
      <c r="Q231" s="22" t="s">
        <v>45</v>
      </c>
      <c r="R231" s="22" t="s">
        <v>49</v>
      </c>
      <c r="S231" s="22" t="s">
        <v>45</v>
      </c>
      <c r="T231" s="22" t="s">
        <v>5729</v>
      </c>
      <c r="U231" s="22" t="s">
        <v>45</v>
      </c>
      <c r="V231" s="22" t="s">
        <v>45</v>
      </c>
      <c r="W231" s="22" t="s">
        <v>5772</v>
      </c>
    </row>
    <row r="232" ht="45.0" customHeight="1">
      <c r="A232" s="55" t="s">
        <v>1024</v>
      </c>
      <c r="B232" s="62" t="s">
        <v>5773</v>
      </c>
      <c r="C232" s="22" t="str">
        <f>IMAGE("https://raw.githubusercontent.com/ltdimages/images/refs/heads/main/ClothHeadwearOrnamentSidePearl_00.png")</f>
        <v/>
      </c>
      <c r="D232" s="22" t="str">
        <f>IMAGE("https://raw.githubusercontent.com/ltdimages/images/refs/heads/main/ClothHeadwearOrnamentSidePearl_01.png")</f>
        <v/>
      </c>
      <c r="E232" s="22" t="str">
        <f>IMAGE("https://raw.githubusercontent.com/ltdimages/images/refs/heads/main/ClothHeadwearOrnamentSidePearl_02.png")</f>
        <v/>
      </c>
      <c r="F232" s="22" t="str">
        <f>IMAGE("https://raw.githubusercontent.com/ltdimages/images/refs/heads/main/ClothHeadwearOrnamentSidePearl_03.png")</f>
        <v/>
      </c>
      <c r="G232" s="22" t="str">
        <f>IMAGE("https://raw.githubusercontent.com/ltdimages/images/refs/heads/main/ClothHeadwearOrnamentSidePearl_04.png")</f>
        <v/>
      </c>
      <c r="H232" s="22" t="str">
        <f>IMAGE("https://raw.githubusercontent.com/ltdimages/images/refs/heads/main/ClothHeadwearOrnamentSidePearl_05.png")</f>
        <v/>
      </c>
      <c r="I232" s="22" t="s">
        <v>3095</v>
      </c>
      <c r="J232" s="22" t="s">
        <v>3095</v>
      </c>
      <c r="K232" s="63" t="s">
        <v>3244</v>
      </c>
      <c r="L232" s="23">
        <v>9.1</v>
      </c>
      <c r="M232" s="22" t="s">
        <v>3097</v>
      </c>
      <c r="N232" s="22" t="s">
        <v>3099</v>
      </c>
      <c r="O232" s="22" t="s">
        <v>45</v>
      </c>
      <c r="P232" s="22" t="s">
        <v>45</v>
      </c>
      <c r="Q232" s="22" t="s">
        <v>45</v>
      </c>
      <c r="R232" s="22" t="s">
        <v>45</v>
      </c>
      <c r="S232" s="22" t="s">
        <v>45</v>
      </c>
      <c r="T232" s="22" t="s">
        <v>5740</v>
      </c>
      <c r="U232" s="22" t="s">
        <v>45</v>
      </c>
      <c r="V232" s="22" t="s">
        <v>45</v>
      </c>
      <c r="W232" s="22" t="s">
        <v>5774</v>
      </c>
    </row>
    <row r="233" ht="45.0" customHeight="1">
      <c r="A233" s="55" t="s">
        <v>1028</v>
      </c>
      <c r="B233" s="62" t="s">
        <v>4562</v>
      </c>
      <c r="C233" s="22" t="str">
        <f>IMAGE("https://raw.githubusercontent.com/ltdimages/images/refs/heads/main/ClothHeadwearOrnamentSideIdol_00.png")</f>
        <v/>
      </c>
      <c r="D233" s="22" t="str">
        <f>IMAGE("https://raw.githubusercontent.com/ltdimages/images/refs/heads/main/ClothHeadwearOrnamentSideIdol_01.png")</f>
        <v/>
      </c>
      <c r="E233" s="22" t="str">
        <f>IMAGE("https://raw.githubusercontent.com/ltdimages/images/refs/heads/main/ClothHeadwearOrnamentSideIdol_02.png")</f>
        <v/>
      </c>
      <c r="F233" s="22" t="str">
        <f>IMAGE("https://raw.githubusercontent.com/ltdimages/images/refs/heads/main/ClothHeadwearOrnamentSideIdol_03.png")</f>
        <v/>
      </c>
      <c r="G233" s="22" t="str">
        <f>IMAGE("https://raw.githubusercontent.com/ltdimages/images/refs/heads/main/ClothHeadwearOrnamentSideIdol_04.png")</f>
        <v/>
      </c>
      <c r="H233" s="22" t="str">
        <f>IMAGE("https://raw.githubusercontent.com/ltdimages/images/refs/heads/main/ClothHeadwearOrnamentSideIdol_05.png")</f>
        <v/>
      </c>
      <c r="I233" s="22" t="str">
        <f>IMAGE("https://raw.githubusercontent.com/ltdimages/images/refs/heads/main/ClothHeadwearOrnamentSideIdol_06.png")</f>
        <v/>
      </c>
      <c r="J233" s="22" t="str">
        <f>IMAGE("https://raw.githubusercontent.com/ltdimages/images/refs/heads/main/ClothHeadwearOrnamentSideIdol_07.png")</f>
        <v/>
      </c>
      <c r="K233" s="63" t="s">
        <v>3244</v>
      </c>
      <c r="L233" s="23">
        <v>18.0</v>
      </c>
      <c r="M233" s="22" t="s">
        <v>3097</v>
      </c>
      <c r="N233" s="22" t="s">
        <v>3099</v>
      </c>
      <c r="O233" s="22" t="s">
        <v>45</v>
      </c>
      <c r="P233" s="22" t="s">
        <v>45</v>
      </c>
      <c r="Q233" s="22" t="s">
        <v>45</v>
      </c>
      <c r="R233" s="22" t="s">
        <v>49</v>
      </c>
      <c r="S233" s="22" t="s">
        <v>45</v>
      </c>
      <c r="T233" s="22" t="s">
        <v>5740</v>
      </c>
      <c r="U233" s="22" t="s">
        <v>45</v>
      </c>
      <c r="V233" s="22" t="s">
        <v>45</v>
      </c>
      <c r="W233" s="22" t="s">
        <v>5775</v>
      </c>
    </row>
    <row r="234" ht="45.0" customHeight="1">
      <c r="A234" s="55" t="s">
        <v>1032</v>
      </c>
      <c r="B234" s="62" t="s">
        <v>5776</v>
      </c>
      <c r="C234" s="22" t="str">
        <f>IMAGE("https://raw.githubusercontent.com/ltdimages/images/refs/heads/main/ClothHeadwearOrnamentTopTag_00.png")</f>
        <v/>
      </c>
      <c r="D234" s="22" t="str">
        <f>IMAGE("https://raw.githubusercontent.com/ltdimages/images/refs/heads/main/ClothHeadwearOrnamentTopTag_01.png")</f>
        <v/>
      </c>
      <c r="E234" s="22" t="str">
        <f>IMAGE("https://raw.githubusercontent.com/ltdimages/images/refs/heads/main/ClothHeadwearOrnamentTopTag_02.png")</f>
        <v/>
      </c>
      <c r="F234" s="22" t="str">
        <f>IMAGE("https://raw.githubusercontent.com/ltdimages/images/refs/heads/main/ClothHeadwearOrnamentTopTag_03.png")</f>
        <v/>
      </c>
      <c r="G234" s="22" t="str">
        <f>IMAGE("https://raw.githubusercontent.com/ltdimages/images/refs/heads/main/ClothHeadwearOrnamentTopTag_04.png")</f>
        <v/>
      </c>
      <c r="H234" s="22" t="str">
        <f>IMAGE("https://raw.githubusercontent.com/ltdimages/images/refs/heads/main/ClothHeadwearOrnamentTopTag_05.png")</f>
        <v/>
      </c>
      <c r="I234" s="22" t="s">
        <v>3095</v>
      </c>
      <c r="J234" s="22" t="s">
        <v>3095</v>
      </c>
      <c r="K234" s="63" t="s">
        <v>3244</v>
      </c>
      <c r="L234" s="23">
        <v>3.0</v>
      </c>
      <c r="M234" s="22" t="s">
        <v>3097</v>
      </c>
      <c r="N234" s="22" t="s">
        <v>3099</v>
      </c>
      <c r="O234" s="22" t="s">
        <v>45</v>
      </c>
      <c r="P234" s="22" t="s">
        <v>45</v>
      </c>
      <c r="Q234" s="22" t="s">
        <v>45</v>
      </c>
      <c r="R234" s="22" t="s">
        <v>49</v>
      </c>
      <c r="S234" s="22" t="s">
        <v>45</v>
      </c>
      <c r="T234" s="22" t="s">
        <v>2956</v>
      </c>
      <c r="U234" s="22" t="s">
        <v>45</v>
      </c>
      <c r="V234" s="22" t="s">
        <v>45</v>
      </c>
      <c r="W234" s="22" t="s">
        <v>5777</v>
      </c>
    </row>
    <row r="235" ht="45.0" customHeight="1">
      <c r="A235" s="55" t="s">
        <v>1036</v>
      </c>
      <c r="B235" s="62" t="s">
        <v>3856</v>
      </c>
      <c r="C235" s="22" t="str">
        <f>IMAGE("https://raw.githubusercontent.com/ltdimages/images/refs/heads/main/ClothHeadwearOrnamentTopPrince_00.png")</f>
        <v/>
      </c>
      <c r="D235" s="22" t="str">
        <f>IMAGE("https://raw.githubusercontent.com/ltdimages/images/refs/heads/main/ClothHeadwearOrnamentTopPrince_01.png")</f>
        <v/>
      </c>
      <c r="E235" s="22" t="str">
        <f>IMAGE("https://raw.githubusercontent.com/ltdimages/images/refs/heads/main/ClothHeadwearOrnamentTopPrince_02.png")</f>
        <v/>
      </c>
      <c r="F235" s="22" t="s">
        <v>3095</v>
      </c>
      <c r="G235" s="22" t="s">
        <v>3095</v>
      </c>
      <c r="H235" s="22" t="s">
        <v>3095</v>
      </c>
      <c r="I235" s="22" t="s">
        <v>3095</v>
      </c>
      <c r="J235" s="22" t="s">
        <v>3095</v>
      </c>
      <c r="K235" s="63" t="s">
        <v>3244</v>
      </c>
      <c r="L235" s="23">
        <v>800.0</v>
      </c>
      <c r="M235" s="22" t="s">
        <v>3097</v>
      </c>
      <c r="N235" s="22" t="s">
        <v>3099</v>
      </c>
      <c r="O235" s="22" t="s">
        <v>45</v>
      </c>
      <c r="P235" s="22" t="s">
        <v>45</v>
      </c>
      <c r="Q235" s="22" t="s">
        <v>45</v>
      </c>
      <c r="R235" s="22" t="s">
        <v>49</v>
      </c>
      <c r="S235" s="22" t="s">
        <v>45</v>
      </c>
      <c r="T235" s="22" t="s">
        <v>2956</v>
      </c>
      <c r="U235" s="22" t="s">
        <v>45</v>
      </c>
      <c r="V235" s="22" t="s">
        <v>45</v>
      </c>
      <c r="W235" s="22" t="s">
        <v>5778</v>
      </c>
    </row>
    <row r="236" ht="45.0" customHeight="1">
      <c r="A236" s="55" t="s">
        <v>1040</v>
      </c>
      <c r="B236" s="62" t="s">
        <v>4354</v>
      </c>
      <c r="C236" s="22" t="str">
        <f>IMAGE("https://raw.githubusercontent.com/ltdimages/images/refs/heads/main/ClothHeadwearOrnamentSideRibbon_00.png")</f>
        <v/>
      </c>
      <c r="D236" s="22" t="str">
        <f>IMAGE("https://raw.githubusercontent.com/ltdimages/images/refs/heads/main/ClothHeadwearOrnamentSideRibbon_01.png")</f>
        <v/>
      </c>
      <c r="E236" s="22" t="str">
        <f>IMAGE("https://raw.githubusercontent.com/ltdimages/images/refs/heads/main/ClothHeadwearOrnamentSideRibbon_02.png")</f>
        <v/>
      </c>
      <c r="F236" s="22" t="str">
        <f>IMAGE("https://raw.githubusercontent.com/ltdimages/images/refs/heads/main/ClothHeadwearOrnamentSideRibbon_03.png")</f>
        <v/>
      </c>
      <c r="G236" s="22" t="str">
        <f>IMAGE("https://raw.githubusercontent.com/ltdimages/images/refs/heads/main/ClothHeadwearOrnamentSideRibbon_04.png")</f>
        <v/>
      </c>
      <c r="H236" s="22" t="str">
        <f>IMAGE("https://raw.githubusercontent.com/ltdimages/images/refs/heads/main/ClothHeadwearOrnamentSideRibbon_05.png")</f>
        <v/>
      </c>
      <c r="I236" s="22" t="str">
        <f>IMAGE("https://raw.githubusercontent.com/ltdimages/images/refs/heads/main/ClothHeadwearOrnamentSideRibbon_06.png")</f>
        <v/>
      </c>
      <c r="J236" s="22" t="str">
        <f>IMAGE("https://raw.githubusercontent.com/ltdimages/images/refs/heads/main/ClothHeadwearOrnamentSideRibbon_07.png")</f>
        <v/>
      </c>
      <c r="K236" s="63" t="s">
        <v>3244</v>
      </c>
      <c r="L236" s="23">
        <v>15.5</v>
      </c>
      <c r="M236" s="22" t="s">
        <v>4231</v>
      </c>
      <c r="N236" s="22" t="s">
        <v>3099</v>
      </c>
      <c r="O236" s="22" t="s">
        <v>45</v>
      </c>
      <c r="P236" s="22" t="s">
        <v>45</v>
      </c>
      <c r="Q236" s="22" t="s">
        <v>45</v>
      </c>
      <c r="R236" s="22" t="s">
        <v>45</v>
      </c>
      <c r="S236" s="22" t="s">
        <v>45</v>
      </c>
      <c r="T236" s="22" t="s">
        <v>5740</v>
      </c>
      <c r="U236" s="22" t="s">
        <v>45</v>
      </c>
      <c r="V236" s="22" t="s">
        <v>45</v>
      </c>
      <c r="W236" s="22" t="s">
        <v>5779</v>
      </c>
    </row>
    <row r="237" ht="45.0" customHeight="1">
      <c r="A237" s="55" t="s">
        <v>1044</v>
      </c>
      <c r="B237" s="62" t="s">
        <v>5780</v>
      </c>
      <c r="C237" s="22" t="str">
        <f>IMAGE("https://raw.githubusercontent.com/ltdimages/images/refs/heads/main/ClothHeadwearOrnamentFrontDuck_00.png")</f>
        <v/>
      </c>
      <c r="D237" s="22" t="str">
        <f>IMAGE("https://raw.githubusercontent.com/ltdimages/images/refs/heads/main/ClothHeadwearOrnamentFrontDuck_01.png")</f>
        <v/>
      </c>
      <c r="E237" s="22" t="str">
        <f>IMAGE("https://raw.githubusercontent.com/ltdimages/images/refs/heads/main/ClothHeadwearOrnamentFrontDuck_02.png")</f>
        <v/>
      </c>
      <c r="F237" s="22" t="str">
        <f>IMAGE("https://raw.githubusercontent.com/ltdimages/images/refs/heads/main/ClothHeadwearOrnamentFrontDuck_03.png")</f>
        <v/>
      </c>
      <c r="G237" s="22" t="str">
        <f>IMAGE("https://raw.githubusercontent.com/ltdimages/images/refs/heads/main/ClothHeadwearOrnamentFrontDuck_04.png")</f>
        <v/>
      </c>
      <c r="H237" s="22" t="str">
        <f>IMAGE("https://raw.githubusercontent.com/ltdimages/images/refs/heads/main/ClothHeadwearOrnamentFrontDuck_05.png")</f>
        <v/>
      </c>
      <c r="I237" s="22" t="str">
        <f>IMAGE("https://raw.githubusercontent.com/ltdimages/images/refs/heads/main/ClothHeadwearOrnamentFrontDuck_06.png")</f>
        <v/>
      </c>
      <c r="J237" s="22" t="str">
        <f>IMAGE("https://raw.githubusercontent.com/ltdimages/images/refs/heads/main/ClothHeadwearOrnamentFrontDuck_07.png")</f>
        <v/>
      </c>
      <c r="K237" s="63" t="s">
        <v>3244</v>
      </c>
      <c r="L237" s="23">
        <v>12.5</v>
      </c>
      <c r="M237" s="22" t="s">
        <v>3097</v>
      </c>
      <c r="N237" s="22" t="s">
        <v>3099</v>
      </c>
      <c r="O237" s="22" t="s">
        <v>45</v>
      </c>
      <c r="P237" s="22" t="s">
        <v>45</v>
      </c>
      <c r="Q237" s="22" t="s">
        <v>45</v>
      </c>
      <c r="R237" s="22" t="s">
        <v>49</v>
      </c>
      <c r="S237" s="22" t="s">
        <v>45</v>
      </c>
      <c r="T237" s="22" t="s">
        <v>5729</v>
      </c>
      <c r="U237" s="22" t="s">
        <v>45</v>
      </c>
      <c r="V237" s="22" t="s">
        <v>45</v>
      </c>
      <c r="W237" s="22" t="s">
        <v>5781</v>
      </c>
    </row>
    <row r="238" ht="45.0" customHeight="1">
      <c r="A238" s="55" t="s">
        <v>1048</v>
      </c>
      <c r="B238" s="62" t="s">
        <v>3929</v>
      </c>
      <c r="C238" s="22" t="str">
        <f>IMAGE("https://raw.githubusercontent.com/ltdimages/images/refs/heads/main/ClothHeadwearOrnamentFrontSamba_00.png")</f>
        <v/>
      </c>
      <c r="D238" s="22" t="str">
        <f>IMAGE("https://raw.githubusercontent.com/ltdimages/images/refs/heads/main/ClothHeadwearOrnamentFrontSamba_01.png")</f>
        <v/>
      </c>
      <c r="E238" s="22" t="str">
        <f>IMAGE("https://raw.githubusercontent.com/ltdimages/images/refs/heads/main/ClothHeadwearOrnamentFrontSamba_02.png")</f>
        <v/>
      </c>
      <c r="F238" s="22" t="str">
        <f>IMAGE("https://raw.githubusercontent.com/ltdimages/images/refs/heads/main/ClothHeadwearOrnamentFrontSamba_03.png")</f>
        <v/>
      </c>
      <c r="G238" s="22" t="str">
        <f>IMAGE("https://raw.githubusercontent.com/ltdimages/images/refs/heads/main/ClothHeadwearOrnamentFrontSamba_04.png")</f>
        <v/>
      </c>
      <c r="H238" s="22" t="str">
        <f>IMAGE("https://raw.githubusercontent.com/ltdimages/images/refs/heads/main/ClothHeadwearOrnamentFrontSamba_05.png")</f>
        <v/>
      </c>
      <c r="I238" s="22" t="str">
        <f>IMAGE("https://raw.githubusercontent.com/ltdimages/images/refs/heads/main/ClothHeadwearOrnamentFrontSamba_06.png")</f>
        <v/>
      </c>
      <c r="J238" s="22" t="str">
        <f>IMAGE("https://raw.githubusercontent.com/ltdimages/images/refs/heads/main/ClothHeadwearOrnamentFrontSamba_07.png")</f>
        <v/>
      </c>
      <c r="K238" s="63" t="s">
        <v>3244</v>
      </c>
      <c r="L238" s="23">
        <v>39.0</v>
      </c>
      <c r="M238" s="22" t="s">
        <v>3097</v>
      </c>
      <c r="N238" s="22" t="s">
        <v>3123</v>
      </c>
      <c r="O238" s="22" t="s">
        <v>45</v>
      </c>
      <c r="P238" s="22" t="s">
        <v>45</v>
      </c>
      <c r="Q238" s="22" t="s">
        <v>45</v>
      </c>
      <c r="R238" s="22" t="s">
        <v>49</v>
      </c>
      <c r="S238" s="22" t="s">
        <v>45</v>
      </c>
      <c r="T238" s="22" t="s">
        <v>5729</v>
      </c>
      <c r="U238" s="22" t="s">
        <v>45</v>
      </c>
      <c r="V238" s="22" t="s">
        <v>45</v>
      </c>
      <c r="W238" s="22" t="s">
        <v>5782</v>
      </c>
    </row>
    <row r="239" ht="45.0" customHeight="1">
      <c r="A239" s="55" t="s">
        <v>1052</v>
      </c>
      <c r="B239" s="62" t="s">
        <v>5783</v>
      </c>
      <c r="C239" s="22" t="str">
        <f>IMAGE("https://raw.githubusercontent.com/ltdimages/images/refs/heads/main/ClothHeadwearOrnamentSidePinSeashell_00.png")</f>
        <v/>
      </c>
      <c r="D239" s="22" t="str">
        <f>IMAGE("https://raw.githubusercontent.com/ltdimages/images/refs/heads/main/ClothHeadwearOrnamentSidePinSeashell_01.png")</f>
        <v/>
      </c>
      <c r="E239" s="22" t="str">
        <f>IMAGE("https://raw.githubusercontent.com/ltdimages/images/refs/heads/main/ClothHeadwearOrnamentSidePinSeashell_02.png")</f>
        <v/>
      </c>
      <c r="F239" s="22" t="str">
        <f>IMAGE("https://raw.githubusercontent.com/ltdimages/images/refs/heads/main/ClothHeadwearOrnamentSidePinSeashell_03.png")</f>
        <v/>
      </c>
      <c r="G239" s="22" t="str">
        <f>IMAGE("https://raw.githubusercontent.com/ltdimages/images/refs/heads/main/ClothHeadwearOrnamentSidePinSeashell_04.png")</f>
        <v/>
      </c>
      <c r="H239" s="22" t="str">
        <f>IMAGE("https://raw.githubusercontent.com/ltdimages/images/refs/heads/main/ClothHeadwearOrnamentSidePinSeashell_05.png")</f>
        <v/>
      </c>
      <c r="I239" s="22" t="s">
        <v>3095</v>
      </c>
      <c r="J239" s="22" t="s">
        <v>3095</v>
      </c>
      <c r="K239" s="63" t="s">
        <v>3244</v>
      </c>
      <c r="L239" s="23">
        <v>12.0</v>
      </c>
      <c r="M239" s="22" t="s">
        <v>3097</v>
      </c>
      <c r="N239" s="22" t="s">
        <v>3099</v>
      </c>
      <c r="O239" s="22" t="s">
        <v>45</v>
      </c>
      <c r="P239" s="22" t="s">
        <v>45</v>
      </c>
      <c r="Q239" s="22" t="s">
        <v>45</v>
      </c>
      <c r="R239" s="22" t="s">
        <v>45</v>
      </c>
      <c r="S239" s="22" t="s">
        <v>45</v>
      </c>
      <c r="T239" s="22" t="s">
        <v>5740</v>
      </c>
      <c r="U239" s="22" t="s">
        <v>45</v>
      </c>
      <c r="V239" s="22" t="s">
        <v>45</v>
      </c>
      <c r="W239" s="22" t="s">
        <v>5784</v>
      </c>
    </row>
    <row r="240" ht="45.0" customHeight="1">
      <c r="A240" s="55" t="s">
        <v>1056</v>
      </c>
      <c r="B240" s="62" t="s">
        <v>4369</v>
      </c>
      <c r="C240" s="22" t="str">
        <f>IMAGE("https://raw.githubusercontent.com/ltdimages/images/refs/heads/main/ClothHeadwearOrnamentSidePin_00.png")</f>
        <v/>
      </c>
      <c r="D240" s="22" t="str">
        <f>IMAGE("https://raw.githubusercontent.com/ltdimages/images/refs/heads/main/ClothHeadwearOrnamentSidePin_01.png")</f>
        <v/>
      </c>
      <c r="E240" s="22" t="str">
        <f>IMAGE("https://raw.githubusercontent.com/ltdimages/images/refs/heads/main/ClothHeadwearOrnamentSidePin_02.png")</f>
        <v/>
      </c>
      <c r="F240" s="22" t="str">
        <f>IMAGE("https://raw.githubusercontent.com/ltdimages/images/refs/heads/main/ClothHeadwearOrnamentSidePin_03.png")</f>
        <v/>
      </c>
      <c r="G240" s="22" t="str">
        <f>IMAGE("https://raw.githubusercontent.com/ltdimages/images/refs/heads/main/ClothHeadwearOrnamentSidePin_04.png")</f>
        <v/>
      </c>
      <c r="H240" s="22" t="str">
        <f>IMAGE("https://raw.githubusercontent.com/ltdimages/images/refs/heads/main/ClothHeadwearOrnamentSidePin_05.png")</f>
        <v/>
      </c>
      <c r="I240" s="22" t="str">
        <f>IMAGE("https://raw.githubusercontent.com/ltdimages/images/refs/heads/main/ClothHeadwearOrnamentSidePin_06.png")</f>
        <v/>
      </c>
      <c r="J240" s="22" t="str">
        <f>IMAGE("https://raw.githubusercontent.com/ltdimages/images/refs/heads/main/ClothHeadwearOrnamentSidePin_07.png")</f>
        <v/>
      </c>
      <c r="K240" s="63" t="s">
        <v>3244</v>
      </c>
      <c r="L240" s="23">
        <v>5.8</v>
      </c>
      <c r="M240" s="22" t="s">
        <v>3097</v>
      </c>
      <c r="N240" s="22" t="s">
        <v>3099</v>
      </c>
      <c r="O240" s="22" t="s">
        <v>45</v>
      </c>
      <c r="P240" s="22" t="s">
        <v>45</v>
      </c>
      <c r="Q240" s="22" t="s">
        <v>45</v>
      </c>
      <c r="R240" s="22" t="s">
        <v>45</v>
      </c>
      <c r="S240" s="22" t="s">
        <v>45</v>
      </c>
      <c r="T240" s="22" t="s">
        <v>5740</v>
      </c>
      <c r="U240" s="22" t="s">
        <v>45</v>
      </c>
      <c r="V240" s="22" t="s">
        <v>45</v>
      </c>
      <c r="W240" s="22" t="s">
        <v>5785</v>
      </c>
    </row>
    <row r="241" ht="45.0" customHeight="1">
      <c r="A241" s="55" t="s">
        <v>1060</v>
      </c>
      <c r="B241" s="62" t="s">
        <v>4033</v>
      </c>
      <c r="C241" s="22" t="str">
        <f>IMAGE("https://raw.githubusercontent.com/ltdimages/images/refs/heads/main/ClothHeadwearOrnamentTopLeaf_00.png")</f>
        <v/>
      </c>
      <c r="D241" s="22" t="s">
        <v>3095</v>
      </c>
      <c r="E241" s="22" t="s">
        <v>3095</v>
      </c>
      <c r="F241" s="22" t="s">
        <v>3095</v>
      </c>
      <c r="G241" s="22" t="s">
        <v>3095</v>
      </c>
      <c r="H241" s="22" t="s">
        <v>3095</v>
      </c>
      <c r="I241" s="22" t="s">
        <v>3095</v>
      </c>
      <c r="J241" s="22" t="s">
        <v>3095</v>
      </c>
      <c r="K241" s="63" t="s">
        <v>3244</v>
      </c>
      <c r="L241" s="23">
        <v>7.0</v>
      </c>
      <c r="M241" s="22" t="s">
        <v>3097</v>
      </c>
      <c r="N241" s="22" t="s">
        <v>3099</v>
      </c>
      <c r="O241" s="22" t="s">
        <v>45</v>
      </c>
      <c r="P241" s="22" t="s">
        <v>45</v>
      </c>
      <c r="Q241" s="22" t="s">
        <v>45</v>
      </c>
      <c r="R241" s="22" t="s">
        <v>49</v>
      </c>
      <c r="S241" s="22" t="s">
        <v>45</v>
      </c>
      <c r="T241" s="22" t="s">
        <v>2956</v>
      </c>
      <c r="U241" s="22" t="s">
        <v>45</v>
      </c>
      <c r="V241" s="22" t="s">
        <v>45</v>
      </c>
      <c r="W241" s="22" t="s">
        <v>5786</v>
      </c>
    </row>
    <row r="242" ht="45.0" customHeight="1">
      <c r="A242" s="55" t="s">
        <v>1065</v>
      </c>
      <c r="B242" s="62" t="s">
        <v>4256</v>
      </c>
      <c r="C242" s="22" t="str">
        <f>IMAGE("https://raw.githubusercontent.com/ltdimages/images/refs/heads/main/ClothHeadwearOrnamentFrontTiara_00.png")</f>
        <v/>
      </c>
      <c r="D242" s="22" t="str">
        <f>IMAGE("https://raw.githubusercontent.com/ltdimages/images/refs/heads/main/ClothHeadwearOrnamentFrontTiara_01.png")</f>
        <v/>
      </c>
      <c r="E242" s="22" t="str">
        <f>IMAGE("https://raw.githubusercontent.com/ltdimages/images/refs/heads/main/ClothHeadwearOrnamentFrontTiara_02.png")</f>
        <v/>
      </c>
      <c r="F242" s="22" t="str">
        <f>IMAGE("https://raw.githubusercontent.com/ltdimages/images/refs/heads/main/ClothHeadwearOrnamentFrontTiara_03.png")</f>
        <v/>
      </c>
      <c r="G242" s="22" t="str">
        <f>IMAGE("https://raw.githubusercontent.com/ltdimages/images/refs/heads/main/ClothHeadwearOrnamentFrontTiara_04.png")</f>
        <v/>
      </c>
      <c r="H242" s="22" t="str">
        <f>IMAGE("https://raw.githubusercontent.com/ltdimages/images/refs/heads/main/ClothHeadwearOrnamentFrontTiara_05.png")</f>
        <v/>
      </c>
      <c r="I242" s="22" t="s">
        <v>3095</v>
      </c>
      <c r="J242" s="22" t="s">
        <v>3095</v>
      </c>
      <c r="K242" s="63" t="s">
        <v>3244</v>
      </c>
      <c r="L242" s="23">
        <v>100.0</v>
      </c>
      <c r="M242" s="22" t="s">
        <v>4231</v>
      </c>
      <c r="N242" s="22" t="s">
        <v>3099</v>
      </c>
      <c r="O242" s="22" t="s">
        <v>45</v>
      </c>
      <c r="P242" s="22" t="s">
        <v>45</v>
      </c>
      <c r="Q242" s="22" t="s">
        <v>45</v>
      </c>
      <c r="R242" s="22" t="s">
        <v>49</v>
      </c>
      <c r="S242" s="22" t="s">
        <v>45</v>
      </c>
      <c r="T242" s="22" t="s">
        <v>5729</v>
      </c>
      <c r="U242" s="22" t="s">
        <v>45</v>
      </c>
      <c r="V242" s="22" t="s">
        <v>45</v>
      </c>
      <c r="W242" s="22" t="s">
        <v>5787</v>
      </c>
    </row>
    <row r="243" ht="45.0" customHeight="1">
      <c r="A243" s="55" t="s">
        <v>1069</v>
      </c>
      <c r="B243" s="62" t="s">
        <v>5788</v>
      </c>
      <c r="C243" s="22" t="str">
        <f>IMAGE("https://raw.githubusercontent.com/ltdimages/images/refs/heads/main/ClothHeadwearOrnamentTopColorLamp_00.png")</f>
        <v/>
      </c>
      <c r="D243" s="22" t="str">
        <f>IMAGE("https://raw.githubusercontent.com/ltdimages/images/refs/heads/main/ClothHeadwearOrnamentTopColorLamp_01.png")</f>
        <v/>
      </c>
      <c r="E243" s="22" t="str">
        <f>IMAGE("https://raw.githubusercontent.com/ltdimages/images/refs/heads/main/ClothHeadwearOrnamentTopColorLamp_02.png")</f>
        <v/>
      </c>
      <c r="F243" s="22" t="str">
        <f>IMAGE("https://raw.githubusercontent.com/ltdimages/images/refs/heads/main/ClothHeadwearOrnamentTopColorLamp_03.png")</f>
        <v/>
      </c>
      <c r="G243" s="22" t="str">
        <f>IMAGE("https://raw.githubusercontent.com/ltdimages/images/refs/heads/main/ClothHeadwearOrnamentTopColorLamp_04.png")</f>
        <v/>
      </c>
      <c r="H243" s="22" t="str">
        <f>IMAGE("https://raw.githubusercontent.com/ltdimages/images/refs/heads/main/ClothHeadwearOrnamentTopColorLamp_05.png")</f>
        <v/>
      </c>
      <c r="I243" s="22" t="s">
        <v>3095</v>
      </c>
      <c r="J243" s="22" t="s">
        <v>3095</v>
      </c>
      <c r="K243" s="63" t="s">
        <v>3244</v>
      </c>
      <c r="L243" s="23">
        <v>25.0</v>
      </c>
      <c r="M243" s="22" t="s">
        <v>3097</v>
      </c>
      <c r="N243" s="22" t="s">
        <v>3099</v>
      </c>
      <c r="O243" s="22" t="s">
        <v>45</v>
      </c>
      <c r="P243" s="22" t="s">
        <v>45</v>
      </c>
      <c r="Q243" s="22" t="s">
        <v>45</v>
      </c>
      <c r="R243" s="22" t="s">
        <v>49</v>
      </c>
      <c r="S243" s="22" t="s">
        <v>45</v>
      </c>
      <c r="T243" s="22" t="s">
        <v>2956</v>
      </c>
      <c r="U243" s="22" t="s">
        <v>45</v>
      </c>
      <c r="V243" s="22" t="s">
        <v>45</v>
      </c>
      <c r="W243" s="22" t="s">
        <v>5789</v>
      </c>
    </row>
    <row r="244" ht="45.0" customHeight="1">
      <c r="A244" s="55" t="s">
        <v>1073</v>
      </c>
      <c r="B244" s="62" t="s">
        <v>4726</v>
      </c>
      <c r="C244" s="22" t="str">
        <f>IMAGE("https://raw.githubusercontent.com/ltdimages/images/refs/heads/main/ClothHeadwearOrnamentFrontWedding_00.png")</f>
        <v/>
      </c>
      <c r="D244" s="22" t="str">
        <f>IMAGE("https://raw.githubusercontent.com/ltdimages/images/refs/heads/main/ClothHeadwearOrnamentFrontWedding_01.png")</f>
        <v/>
      </c>
      <c r="E244" s="22" t="s">
        <v>3095</v>
      </c>
      <c r="F244" s="22" t="s">
        <v>3095</v>
      </c>
      <c r="G244" s="22" t="s">
        <v>3095</v>
      </c>
      <c r="H244" s="22" t="s">
        <v>3095</v>
      </c>
      <c r="I244" s="22" t="s">
        <v>3095</v>
      </c>
      <c r="J244" s="22" t="s">
        <v>3095</v>
      </c>
      <c r="K244" s="63" t="s">
        <v>3244</v>
      </c>
      <c r="L244" s="23">
        <v>150.0</v>
      </c>
      <c r="M244" s="22" t="s">
        <v>4231</v>
      </c>
      <c r="N244" s="22" t="s">
        <v>3099</v>
      </c>
      <c r="O244" s="22" t="s">
        <v>45</v>
      </c>
      <c r="P244" s="22" t="s">
        <v>45</v>
      </c>
      <c r="Q244" s="22" t="s">
        <v>45</v>
      </c>
      <c r="R244" s="22" t="s">
        <v>49</v>
      </c>
      <c r="S244" s="22" t="s">
        <v>45</v>
      </c>
      <c r="T244" s="22" t="s">
        <v>5729</v>
      </c>
      <c r="U244" s="22" t="s">
        <v>45</v>
      </c>
      <c r="V244" s="22" t="s">
        <v>45</v>
      </c>
      <c r="W244" s="22" t="s">
        <v>5790</v>
      </c>
    </row>
    <row r="245" ht="45.0" customHeight="1">
      <c r="A245" s="55" t="s">
        <v>3095</v>
      </c>
      <c r="B245" s="62"/>
      <c r="C245" s="22" t="str">
        <f>IMAGE("https://raw.githubusercontent.com/ltdimages/images/refs/heads/main/ClothHeadwearHatUgcBoater_00.png")</f>
        <v/>
      </c>
      <c r="D245" s="22" t="s">
        <v>3095</v>
      </c>
      <c r="E245" s="22" t="s">
        <v>3095</v>
      </c>
      <c r="F245" s="22" t="s">
        <v>3095</v>
      </c>
      <c r="G245" s="22" t="s">
        <v>3095</v>
      </c>
      <c r="H245" s="22" t="s">
        <v>3095</v>
      </c>
      <c r="I245" s="22" t="s">
        <v>3095</v>
      </c>
      <c r="J245" s="22" t="s">
        <v>3095</v>
      </c>
      <c r="K245" s="63" t="s">
        <v>3244</v>
      </c>
      <c r="L245" s="23">
        <v>0.0</v>
      </c>
      <c r="M245" s="22" t="s">
        <v>3097</v>
      </c>
      <c r="N245" s="22" t="s">
        <v>3099</v>
      </c>
      <c r="O245" s="22" t="s">
        <v>45</v>
      </c>
      <c r="P245" s="22" t="s">
        <v>45</v>
      </c>
      <c r="Q245" s="22" t="s">
        <v>45</v>
      </c>
      <c r="R245" s="22" t="s">
        <v>45</v>
      </c>
      <c r="S245" s="22" t="s">
        <v>49</v>
      </c>
      <c r="T245" s="22" t="s">
        <v>5441</v>
      </c>
      <c r="U245" s="22" t="s">
        <v>45</v>
      </c>
      <c r="V245" s="22" t="s">
        <v>45</v>
      </c>
      <c r="W245" s="22" t="s">
        <v>5791</v>
      </c>
    </row>
    <row r="246" ht="45.0" customHeight="1">
      <c r="A246" s="55" t="s">
        <v>3095</v>
      </c>
      <c r="B246" s="62"/>
      <c r="C246" s="22" t="str">
        <f>IMAGE("https://raw.githubusercontent.com/ltdimages/images/refs/heads/main/ClothHeadwearGlassDemoMiiGlass15_00.png")</f>
        <v/>
      </c>
      <c r="D246" s="22" t="s">
        <v>3095</v>
      </c>
      <c r="E246" s="22" t="s">
        <v>3095</v>
      </c>
      <c r="F246" s="22" t="s">
        <v>3095</v>
      </c>
      <c r="G246" s="22" t="s">
        <v>3095</v>
      </c>
      <c r="H246" s="22" t="s">
        <v>3095</v>
      </c>
      <c r="I246" s="22" t="s">
        <v>3095</v>
      </c>
      <c r="J246" s="22" t="s">
        <v>3095</v>
      </c>
      <c r="K246" s="63" t="s">
        <v>3244</v>
      </c>
      <c r="L246" s="23">
        <v>0.0</v>
      </c>
      <c r="M246" s="22" t="s">
        <v>3097</v>
      </c>
      <c r="N246" s="22" t="s">
        <v>3099</v>
      </c>
      <c r="O246" s="22" t="s">
        <v>45</v>
      </c>
      <c r="P246" s="22" t="s">
        <v>45</v>
      </c>
      <c r="Q246" s="22" t="s">
        <v>45</v>
      </c>
      <c r="R246" s="22" t="s">
        <v>45</v>
      </c>
      <c r="S246" s="22" t="s">
        <v>49</v>
      </c>
      <c r="T246" s="22" t="s">
        <v>5670</v>
      </c>
      <c r="U246" s="22" t="s">
        <v>45</v>
      </c>
      <c r="V246" s="22" t="s">
        <v>45</v>
      </c>
      <c r="W246" s="22" t="s">
        <v>5792</v>
      </c>
    </row>
    <row r="247" ht="45.0" customHeight="1">
      <c r="A247" s="55" t="s">
        <v>3095</v>
      </c>
      <c r="B247" s="62"/>
      <c r="C247" s="22" t="str">
        <f>IMAGE("https://raw.githubusercontent.com/ltdimages/images/refs/heads/main/ClothHeadwearHatUgcCap_00.png")</f>
        <v/>
      </c>
      <c r="D247" s="22" t="s">
        <v>3095</v>
      </c>
      <c r="E247" s="22" t="s">
        <v>3095</v>
      </c>
      <c r="F247" s="22" t="s">
        <v>3095</v>
      </c>
      <c r="G247" s="22" t="s">
        <v>3095</v>
      </c>
      <c r="H247" s="22" t="s">
        <v>3095</v>
      </c>
      <c r="I247" s="22" t="s">
        <v>3095</v>
      </c>
      <c r="J247" s="22" t="s">
        <v>3095</v>
      </c>
      <c r="K247" s="63" t="s">
        <v>3244</v>
      </c>
      <c r="L247" s="23">
        <v>0.0</v>
      </c>
      <c r="M247" s="22" t="s">
        <v>3097</v>
      </c>
      <c r="N247" s="22" t="s">
        <v>3099</v>
      </c>
      <c r="O247" s="22" t="s">
        <v>45</v>
      </c>
      <c r="P247" s="22" t="s">
        <v>45</v>
      </c>
      <c r="Q247" s="22" t="s">
        <v>45</v>
      </c>
      <c r="R247" s="22" t="s">
        <v>45</v>
      </c>
      <c r="S247" s="22" t="s">
        <v>49</v>
      </c>
      <c r="T247" s="22" t="s">
        <v>5441</v>
      </c>
      <c r="U247" s="22" t="s">
        <v>45</v>
      </c>
      <c r="V247" s="22" t="s">
        <v>45</v>
      </c>
      <c r="W247" s="22" t="s">
        <v>5793</v>
      </c>
    </row>
    <row r="248" ht="45.0" customHeight="1">
      <c r="A248" s="55" t="s">
        <v>3095</v>
      </c>
      <c r="B248" s="62"/>
      <c r="C248" s="22" t="str">
        <f>IMAGE("https://raw.githubusercontent.com/ltdimages/images/refs/heads/main/ClothHeadwearHatUgcKnit_00.png")</f>
        <v/>
      </c>
      <c r="D248" s="22" t="s">
        <v>3095</v>
      </c>
      <c r="E248" s="22" t="s">
        <v>3095</v>
      </c>
      <c r="F248" s="22" t="s">
        <v>3095</v>
      </c>
      <c r="G248" s="22" t="s">
        <v>3095</v>
      </c>
      <c r="H248" s="22" t="s">
        <v>3095</v>
      </c>
      <c r="I248" s="22" t="s">
        <v>3095</v>
      </c>
      <c r="J248" s="22" t="s">
        <v>3095</v>
      </c>
      <c r="K248" s="63" t="s">
        <v>3244</v>
      </c>
      <c r="L248" s="23">
        <v>0.0</v>
      </c>
      <c r="M248" s="22" t="s">
        <v>3097</v>
      </c>
      <c r="N248" s="22" t="s">
        <v>3099</v>
      </c>
      <c r="O248" s="22" t="s">
        <v>45</v>
      </c>
      <c r="P248" s="22" t="s">
        <v>45</v>
      </c>
      <c r="Q248" s="22" t="s">
        <v>45</v>
      </c>
      <c r="R248" s="22" t="s">
        <v>45</v>
      </c>
      <c r="S248" s="22" t="s">
        <v>49</v>
      </c>
      <c r="T248" s="22" t="s">
        <v>5441</v>
      </c>
      <c r="U248" s="22" t="s">
        <v>45</v>
      </c>
      <c r="V248" s="22" t="s">
        <v>45</v>
      </c>
      <c r="W248" s="22" t="s">
        <v>5794</v>
      </c>
    </row>
  </sheetData>
  <autoFilter ref="$A$1:$W$248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88"/>
    <col customWidth="1" min="2" max="2" width="18.0"/>
    <col customWidth="1" min="3" max="10" width="7.63"/>
    <col customWidth="1" min="11" max="11" width="15.13"/>
    <col customWidth="1" min="12" max="12" width="13.63"/>
    <col customWidth="1" min="13" max="13" width="9.5"/>
    <col customWidth="1" min="14" max="14" width="13.63"/>
    <col customWidth="1" min="15" max="15" width="8.63"/>
    <col customWidth="1" min="16" max="16" width="8.5"/>
    <col customWidth="1" min="17" max="17" width="12.63"/>
    <col customWidth="1" min="18" max="18" width="9.75"/>
    <col customWidth="1" min="19" max="19" width="15.13"/>
    <col customWidth="1" min="20" max="20" width="11.38"/>
    <col customWidth="1" min="21" max="21" width="8.38"/>
    <col customWidth="1" min="22" max="22" width="9.38"/>
    <col customWidth="1" min="23" max="23" width="31.0"/>
  </cols>
  <sheetData>
    <row r="1" ht="31.5" customHeight="1">
      <c r="A1" s="58" t="s">
        <v>23</v>
      </c>
      <c r="B1" s="59" t="s">
        <v>25</v>
      </c>
      <c r="C1" s="60" t="s">
        <v>3059</v>
      </c>
      <c r="D1" s="60" t="s">
        <v>3060</v>
      </c>
      <c r="E1" s="60" t="s">
        <v>3061</v>
      </c>
      <c r="F1" s="60" t="s">
        <v>3062</v>
      </c>
      <c r="G1" s="60" t="s">
        <v>3063</v>
      </c>
      <c r="H1" s="60" t="s">
        <v>3064</v>
      </c>
      <c r="I1" s="60" t="s">
        <v>3065</v>
      </c>
      <c r="J1" s="60" t="s">
        <v>3066</v>
      </c>
      <c r="K1" s="19" t="s">
        <v>1993</v>
      </c>
      <c r="L1" s="19" t="s">
        <v>29</v>
      </c>
      <c r="M1" s="19" t="s">
        <v>3067</v>
      </c>
      <c r="N1" s="19" t="s">
        <v>3069</v>
      </c>
      <c r="O1" s="19" t="s">
        <v>3070</v>
      </c>
      <c r="P1" s="19" t="s">
        <v>3071</v>
      </c>
      <c r="Q1" s="19" t="s">
        <v>3072</v>
      </c>
      <c r="R1" s="19" t="s">
        <v>3073</v>
      </c>
      <c r="S1" s="19" t="s">
        <v>3075</v>
      </c>
      <c r="T1" s="19" t="s">
        <v>4749</v>
      </c>
      <c r="U1" s="19" t="s">
        <v>4750</v>
      </c>
      <c r="V1" s="19" t="s">
        <v>4751</v>
      </c>
      <c r="W1" s="19" t="s">
        <v>40</v>
      </c>
    </row>
    <row r="2" ht="45.0" customHeight="1">
      <c r="A2" s="55" t="s">
        <v>41</v>
      </c>
      <c r="B2" s="62" t="s">
        <v>4740</v>
      </c>
      <c r="C2" s="22" t="str">
        <f>IMAGE("https://raw.githubusercontent.com/ltdimages/images/refs/heads/main/ClothAccessoryNeckAcrylic_00.png")</f>
        <v/>
      </c>
      <c r="D2" s="22" t="str">
        <f>IMAGE("https://raw.githubusercontent.com/ltdimages/images/refs/heads/main/ClothAccessoryNeckAcrylic_01.png")</f>
        <v/>
      </c>
      <c r="E2" s="22" t="str">
        <f>IMAGE("https://raw.githubusercontent.com/ltdimages/images/refs/heads/main/ClothAccessoryNeckAcrylic_02.png")</f>
        <v/>
      </c>
      <c r="F2" s="22" t="str">
        <f>IMAGE("https://raw.githubusercontent.com/ltdimages/images/refs/heads/main/ClothAccessoryNeckAcrylic_03.png")</f>
        <v/>
      </c>
      <c r="G2" s="22" t="str">
        <f>IMAGE("https://raw.githubusercontent.com/ltdimages/images/refs/heads/main/ClothAccessoryNeckAcrylic_04.png")</f>
        <v/>
      </c>
      <c r="H2" s="22" t="str">
        <f>IMAGE("https://raw.githubusercontent.com/ltdimages/images/refs/heads/main/ClothAccessoryNeckAcrylic_05.png")</f>
        <v/>
      </c>
      <c r="I2" s="22" t="str">
        <f>IMAGE("https://raw.githubusercontent.com/ltdimages/images/refs/heads/main/ClothAccessoryNeckAcrylic_06.png")</f>
        <v/>
      </c>
      <c r="J2" s="22" t="str">
        <f>IMAGE("https://raw.githubusercontent.com/ltdimages/images/refs/heads/main/ClothAccessoryNeckAcrylic_07.png")</f>
        <v/>
      </c>
      <c r="K2" s="63" t="s">
        <v>3952</v>
      </c>
      <c r="L2" s="23">
        <v>15.0</v>
      </c>
      <c r="M2" s="22" t="s">
        <v>3097</v>
      </c>
      <c r="N2" s="22" t="s">
        <v>3099</v>
      </c>
      <c r="O2" s="22" t="s">
        <v>45</v>
      </c>
      <c r="P2" s="22" t="s">
        <v>45</v>
      </c>
      <c r="Q2" s="22" t="s">
        <v>45</v>
      </c>
      <c r="R2" s="22" t="s">
        <v>45</v>
      </c>
      <c r="S2" s="22" t="s">
        <v>45</v>
      </c>
      <c r="T2" s="22" t="s">
        <v>2002</v>
      </c>
      <c r="U2" s="22" t="s">
        <v>45</v>
      </c>
      <c r="V2" s="22" t="s">
        <v>45</v>
      </c>
      <c r="W2" s="22" t="s">
        <v>5795</v>
      </c>
    </row>
    <row r="3" ht="45.0" customHeight="1">
      <c r="A3" s="55" t="s">
        <v>52</v>
      </c>
      <c r="B3" s="62" t="s">
        <v>4567</v>
      </c>
      <c r="C3" s="22" t="str">
        <f>IMAGE("https://raw.githubusercontent.com/ltdimages/images/refs/heads/main/ClothAccessoryNeckBijou_00.png")</f>
        <v/>
      </c>
      <c r="D3" s="22" t="str">
        <f>IMAGE("https://raw.githubusercontent.com/ltdimages/images/refs/heads/main/ClothAccessoryNeckBijou_01.png")</f>
        <v/>
      </c>
      <c r="E3" s="22" t="str">
        <f>IMAGE("https://raw.githubusercontent.com/ltdimages/images/refs/heads/main/ClothAccessoryNeckBijou_02.png")</f>
        <v/>
      </c>
      <c r="F3" s="22" t="str">
        <f>IMAGE("https://raw.githubusercontent.com/ltdimages/images/refs/heads/main/ClothAccessoryNeckBijou_03.png")</f>
        <v/>
      </c>
      <c r="G3" s="22" t="str">
        <f>IMAGE("https://raw.githubusercontent.com/ltdimages/images/refs/heads/main/ClothAccessoryNeckBijou_04.png")</f>
        <v/>
      </c>
      <c r="H3" s="22" t="str">
        <f>IMAGE("https://raw.githubusercontent.com/ltdimages/images/refs/heads/main/ClothAccessoryNeckBijou_05.png")</f>
        <v/>
      </c>
      <c r="I3" s="22" t="str">
        <f>IMAGE("https://raw.githubusercontent.com/ltdimages/images/refs/heads/main/ClothAccessoryNeckBijou_06.png")</f>
        <v/>
      </c>
      <c r="J3" s="22" t="str">
        <f>IMAGE("https://raw.githubusercontent.com/ltdimages/images/refs/heads/main/ClothAccessoryNeckBijou_07.png")</f>
        <v/>
      </c>
      <c r="K3" s="63" t="s">
        <v>3952</v>
      </c>
      <c r="L3" s="23">
        <v>35.0</v>
      </c>
      <c r="M3" s="22" t="s">
        <v>4231</v>
      </c>
      <c r="N3" s="22" t="s">
        <v>3099</v>
      </c>
      <c r="O3" s="22" t="s">
        <v>45</v>
      </c>
      <c r="P3" s="22" t="s">
        <v>45</v>
      </c>
      <c r="Q3" s="22" t="s">
        <v>45</v>
      </c>
      <c r="R3" s="22" t="s">
        <v>45</v>
      </c>
      <c r="S3" s="22" t="s">
        <v>45</v>
      </c>
      <c r="T3" s="22" t="s">
        <v>2002</v>
      </c>
      <c r="U3" s="22" t="s">
        <v>45</v>
      </c>
      <c r="V3" s="22" t="s">
        <v>45</v>
      </c>
      <c r="W3" s="22" t="s">
        <v>5796</v>
      </c>
    </row>
    <row r="4" ht="45.0" customHeight="1">
      <c r="A4" s="55" t="s">
        <v>60</v>
      </c>
      <c r="B4" s="62" t="s">
        <v>4107</v>
      </c>
      <c r="C4" s="22" t="str">
        <f>IMAGE("https://raw.githubusercontent.com/ltdimages/images/refs/heads/main/ClothAccessoryNeckLoopTie_00.png")</f>
        <v/>
      </c>
      <c r="D4" s="22" t="str">
        <f>IMAGE("https://raw.githubusercontent.com/ltdimages/images/refs/heads/main/ClothAccessoryNeckLoopTie_01.png")</f>
        <v/>
      </c>
      <c r="E4" s="22" t="str">
        <f>IMAGE("https://raw.githubusercontent.com/ltdimages/images/refs/heads/main/ClothAccessoryNeckLoopTie_02.png")</f>
        <v/>
      </c>
      <c r="F4" s="22" t="str">
        <f>IMAGE("https://raw.githubusercontent.com/ltdimages/images/refs/heads/main/ClothAccessoryNeckLoopTie_03.png")</f>
        <v/>
      </c>
      <c r="G4" s="22" t="str">
        <f>IMAGE("https://raw.githubusercontent.com/ltdimages/images/refs/heads/main/ClothAccessoryNeckLoopTie_04.png")</f>
        <v/>
      </c>
      <c r="H4" s="22" t="str">
        <f>IMAGE("https://raw.githubusercontent.com/ltdimages/images/refs/heads/main/ClothAccessoryNeckLoopTie_05.png")</f>
        <v/>
      </c>
      <c r="I4" s="22" t="str">
        <f>IMAGE("https://raw.githubusercontent.com/ltdimages/images/refs/heads/main/ClothAccessoryNeckLoopTie_06.png")</f>
        <v/>
      </c>
      <c r="J4" s="22" t="str">
        <f>IMAGE("https://raw.githubusercontent.com/ltdimages/images/refs/heads/main/ClothAccessoryNeckLoopTie_07.png")</f>
        <v/>
      </c>
      <c r="K4" s="63" t="s">
        <v>3952</v>
      </c>
      <c r="L4" s="23">
        <v>16.0</v>
      </c>
      <c r="M4" s="22" t="s">
        <v>3097</v>
      </c>
      <c r="N4" s="22" t="s">
        <v>3099</v>
      </c>
      <c r="O4" s="22" t="s">
        <v>45</v>
      </c>
      <c r="P4" s="22" t="s">
        <v>45</v>
      </c>
      <c r="Q4" s="22" t="s">
        <v>45</v>
      </c>
      <c r="R4" s="22" t="s">
        <v>45</v>
      </c>
      <c r="S4" s="22" t="s">
        <v>45</v>
      </c>
      <c r="T4" s="22" t="s">
        <v>2002</v>
      </c>
      <c r="U4" s="22" t="s">
        <v>45</v>
      </c>
      <c r="V4" s="22" t="s">
        <v>45</v>
      </c>
      <c r="W4" s="22" t="s">
        <v>5797</v>
      </c>
    </row>
    <row r="5" ht="45.0" customHeight="1">
      <c r="A5" s="55" t="s">
        <v>65</v>
      </c>
      <c r="B5" s="62" t="s">
        <v>5798</v>
      </c>
      <c r="C5" s="22" t="str">
        <f>IMAGE("https://raw.githubusercontent.com/ltdimages/images/refs/heads/main/ClothAccessoryNeckBowTie_00.png")</f>
        <v/>
      </c>
      <c r="D5" s="22" t="str">
        <f>IMAGE("https://raw.githubusercontent.com/ltdimages/images/refs/heads/main/ClothAccessoryNeckBowTie_01.png")</f>
        <v/>
      </c>
      <c r="E5" s="22" t="str">
        <f>IMAGE("https://raw.githubusercontent.com/ltdimages/images/refs/heads/main/ClothAccessoryNeckBowTie_02.png")</f>
        <v/>
      </c>
      <c r="F5" s="22" t="str">
        <f>IMAGE("https://raw.githubusercontent.com/ltdimages/images/refs/heads/main/ClothAccessoryNeckBowTie_03.png")</f>
        <v/>
      </c>
      <c r="G5" s="22" t="str">
        <f>IMAGE("https://raw.githubusercontent.com/ltdimages/images/refs/heads/main/ClothAccessoryNeckBowTie_04.png")</f>
        <v/>
      </c>
      <c r="H5" s="22" t="str">
        <f>IMAGE("https://raw.githubusercontent.com/ltdimages/images/refs/heads/main/ClothAccessoryNeckBowTie_05.png")</f>
        <v/>
      </c>
      <c r="I5" s="22" t="str">
        <f>IMAGE("https://raw.githubusercontent.com/ltdimages/images/refs/heads/main/ClothAccessoryNeckBowTie_06.png")</f>
        <v/>
      </c>
      <c r="J5" s="22" t="str">
        <f>IMAGE("https://raw.githubusercontent.com/ltdimages/images/refs/heads/main/ClothAccessoryNeckBowTie_07.png")</f>
        <v/>
      </c>
      <c r="K5" s="63" t="s">
        <v>3952</v>
      </c>
      <c r="L5" s="23">
        <v>7.0</v>
      </c>
      <c r="M5" s="22" t="s">
        <v>3097</v>
      </c>
      <c r="N5" s="22" t="s">
        <v>3099</v>
      </c>
      <c r="O5" s="22" t="s">
        <v>45</v>
      </c>
      <c r="P5" s="22" t="s">
        <v>45</v>
      </c>
      <c r="Q5" s="22" t="s">
        <v>45</v>
      </c>
      <c r="R5" s="22" t="s">
        <v>45</v>
      </c>
      <c r="S5" s="22" t="s">
        <v>45</v>
      </c>
      <c r="T5" s="22" t="s">
        <v>2002</v>
      </c>
      <c r="U5" s="22" t="s">
        <v>45</v>
      </c>
      <c r="V5" s="22" t="s">
        <v>45</v>
      </c>
      <c r="W5" s="22" t="s">
        <v>5799</v>
      </c>
    </row>
    <row r="6" ht="45.0" customHeight="1">
      <c r="A6" s="55" t="s">
        <v>70</v>
      </c>
      <c r="B6" s="62" t="s">
        <v>5800</v>
      </c>
      <c r="C6" s="22" t="str">
        <f>IMAGE("https://raw.githubusercontent.com/ltdimages/images/refs/heads/main/ClothAccessoryNeckColorBeads_00.png")</f>
        <v/>
      </c>
      <c r="D6" s="22" t="str">
        <f>IMAGE("https://raw.githubusercontent.com/ltdimages/images/refs/heads/main/ClothAccessoryNeckColorBeads_01.png")</f>
        <v/>
      </c>
      <c r="E6" s="22" t="str">
        <f>IMAGE("https://raw.githubusercontent.com/ltdimages/images/refs/heads/main/ClothAccessoryNeckColorBeads_02.png")</f>
        <v/>
      </c>
      <c r="F6" s="22" t="str">
        <f>IMAGE("https://raw.githubusercontent.com/ltdimages/images/refs/heads/main/ClothAccessoryNeckColorBeads_03.png")</f>
        <v/>
      </c>
      <c r="G6" s="22" t="str">
        <f>IMAGE("https://raw.githubusercontent.com/ltdimages/images/refs/heads/main/ClothAccessoryNeckColorBeads_04.png")</f>
        <v/>
      </c>
      <c r="H6" s="22" t="str">
        <f>IMAGE("https://raw.githubusercontent.com/ltdimages/images/refs/heads/main/ClothAccessoryNeckColorBeads_05.png")</f>
        <v/>
      </c>
      <c r="I6" s="22" t="str">
        <f>IMAGE("https://raw.githubusercontent.com/ltdimages/images/refs/heads/main/ClothAccessoryNeckColorBeads_06.png")</f>
        <v/>
      </c>
      <c r="J6" s="22" t="str">
        <f>IMAGE("https://raw.githubusercontent.com/ltdimages/images/refs/heads/main/ClothAccessoryNeckColorBeads_07.png")</f>
        <v/>
      </c>
      <c r="K6" s="63" t="s">
        <v>3952</v>
      </c>
      <c r="L6" s="23">
        <v>16.0</v>
      </c>
      <c r="M6" s="22" t="s">
        <v>3097</v>
      </c>
      <c r="N6" s="22" t="s">
        <v>3099</v>
      </c>
      <c r="O6" s="22" t="s">
        <v>45</v>
      </c>
      <c r="P6" s="22" t="s">
        <v>45</v>
      </c>
      <c r="Q6" s="22" t="s">
        <v>45</v>
      </c>
      <c r="R6" s="22" t="s">
        <v>45</v>
      </c>
      <c r="S6" s="22" t="s">
        <v>45</v>
      </c>
      <c r="T6" s="22" t="s">
        <v>2002</v>
      </c>
      <c r="U6" s="22" t="s">
        <v>45</v>
      </c>
      <c r="V6" s="22" t="s">
        <v>45</v>
      </c>
      <c r="W6" s="22" t="s">
        <v>5801</v>
      </c>
    </row>
    <row r="7" ht="45.0" customHeight="1">
      <c r="A7" s="55" t="s">
        <v>74</v>
      </c>
      <c r="B7" s="62" t="s">
        <v>4234</v>
      </c>
      <c r="C7" s="22" t="str">
        <f>IMAGE("https://raw.githubusercontent.com/ltdimages/images/refs/heads/main/ClothAccessoryNeckChain_00.png")</f>
        <v/>
      </c>
      <c r="D7" s="22" t="str">
        <f>IMAGE("https://raw.githubusercontent.com/ltdimages/images/refs/heads/main/ClothAccessoryNeckChain_01.png")</f>
        <v/>
      </c>
      <c r="E7" s="22" t="s">
        <v>3095</v>
      </c>
      <c r="F7" s="22" t="s">
        <v>3095</v>
      </c>
      <c r="G7" s="22" t="s">
        <v>3095</v>
      </c>
      <c r="H7" s="22" t="s">
        <v>3095</v>
      </c>
      <c r="I7" s="22" t="s">
        <v>3095</v>
      </c>
      <c r="J7" s="22" t="s">
        <v>3095</v>
      </c>
      <c r="K7" s="63" t="s">
        <v>3952</v>
      </c>
      <c r="L7" s="23">
        <v>16.0</v>
      </c>
      <c r="M7" s="22" t="s">
        <v>3097</v>
      </c>
      <c r="N7" s="22" t="s">
        <v>3099</v>
      </c>
      <c r="O7" s="22" t="s">
        <v>45</v>
      </c>
      <c r="P7" s="22" t="s">
        <v>45</v>
      </c>
      <c r="Q7" s="22" t="s">
        <v>45</v>
      </c>
      <c r="R7" s="22" t="s">
        <v>45</v>
      </c>
      <c r="S7" s="22" t="s">
        <v>45</v>
      </c>
      <c r="T7" s="22" t="s">
        <v>2002</v>
      </c>
      <c r="U7" s="22" t="s">
        <v>45</v>
      </c>
      <c r="V7" s="22" t="s">
        <v>45</v>
      </c>
      <c r="W7" s="22" t="s">
        <v>5802</v>
      </c>
    </row>
    <row r="8" ht="45.0" customHeight="1">
      <c r="A8" s="55" t="s">
        <v>78</v>
      </c>
      <c r="B8" s="62" t="s">
        <v>3457</v>
      </c>
      <c r="C8" s="22" t="str">
        <f>IMAGE("https://raw.githubusercontent.com/ltdimages/images/refs/heads/main/ClothAccessoryNeckSunglasses_00.png")</f>
        <v/>
      </c>
      <c r="D8" s="22" t="str">
        <f>IMAGE("https://raw.githubusercontent.com/ltdimages/images/refs/heads/main/ClothAccessoryNeckSunglasses_01.png")</f>
        <v/>
      </c>
      <c r="E8" s="22" t="str">
        <f>IMAGE("https://raw.githubusercontent.com/ltdimages/images/refs/heads/main/ClothAccessoryNeckSunglasses_02.png")</f>
        <v/>
      </c>
      <c r="F8" s="22" t="str">
        <f>IMAGE("https://raw.githubusercontent.com/ltdimages/images/refs/heads/main/ClothAccessoryNeckSunglasses_03.png")</f>
        <v/>
      </c>
      <c r="G8" s="22" t="str">
        <f>IMAGE("https://raw.githubusercontent.com/ltdimages/images/refs/heads/main/ClothAccessoryNeckSunglasses_04.png")</f>
        <v/>
      </c>
      <c r="H8" s="22" t="str">
        <f>IMAGE("https://raw.githubusercontent.com/ltdimages/images/refs/heads/main/ClothAccessoryNeckSunglasses_05.png")</f>
        <v/>
      </c>
      <c r="I8" s="22" t="str">
        <f>IMAGE("https://raw.githubusercontent.com/ltdimages/images/refs/heads/main/ClothAccessoryNeckSunglasses_06.png")</f>
        <v/>
      </c>
      <c r="J8" s="22" t="str">
        <f>IMAGE("https://raw.githubusercontent.com/ltdimages/images/refs/heads/main/ClothAccessoryNeckSunglasses_07.png")</f>
        <v/>
      </c>
      <c r="K8" s="63" t="s">
        <v>3952</v>
      </c>
      <c r="L8" s="23">
        <v>13.0</v>
      </c>
      <c r="M8" s="22" t="s">
        <v>3097</v>
      </c>
      <c r="N8" s="22" t="s">
        <v>3099</v>
      </c>
      <c r="O8" s="22" t="s">
        <v>45</v>
      </c>
      <c r="P8" s="22" t="s">
        <v>45</v>
      </c>
      <c r="Q8" s="22" t="s">
        <v>45</v>
      </c>
      <c r="R8" s="22" t="s">
        <v>45</v>
      </c>
      <c r="S8" s="22" t="s">
        <v>45</v>
      </c>
      <c r="T8" s="22" t="s">
        <v>2002</v>
      </c>
      <c r="U8" s="22" t="s">
        <v>45</v>
      </c>
      <c r="V8" s="22" t="s">
        <v>45</v>
      </c>
      <c r="W8" s="22" t="s">
        <v>5803</v>
      </c>
    </row>
    <row r="9" ht="45.0" customHeight="1">
      <c r="A9" s="55" t="s">
        <v>83</v>
      </c>
      <c r="B9" s="62" t="s">
        <v>5804</v>
      </c>
      <c r="C9" s="22" t="str">
        <f>IMAGE("https://raw.githubusercontent.com/ltdimages/images/refs/heads/main/ClothAccessoryNeckCamera_00.png")</f>
        <v/>
      </c>
      <c r="D9" s="22" t="s">
        <v>3095</v>
      </c>
      <c r="E9" s="22" t="s">
        <v>3095</v>
      </c>
      <c r="F9" s="22" t="s">
        <v>3095</v>
      </c>
      <c r="G9" s="22" t="s">
        <v>3095</v>
      </c>
      <c r="H9" s="22" t="s">
        <v>3095</v>
      </c>
      <c r="I9" s="22" t="s">
        <v>3095</v>
      </c>
      <c r="J9" s="22" t="s">
        <v>3095</v>
      </c>
      <c r="K9" s="63" t="s">
        <v>3952</v>
      </c>
      <c r="L9" s="23">
        <v>90.0</v>
      </c>
      <c r="M9" s="22" t="s">
        <v>3097</v>
      </c>
      <c r="N9" s="22" t="s">
        <v>3099</v>
      </c>
      <c r="O9" s="22" t="s">
        <v>45</v>
      </c>
      <c r="P9" s="22" t="s">
        <v>45</v>
      </c>
      <c r="Q9" s="22" t="s">
        <v>45</v>
      </c>
      <c r="R9" s="22" t="s">
        <v>45</v>
      </c>
      <c r="S9" s="22" t="s">
        <v>45</v>
      </c>
      <c r="T9" s="22" t="s">
        <v>2002</v>
      </c>
      <c r="U9" s="22" t="s">
        <v>45</v>
      </c>
      <c r="V9" s="22" t="s">
        <v>45</v>
      </c>
      <c r="W9" s="22" t="s">
        <v>5805</v>
      </c>
    </row>
    <row r="10" ht="45.0" customHeight="1">
      <c r="A10" s="55" t="s">
        <v>89</v>
      </c>
      <c r="B10" s="62" t="s">
        <v>3623</v>
      </c>
      <c r="C10" s="22" t="str">
        <f>IMAGE("https://raw.githubusercontent.com/ltdimages/images/refs/heads/main/ClothAccessoryNeckCoin_00.png")</f>
        <v/>
      </c>
      <c r="D10" s="22" t="str">
        <f>IMAGE("https://raw.githubusercontent.com/ltdimages/images/refs/heads/main/ClothAccessoryNeckCoin_01.png")</f>
        <v/>
      </c>
      <c r="E10" s="22" t="s">
        <v>3095</v>
      </c>
      <c r="F10" s="22" t="s">
        <v>3095</v>
      </c>
      <c r="G10" s="22" t="s">
        <v>3095</v>
      </c>
      <c r="H10" s="22" t="s">
        <v>3095</v>
      </c>
      <c r="I10" s="22" t="s">
        <v>3095</v>
      </c>
      <c r="J10" s="22" t="s">
        <v>3095</v>
      </c>
      <c r="K10" s="63" t="s">
        <v>3952</v>
      </c>
      <c r="L10" s="23">
        <v>33.0</v>
      </c>
      <c r="M10" s="22" t="s">
        <v>3097</v>
      </c>
      <c r="N10" s="22" t="s">
        <v>3099</v>
      </c>
      <c r="O10" s="22" t="s">
        <v>45</v>
      </c>
      <c r="P10" s="22" t="s">
        <v>45</v>
      </c>
      <c r="Q10" s="22" t="s">
        <v>45</v>
      </c>
      <c r="R10" s="22" t="s">
        <v>45</v>
      </c>
      <c r="S10" s="22" t="s">
        <v>45</v>
      </c>
      <c r="T10" s="22" t="s">
        <v>2002</v>
      </c>
      <c r="U10" s="22" t="s">
        <v>45</v>
      </c>
      <c r="V10" s="22" t="s">
        <v>45</v>
      </c>
      <c r="W10" s="22" t="s">
        <v>5806</v>
      </c>
    </row>
    <row r="11" ht="45.0" customHeight="1">
      <c r="A11" s="55" t="s">
        <v>94</v>
      </c>
      <c r="B11" s="62" t="s">
        <v>5807</v>
      </c>
      <c r="C11" s="22" t="str">
        <f>IMAGE("https://raw.githubusercontent.com/ltdimages/images/refs/heads/main/ClothAccessoryNeckFlower_00.png")</f>
        <v/>
      </c>
      <c r="D11" s="22" t="str">
        <f>IMAGE("https://raw.githubusercontent.com/ltdimages/images/refs/heads/main/ClothAccessoryNeckFlower_01.png")</f>
        <v/>
      </c>
      <c r="E11" s="22" t="str">
        <f>IMAGE("https://raw.githubusercontent.com/ltdimages/images/refs/heads/main/ClothAccessoryNeckFlower_02.png")</f>
        <v/>
      </c>
      <c r="F11" s="22" t="str">
        <f>IMAGE("https://raw.githubusercontent.com/ltdimages/images/refs/heads/main/ClothAccessoryNeckFlower_03.png")</f>
        <v/>
      </c>
      <c r="G11" s="22" t="str">
        <f>IMAGE("https://raw.githubusercontent.com/ltdimages/images/refs/heads/main/ClothAccessoryNeckFlower_04.png")</f>
        <v/>
      </c>
      <c r="H11" s="22" t="str">
        <f>IMAGE("https://raw.githubusercontent.com/ltdimages/images/refs/heads/main/ClothAccessoryNeckFlower_05.png")</f>
        <v/>
      </c>
      <c r="I11" s="22" t="s">
        <v>3095</v>
      </c>
      <c r="J11" s="22" t="s">
        <v>3095</v>
      </c>
      <c r="K11" s="63" t="s">
        <v>3952</v>
      </c>
      <c r="L11" s="23">
        <v>17.0</v>
      </c>
      <c r="M11" s="22" t="s">
        <v>3097</v>
      </c>
      <c r="N11" s="22" t="s">
        <v>3099</v>
      </c>
      <c r="O11" s="22" t="s">
        <v>45</v>
      </c>
      <c r="P11" s="22" t="s">
        <v>45</v>
      </c>
      <c r="Q11" s="22" t="s">
        <v>45</v>
      </c>
      <c r="R11" s="22" t="s">
        <v>45</v>
      </c>
      <c r="S11" s="22" t="s">
        <v>45</v>
      </c>
      <c r="T11" s="22" t="s">
        <v>2002</v>
      </c>
      <c r="U11" s="22" t="s">
        <v>45</v>
      </c>
      <c r="V11" s="22" t="s">
        <v>45</v>
      </c>
      <c r="W11" s="22" t="s">
        <v>5808</v>
      </c>
    </row>
    <row r="12" ht="45.0" customHeight="1">
      <c r="A12" s="55" t="s">
        <v>98</v>
      </c>
      <c r="B12" s="62" t="s">
        <v>4675</v>
      </c>
      <c r="C12" s="22" t="str">
        <f>IMAGE("https://raw.githubusercontent.com/ltdimages/images/refs/heads/main/ClothAccessoryNeckHeart_00.png")</f>
        <v/>
      </c>
      <c r="D12" s="22" t="str">
        <f>IMAGE("https://raw.githubusercontent.com/ltdimages/images/refs/heads/main/ClothAccessoryNeckHeart_01.png")</f>
        <v/>
      </c>
      <c r="E12" s="22" t="str">
        <f>IMAGE("https://raw.githubusercontent.com/ltdimages/images/refs/heads/main/ClothAccessoryNeckHeart_02.png")</f>
        <v/>
      </c>
      <c r="F12" s="22" t="str">
        <f>IMAGE("https://raw.githubusercontent.com/ltdimages/images/refs/heads/main/ClothAccessoryNeckHeart_03.png")</f>
        <v/>
      </c>
      <c r="G12" s="22" t="str">
        <f>IMAGE("https://raw.githubusercontent.com/ltdimages/images/refs/heads/main/ClothAccessoryNeckHeart_04.png")</f>
        <v/>
      </c>
      <c r="H12" s="22" t="str">
        <f>IMAGE("https://raw.githubusercontent.com/ltdimages/images/refs/heads/main/ClothAccessoryNeckHeart_05.png")</f>
        <v/>
      </c>
      <c r="I12" s="22" t="s">
        <v>3095</v>
      </c>
      <c r="J12" s="22" t="s">
        <v>3095</v>
      </c>
      <c r="K12" s="63" t="s">
        <v>3952</v>
      </c>
      <c r="L12" s="23">
        <v>20.0</v>
      </c>
      <c r="M12" s="22" t="s">
        <v>3097</v>
      </c>
      <c r="N12" s="22" t="s">
        <v>3099</v>
      </c>
      <c r="O12" s="22" t="s">
        <v>45</v>
      </c>
      <c r="P12" s="22" t="s">
        <v>45</v>
      </c>
      <c r="Q12" s="22" t="s">
        <v>45</v>
      </c>
      <c r="R12" s="22" t="s">
        <v>45</v>
      </c>
      <c r="S12" s="22" t="s">
        <v>45</v>
      </c>
      <c r="T12" s="22" t="s">
        <v>2002</v>
      </c>
      <c r="U12" s="22" t="s">
        <v>45</v>
      </c>
      <c r="V12" s="22" t="s">
        <v>45</v>
      </c>
      <c r="W12" s="22" t="s">
        <v>5809</v>
      </c>
    </row>
    <row r="13" ht="45.0" customHeight="1">
      <c r="A13" s="55" t="s">
        <v>104</v>
      </c>
      <c r="B13" s="62" t="s">
        <v>5810</v>
      </c>
      <c r="C13" s="22" t="str">
        <f>IMAGE("https://raw.githubusercontent.com/ltdimages/images/refs/heads/main/ClothAccessoryNeckShiningPendant_00.png")</f>
        <v/>
      </c>
      <c r="D13" s="22" t="str">
        <f>IMAGE("https://raw.githubusercontent.com/ltdimages/images/refs/heads/main/ClothAccessoryNeckShiningPendant_01.png")</f>
        <v/>
      </c>
      <c r="E13" s="22" t="str">
        <f>IMAGE("https://raw.githubusercontent.com/ltdimages/images/refs/heads/main/ClothAccessoryNeckShiningPendant_02.png")</f>
        <v/>
      </c>
      <c r="F13" s="22" t="str">
        <f>IMAGE("https://raw.githubusercontent.com/ltdimages/images/refs/heads/main/ClothAccessoryNeckShiningPendant_03.png")</f>
        <v/>
      </c>
      <c r="G13" s="22" t="str">
        <f>IMAGE("https://raw.githubusercontent.com/ltdimages/images/refs/heads/main/ClothAccessoryNeckShiningPendant_04.png")</f>
        <v/>
      </c>
      <c r="H13" s="22" t="str">
        <f>IMAGE("https://raw.githubusercontent.com/ltdimages/images/refs/heads/main/ClothAccessoryNeckShiningPendant_05.png")</f>
        <v/>
      </c>
      <c r="I13" s="22" t="str">
        <f>IMAGE("https://raw.githubusercontent.com/ltdimages/images/refs/heads/main/ClothAccessoryNeckShiningPendant_06.png")</f>
        <v/>
      </c>
      <c r="J13" s="22" t="str">
        <f>IMAGE("https://raw.githubusercontent.com/ltdimages/images/refs/heads/main/ClothAccessoryNeckShiningPendant_07.png")</f>
        <v/>
      </c>
      <c r="K13" s="63" t="s">
        <v>3952</v>
      </c>
      <c r="L13" s="23">
        <v>25.0</v>
      </c>
      <c r="M13" s="22" t="s">
        <v>3097</v>
      </c>
      <c r="N13" s="22" t="s">
        <v>3099</v>
      </c>
      <c r="O13" s="22" t="s">
        <v>45</v>
      </c>
      <c r="P13" s="22" t="s">
        <v>45</v>
      </c>
      <c r="Q13" s="22" t="s">
        <v>45</v>
      </c>
      <c r="R13" s="22" t="s">
        <v>49</v>
      </c>
      <c r="S13" s="22" t="s">
        <v>45</v>
      </c>
      <c r="T13" s="22" t="s">
        <v>2002</v>
      </c>
      <c r="U13" s="22" t="s">
        <v>45</v>
      </c>
      <c r="V13" s="22" t="s">
        <v>45</v>
      </c>
      <c r="W13" s="22" t="s">
        <v>5811</v>
      </c>
    </row>
    <row r="14" ht="45.0" customHeight="1">
      <c r="A14" s="55" t="s">
        <v>109</v>
      </c>
      <c r="B14" s="62" t="s">
        <v>5812</v>
      </c>
      <c r="C14" s="22" t="str">
        <f>IMAGE("https://raw.githubusercontent.com/ltdimages/images/refs/heads/main/ClothAccessoryNeckMedal_00.png")</f>
        <v/>
      </c>
      <c r="D14" s="22" t="str">
        <f>IMAGE("https://raw.githubusercontent.com/ltdimages/images/refs/heads/main/ClothAccessoryNeckMedal_01.png")</f>
        <v/>
      </c>
      <c r="E14" s="22" t="str">
        <f>IMAGE("https://raw.githubusercontent.com/ltdimages/images/refs/heads/main/ClothAccessoryNeckMedal_02.png")</f>
        <v/>
      </c>
      <c r="F14" s="22" t="s">
        <v>3095</v>
      </c>
      <c r="G14" s="22" t="s">
        <v>3095</v>
      </c>
      <c r="H14" s="22" t="s">
        <v>3095</v>
      </c>
      <c r="I14" s="22" t="s">
        <v>3095</v>
      </c>
      <c r="J14" s="22" t="s">
        <v>3095</v>
      </c>
      <c r="K14" s="63" t="s">
        <v>3952</v>
      </c>
      <c r="L14" s="23">
        <v>100.0</v>
      </c>
      <c r="M14" s="22" t="s">
        <v>3097</v>
      </c>
      <c r="N14" s="22" t="s">
        <v>3099</v>
      </c>
      <c r="O14" s="22" t="s">
        <v>45</v>
      </c>
      <c r="P14" s="22" t="s">
        <v>45</v>
      </c>
      <c r="Q14" s="22" t="s">
        <v>45</v>
      </c>
      <c r="R14" s="22" t="s">
        <v>49</v>
      </c>
      <c r="S14" s="22" t="s">
        <v>45</v>
      </c>
      <c r="T14" s="22" t="s">
        <v>2002</v>
      </c>
      <c r="U14" s="22" t="s">
        <v>45</v>
      </c>
      <c r="V14" s="22" t="s">
        <v>45</v>
      </c>
      <c r="W14" s="22" t="s">
        <v>5813</v>
      </c>
    </row>
    <row r="15" ht="45.0" customHeight="1">
      <c r="A15" s="55" t="s">
        <v>115</v>
      </c>
      <c r="B15" s="62" t="s">
        <v>4084</v>
      </c>
      <c r="C15" s="22" t="str">
        <f>IMAGE("https://raw.githubusercontent.com/ltdimages/images/refs/heads/main/ClothAccessoryNeckNameplate_00.png")</f>
        <v/>
      </c>
      <c r="D15" s="22" t="str">
        <f>IMAGE("https://raw.githubusercontent.com/ltdimages/images/refs/heads/main/ClothAccessoryNeckNameplate_01.png")</f>
        <v/>
      </c>
      <c r="E15" s="22" t="str">
        <f>IMAGE("https://raw.githubusercontent.com/ltdimages/images/refs/heads/main/ClothAccessoryNeckNameplate_02.png")</f>
        <v/>
      </c>
      <c r="F15" s="22" t="str">
        <f>IMAGE("https://raw.githubusercontent.com/ltdimages/images/refs/heads/main/ClothAccessoryNeckNameplate_03.png")</f>
        <v/>
      </c>
      <c r="G15" s="22" t="str">
        <f>IMAGE("https://raw.githubusercontent.com/ltdimages/images/refs/heads/main/ClothAccessoryNeckNameplate_04.png")</f>
        <v/>
      </c>
      <c r="H15" s="22" t="str">
        <f>IMAGE("https://raw.githubusercontent.com/ltdimages/images/refs/heads/main/ClothAccessoryNeckNameplate_05.png")</f>
        <v/>
      </c>
      <c r="I15" s="22" t="str">
        <f>IMAGE("https://raw.githubusercontent.com/ltdimages/images/refs/heads/main/ClothAccessoryNeckNameplate_06.png")</f>
        <v/>
      </c>
      <c r="J15" s="22" t="str">
        <f>IMAGE("https://raw.githubusercontent.com/ltdimages/images/refs/heads/main/ClothAccessoryNeckNameplate_07.png")</f>
        <v/>
      </c>
      <c r="K15" s="63" t="s">
        <v>3952</v>
      </c>
      <c r="L15" s="23">
        <v>14.0</v>
      </c>
      <c r="M15" s="22" t="s">
        <v>3097</v>
      </c>
      <c r="N15" s="22" t="s">
        <v>3099</v>
      </c>
      <c r="O15" s="22" t="s">
        <v>45</v>
      </c>
      <c r="P15" s="22" t="s">
        <v>45</v>
      </c>
      <c r="Q15" s="22" t="s">
        <v>45</v>
      </c>
      <c r="R15" s="22" t="s">
        <v>45</v>
      </c>
      <c r="S15" s="22" t="s">
        <v>45</v>
      </c>
      <c r="T15" s="22" t="s">
        <v>2002</v>
      </c>
      <c r="U15" s="22" t="s">
        <v>45</v>
      </c>
      <c r="V15" s="22" t="s">
        <v>45</v>
      </c>
      <c r="W15" s="22" t="s">
        <v>5814</v>
      </c>
    </row>
    <row r="16" ht="45.0" customHeight="1">
      <c r="A16" s="55" t="s">
        <v>119</v>
      </c>
      <c r="B16" s="62" t="s">
        <v>5815</v>
      </c>
      <c r="C16" s="22" t="str">
        <f>IMAGE("https://raw.githubusercontent.com/ltdimages/images/refs/heads/main/ClothAccessoryNeckPouch_00.png")</f>
        <v/>
      </c>
      <c r="D16" s="22" t="str">
        <f>IMAGE("https://raw.githubusercontent.com/ltdimages/images/refs/heads/main/ClothAccessoryNeckPouch_01.png")</f>
        <v/>
      </c>
      <c r="E16" s="22" t="str">
        <f>IMAGE("https://raw.githubusercontent.com/ltdimages/images/refs/heads/main/ClothAccessoryNeckPouch_02.png")</f>
        <v/>
      </c>
      <c r="F16" s="22" t="str">
        <f>IMAGE("https://raw.githubusercontent.com/ltdimages/images/refs/heads/main/ClothAccessoryNeckPouch_03.png")</f>
        <v/>
      </c>
      <c r="G16" s="22" t="str">
        <f>IMAGE("https://raw.githubusercontent.com/ltdimages/images/refs/heads/main/ClothAccessoryNeckPouch_04.png")</f>
        <v/>
      </c>
      <c r="H16" s="22" t="str">
        <f>IMAGE("https://raw.githubusercontent.com/ltdimages/images/refs/heads/main/ClothAccessoryNeckPouch_05.png")</f>
        <v/>
      </c>
      <c r="I16" s="22" t="str">
        <f>IMAGE("https://raw.githubusercontent.com/ltdimages/images/refs/heads/main/ClothAccessoryNeckPouch_06.png")</f>
        <v/>
      </c>
      <c r="J16" s="22" t="str">
        <f>IMAGE("https://raw.githubusercontent.com/ltdimages/images/refs/heads/main/ClothAccessoryNeckPouch_07.png")</f>
        <v/>
      </c>
      <c r="K16" s="63" t="s">
        <v>3952</v>
      </c>
      <c r="L16" s="23">
        <v>14.0</v>
      </c>
      <c r="M16" s="22" t="s">
        <v>3097</v>
      </c>
      <c r="N16" s="22" t="s">
        <v>3099</v>
      </c>
      <c r="O16" s="22" t="s">
        <v>45</v>
      </c>
      <c r="P16" s="22" t="s">
        <v>45</v>
      </c>
      <c r="Q16" s="22" t="s">
        <v>45</v>
      </c>
      <c r="R16" s="22" t="s">
        <v>45</v>
      </c>
      <c r="S16" s="22" t="s">
        <v>45</v>
      </c>
      <c r="T16" s="22" t="s">
        <v>2002</v>
      </c>
      <c r="U16" s="22" t="s">
        <v>45</v>
      </c>
      <c r="V16" s="22" t="s">
        <v>45</v>
      </c>
      <c r="W16" s="22" t="s">
        <v>5816</v>
      </c>
    </row>
    <row r="17" ht="45.0" customHeight="1">
      <c r="A17" s="55" t="s">
        <v>124</v>
      </c>
      <c r="B17" s="62" t="s">
        <v>4391</v>
      </c>
      <c r="C17" s="22" t="str">
        <f>IMAGE("https://raw.githubusercontent.com/ltdimages/images/refs/heads/main/ClothAccessoryNeckPearl_00.png")</f>
        <v/>
      </c>
      <c r="D17" s="22" t="str">
        <f>IMAGE("https://raw.githubusercontent.com/ltdimages/images/refs/heads/main/ClothAccessoryNeckPearl_01.png")</f>
        <v/>
      </c>
      <c r="E17" s="22" t="s">
        <v>3095</v>
      </c>
      <c r="F17" s="22" t="s">
        <v>3095</v>
      </c>
      <c r="G17" s="22" t="s">
        <v>3095</v>
      </c>
      <c r="H17" s="22" t="s">
        <v>3095</v>
      </c>
      <c r="I17" s="22" t="s">
        <v>3095</v>
      </c>
      <c r="J17" s="22" t="s">
        <v>3095</v>
      </c>
      <c r="K17" s="63" t="s">
        <v>3952</v>
      </c>
      <c r="L17" s="23">
        <v>50.0</v>
      </c>
      <c r="M17" s="22" t="s">
        <v>3097</v>
      </c>
      <c r="N17" s="22" t="s">
        <v>3099</v>
      </c>
      <c r="O17" s="22" t="s">
        <v>45</v>
      </c>
      <c r="P17" s="22" t="s">
        <v>45</v>
      </c>
      <c r="Q17" s="22" t="s">
        <v>45</v>
      </c>
      <c r="R17" s="22" t="s">
        <v>45</v>
      </c>
      <c r="S17" s="22" t="s">
        <v>45</v>
      </c>
      <c r="T17" s="22" t="s">
        <v>2002</v>
      </c>
      <c r="U17" s="22" t="s">
        <v>45</v>
      </c>
      <c r="V17" s="22" t="s">
        <v>45</v>
      </c>
      <c r="W17" s="22" t="s">
        <v>5817</v>
      </c>
    </row>
    <row r="18" ht="45.0" customHeight="1">
      <c r="A18" s="55" t="s">
        <v>129</v>
      </c>
      <c r="B18" s="62" t="s">
        <v>4002</v>
      </c>
      <c r="C18" s="22" t="str">
        <f>IMAGE("https://raw.githubusercontent.com/ltdimages/images/refs/heads/main/ClothAccessoryNeckPendant_00.png")</f>
        <v/>
      </c>
      <c r="D18" s="22" t="str">
        <f>IMAGE("https://raw.githubusercontent.com/ltdimages/images/refs/heads/main/ClothAccessoryNeckPendant_01.png")</f>
        <v/>
      </c>
      <c r="E18" s="22" t="str">
        <f>IMAGE("https://raw.githubusercontent.com/ltdimages/images/refs/heads/main/ClothAccessoryNeckPendant_02.png")</f>
        <v/>
      </c>
      <c r="F18" s="22" t="str">
        <f>IMAGE("https://raw.githubusercontent.com/ltdimages/images/refs/heads/main/ClothAccessoryNeckPendant_03.png")</f>
        <v/>
      </c>
      <c r="G18" s="22" t="str">
        <f>IMAGE("https://raw.githubusercontent.com/ltdimages/images/refs/heads/main/ClothAccessoryNeckPendant_04.png")</f>
        <v/>
      </c>
      <c r="H18" s="22" t="str">
        <f>IMAGE("https://raw.githubusercontent.com/ltdimages/images/refs/heads/main/ClothAccessoryNeckPendant_05.png")</f>
        <v/>
      </c>
      <c r="I18" s="22" t="s">
        <v>3095</v>
      </c>
      <c r="J18" s="22" t="s">
        <v>3095</v>
      </c>
      <c r="K18" s="63" t="s">
        <v>3952</v>
      </c>
      <c r="L18" s="23">
        <v>37.0</v>
      </c>
      <c r="M18" s="22" t="s">
        <v>3097</v>
      </c>
      <c r="N18" s="22" t="s">
        <v>3099</v>
      </c>
      <c r="O18" s="22" t="s">
        <v>45</v>
      </c>
      <c r="P18" s="22" t="s">
        <v>45</v>
      </c>
      <c r="Q18" s="22" t="s">
        <v>45</v>
      </c>
      <c r="R18" s="22" t="s">
        <v>45</v>
      </c>
      <c r="S18" s="22" t="s">
        <v>45</v>
      </c>
      <c r="T18" s="22" t="s">
        <v>2002</v>
      </c>
      <c r="U18" s="22" t="s">
        <v>45</v>
      </c>
      <c r="V18" s="22" t="s">
        <v>45</v>
      </c>
      <c r="W18" s="22" t="s">
        <v>5818</v>
      </c>
    </row>
    <row r="19" ht="45.0" customHeight="1">
      <c r="A19" s="55" t="s">
        <v>134</v>
      </c>
      <c r="B19" s="62" t="s">
        <v>3991</v>
      </c>
      <c r="C19" s="22" t="str">
        <f>IMAGE("https://raw.githubusercontent.com/ltdimages/images/refs/heads/main/ClothAccessoryNeckRing_00.png")</f>
        <v/>
      </c>
      <c r="D19" s="22" t="str">
        <f>IMAGE("https://raw.githubusercontent.com/ltdimages/images/refs/heads/main/ClothAccessoryNeckRing_01.png")</f>
        <v/>
      </c>
      <c r="E19" s="22" t="s">
        <v>3095</v>
      </c>
      <c r="F19" s="22" t="s">
        <v>3095</v>
      </c>
      <c r="G19" s="22" t="s">
        <v>3095</v>
      </c>
      <c r="H19" s="22" t="s">
        <v>3095</v>
      </c>
      <c r="I19" s="22" t="s">
        <v>3095</v>
      </c>
      <c r="J19" s="22" t="s">
        <v>3095</v>
      </c>
      <c r="K19" s="63" t="s">
        <v>3952</v>
      </c>
      <c r="L19" s="23">
        <v>30.0</v>
      </c>
      <c r="M19" s="22" t="s">
        <v>3097</v>
      </c>
      <c r="N19" s="22" t="s">
        <v>3099</v>
      </c>
      <c r="O19" s="22" t="s">
        <v>45</v>
      </c>
      <c r="P19" s="22" t="s">
        <v>45</v>
      </c>
      <c r="Q19" s="22" t="s">
        <v>45</v>
      </c>
      <c r="R19" s="22" t="s">
        <v>45</v>
      </c>
      <c r="S19" s="22" t="s">
        <v>45</v>
      </c>
      <c r="T19" s="22" t="s">
        <v>2002</v>
      </c>
      <c r="U19" s="22" t="s">
        <v>45</v>
      </c>
      <c r="V19" s="22" t="s">
        <v>45</v>
      </c>
      <c r="W19" s="22" t="s">
        <v>5819</v>
      </c>
    </row>
    <row r="20" ht="45.0" customHeight="1">
      <c r="A20" s="55" t="s">
        <v>138</v>
      </c>
      <c r="B20" s="62" t="s">
        <v>5820</v>
      </c>
      <c r="C20" s="22" t="str">
        <f>IMAGE("https://raw.githubusercontent.com/ltdimages/images/refs/heads/main/ClothAccessoryNeckCardigan_00.png")</f>
        <v/>
      </c>
      <c r="D20" s="22" t="str">
        <f>IMAGE("https://raw.githubusercontent.com/ltdimages/images/refs/heads/main/ClothAccessoryNeckCardigan_01.png")</f>
        <v/>
      </c>
      <c r="E20" s="22" t="str">
        <f>IMAGE("https://raw.githubusercontent.com/ltdimages/images/refs/heads/main/ClothAccessoryNeckCardigan_02.png")</f>
        <v/>
      </c>
      <c r="F20" s="22" t="str">
        <f>IMAGE("https://raw.githubusercontent.com/ltdimages/images/refs/heads/main/ClothAccessoryNeckCardigan_03.png")</f>
        <v/>
      </c>
      <c r="G20" s="22" t="str">
        <f>IMAGE("https://raw.githubusercontent.com/ltdimages/images/refs/heads/main/ClothAccessoryNeckCardigan_04.png")</f>
        <v/>
      </c>
      <c r="H20" s="22" t="str">
        <f>IMAGE("https://raw.githubusercontent.com/ltdimages/images/refs/heads/main/ClothAccessoryNeckCardigan_05.png")</f>
        <v/>
      </c>
      <c r="I20" s="22" t="str">
        <f>IMAGE("https://raw.githubusercontent.com/ltdimages/images/refs/heads/main/ClothAccessoryNeckCardigan_06.png")</f>
        <v/>
      </c>
      <c r="J20" s="22" t="str">
        <f>IMAGE("https://raw.githubusercontent.com/ltdimages/images/refs/heads/main/ClothAccessoryNeckCardigan_07.png")</f>
        <v/>
      </c>
      <c r="K20" s="63" t="s">
        <v>3952</v>
      </c>
      <c r="L20" s="23">
        <v>19.0</v>
      </c>
      <c r="M20" s="22" t="s">
        <v>3097</v>
      </c>
      <c r="N20" s="22" t="s">
        <v>3099</v>
      </c>
      <c r="O20" s="22" t="s">
        <v>45</v>
      </c>
      <c r="P20" s="22" t="s">
        <v>45</v>
      </c>
      <c r="Q20" s="22" t="s">
        <v>45</v>
      </c>
      <c r="R20" s="22" t="s">
        <v>45</v>
      </c>
      <c r="S20" s="22" t="s">
        <v>45</v>
      </c>
      <c r="T20" s="22" t="s">
        <v>2002</v>
      </c>
      <c r="U20" s="22" t="s">
        <v>45</v>
      </c>
      <c r="V20" s="22" t="s">
        <v>45</v>
      </c>
      <c r="W20" s="22" t="s">
        <v>5821</v>
      </c>
    </row>
    <row r="21" ht="45.0" customHeight="1">
      <c r="A21" s="55" t="s">
        <v>142</v>
      </c>
      <c r="B21" s="62" t="s">
        <v>5822</v>
      </c>
      <c r="C21" s="22" t="str">
        <f>IMAGE("https://raw.githubusercontent.com/ltdimages/images/refs/heads/main/ClothAccessoryNeckSkull_00.png")</f>
        <v/>
      </c>
      <c r="D21" s="22" t="str">
        <f>IMAGE("https://raw.githubusercontent.com/ltdimages/images/refs/heads/main/ClothAccessoryNeckSkull_01.png")</f>
        <v/>
      </c>
      <c r="E21" s="22" t="str">
        <f>IMAGE("https://raw.githubusercontent.com/ltdimages/images/refs/heads/main/ClothAccessoryNeckSkull_02.png")</f>
        <v/>
      </c>
      <c r="F21" s="22" t="s">
        <v>3095</v>
      </c>
      <c r="G21" s="22" t="s">
        <v>3095</v>
      </c>
      <c r="H21" s="22" t="s">
        <v>3095</v>
      </c>
      <c r="I21" s="22" t="s">
        <v>3095</v>
      </c>
      <c r="J21" s="22" t="s">
        <v>3095</v>
      </c>
      <c r="K21" s="63" t="s">
        <v>3952</v>
      </c>
      <c r="L21" s="23">
        <v>19.0</v>
      </c>
      <c r="M21" s="22" t="s">
        <v>3097</v>
      </c>
      <c r="N21" s="22" t="s">
        <v>3099</v>
      </c>
      <c r="O21" s="22" t="s">
        <v>45</v>
      </c>
      <c r="P21" s="22" t="s">
        <v>45</v>
      </c>
      <c r="Q21" s="22" t="s">
        <v>45</v>
      </c>
      <c r="R21" s="22" t="s">
        <v>45</v>
      </c>
      <c r="S21" s="22" t="s">
        <v>45</v>
      </c>
      <c r="T21" s="22" t="s">
        <v>2002</v>
      </c>
      <c r="U21" s="22" t="s">
        <v>45</v>
      </c>
      <c r="V21" s="22" t="s">
        <v>45</v>
      </c>
      <c r="W21" s="22" t="s">
        <v>5823</v>
      </c>
    </row>
    <row r="22" ht="45.0" customHeight="1">
      <c r="A22" s="55" t="s">
        <v>147</v>
      </c>
      <c r="B22" s="62" t="s">
        <v>5824</v>
      </c>
      <c r="C22" s="22" t="str">
        <f>IMAGE("https://raw.githubusercontent.com/ltdimages/images/refs/heads/main/ClothAccessoryNeckToy_00.png")</f>
        <v/>
      </c>
      <c r="D22" s="22" t="str">
        <f>IMAGE("https://raw.githubusercontent.com/ltdimages/images/refs/heads/main/ClothAccessoryNeckToy_01.png")</f>
        <v/>
      </c>
      <c r="E22" s="22" t="str">
        <f>IMAGE("https://raw.githubusercontent.com/ltdimages/images/refs/heads/main/ClothAccessoryNeckToy_02.png")</f>
        <v/>
      </c>
      <c r="F22" s="22" t="str">
        <f>IMAGE("https://raw.githubusercontent.com/ltdimages/images/refs/heads/main/ClothAccessoryNeckToy_03.png")</f>
        <v/>
      </c>
      <c r="G22" s="22" t="str">
        <f>IMAGE("https://raw.githubusercontent.com/ltdimages/images/refs/heads/main/ClothAccessoryNeckToy_04.png")</f>
        <v/>
      </c>
      <c r="H22" s="22" t="str">
        <f>IMAGE("https://raw.githubusercontent.com/ltdimages/images/refs/heads/main/ClothAccessoryNeckToy_05.png")</f>
        <v/>
      </c>
      <c r="I22" s="22" t="str">
        <f>IMAGE("https://raw.githubusercontent.com/ltdimages/images/refs/heads/main/ClothAccessoryNeckToy_06.png")</f>
        <v/>
      </c>
      <c r="J22" s="22" t="str">
        <f>IMAGE("https://raw.githubusercontent.com/ltdimages/images/refs/heads/main/ClothAccessoryNeckToy_07.png")</f>
        <v/>
      </c>
      <c r="K22" s="63" t="s">
        <v>3952</v>
      </c>
      <c r="L22" s="23">
        <v>17.0</v>
      </c>
      <c r="M22" s="22" t="s">
        <v>3097</v>
      </c>
      <c r="N22" s="22" t="s">
        <v>3099</v>
      </c>
      <c r="O22" s="22" t="s">
        <v>45</v>
      </c>
      <c r="P22" s="22" t="s">
        <v>45</v>
      </c>
      <c r="Q22" s="22" t="s">
        <v>45</v>
      </c>
      <c r="R22" s="22" t="s">
        <v>45</v>
      </c>
      <c r="S22" s="22" t="s">
        <v>45</v>
      </c>
      <c r="T22" s="22" t="s">
        <v>2002</v>
      </c>
      <c r="U22" s="22" t="s">
        <v>45</v>
      </c>
      <c r="V22" s="22" t="s">
        <v>45</v>
      </c>
      <c r="W22" s="22" t="s">
        <v>5825</v>
      </c>
    </row>
    <row r="23" ht="45.0" customHeight="1">
      <c r="A23" s="55" t="s">
        <v>152</v>
      </c>
      <c r="B23" s="62" t="s">
        <v>3900</v>
      </c>
      <c r="C23" s="22" t="str">
        <f>IMAGE("https://raw.githubusercontent.com/ltdimages/images/refs/heads/main/ClothAccessoryNeckStethoscope_00.png")</f>
        <v/>
      </c>
      <c r="D23" s="22" t="str">
        <f>IMAGE("https://raw.githubusercontent.com/ltdimages/images/refs/heads/main/ClothAccessoryNeckStethoscope_01.png")</f>
        <v/>
      </c>
      <c r="E23" s="22" t="str">
        <f>IMAGE("https://raw.githubusercontent.com/ltdimages/images/refs/heads/main/ClothAccessoryNeckStethoscope_02.png")</f>
        <v/>
      </c>
      <c r="F23" s="22" t="str">
        <f>IMAGE("https://raw.githubusercontent.com/ltdimages/images/refs/heads/main/ClothAccessoryNeckStethoscope_03.png")</f>
        <v/>
      </c>
      <c r="G23" s="22" t="str">
        <f>IMAGE("https://raw.githubusercontent.com/ltdimages/images/refs/heads/main/ClothAccessoryNeckStethoscope_04.png")</f>
        <v/>
      </c>
      <c r="H23" s="22" t="str">
        <f>IMAGE("https://raw.githubusercontent.com/ltdimages/images/refs/heads/main/ClothAccessoryNeckStethoscope_05.png")</f>
        <v/>
      </c>
      <c r="I23" s="22" t="s">
        <v>3095</v>
      </c>
      <c r="J23" s="22" t="s">
        <v>3095</v>
      </c>
      <c r="K23" s="63" t="s">
        <v>3952</v>
      </c>
      <c r="L23" s="23">
        <v>15.0</v>
      </c>
      <c r="M23" s="22" t="s">
        <v>3097</v>
      </c>
      <c r="N23" s="22" t="s">
        <v>3099</v>
      </c>
      <c r="O23" s="22" t="s">
        <v>45</v>
      </c>
      <c r="P23" s="22" t="s">
        <v>45</v>
      </c>
      <c r="Q23" s="22" t="s">
        <v>45</v>
      </c>
      <c r="R23" s="22" t="s">
        <v>49</v>
      </c>
      <c r="S23" s="22" t="s">
        <v>45</v>
      </c>
      <c r="T23" s="22" t="s">
        <v>2002</v>
      </c>
      <c r="U23" s="22" t="s">
        <v>45</v>
      </c>
      <c r="V23" s="22" t="s">
        <v>45</v>
      </c>
      <c r="W23" s="22" t="s">
        <v>5826</v>
      </c>
    </row>
    <row r="24" ht="45.0" customHeight="1">
      <c r="A24" s="55" t="s">
        <v>156</v>
      </c>
      <c r="B24" s="62" t="s">
        <v>3371</v>
      </c>
      <c r="C24" s="22" t="str">
        <f>IMAGE("https://raw.githubusercontent.com/ltdimages/images/refs/heads/main/ClothAccessoryNeckLeatherChoker_00.png")</f>
        <v/>
      </c>
      <c r="D24" s="22" t="str">
        <f>IMAGE("https://raw.githubusercontent.com/ltdimages/images/refs/heads/main/ClothAccessoryNeckLeatherChoker_01.png")</f>
        <v/>
      </c>
      <c r="E24" s="22" t="str">
        <f>IMAGE("https://raw.githubusercontent.com/ltdimages/images/refs/heads/main/ClothAccessoryNeckLeatherChoker_02.png")</f>
        <v/>
      </c>
      <c r="F24" s="22" t="str">
        <f>IMAGE("https://raw.githubusercontent.com/ltdimages/images/refs/heads/main/ClothAccessoryNeckLeatherChoker_03.png")</f>
        <v/>
      </c>
      <c r="G24" s="22" t="str">
        <f>IMAGE("https://raw.githubusercontent.com/ltdimages/images/refs/heads/main/ClothAccessoryNeckLeatherChoker_04.png")</f>
        <v/>
      </c>
      <c r="H24" s="22" t="str">
        <f>IMAGE("https://raw.githubusercontent.com/ltdimages/images/refs/heads/main/ClothAccessoryNeckLeatherChoker_05.png")</f>
        <v/>
      </c>
      <c r="I24" s="22" t="s">
        <v>3095</v>
      </c>
      <c r="J24" s="22" t="s">
        <v>3095</v>
      </c>
      <c r="K24" s="63" t="s">
        <v>3952</v>
      </c>
      <c r="L24" s="23">
        <v>12.0</v>
      </c>
      <c r="M24" s="22" t="s">
        <v>3097</v>
      </c>
      <c r="N24" s="22" t="s">
        <v>3099</v>
      </c>
      <c r="O24" s="22" t="s">
        <v>45</v>
      </c>
      <c r="P24" s="22" t="s">
        <v>45</v>
      </c>
      <c r="Q24" s="22" t="s">
        <v>45</v>
      </c>
      <c r="R24" s="22" t="s">
        <v>45</v>
      </c>
      <c r="S24" s="22" t="s">
        <v>45</v>
      </c>
      <c r="T24" s="22" t="s">
        <v>2002</v>
      </c>
      <c r="U24" s="22" t="s">
        <v>45</v>
      </c>
      <c r="V24" s="22" t="s">
        <v>45</v>
      </c>
      <c r="W24" s="22" t="s">
        <v>5827</v>
      </c>
    </row>
    <row r="25" ht="45.0" customHeight="1">
      <c r="A25" s="55" t="s">
        <v>161</v>
      </c>
      <c r="B25" s="62" t="s">
        <v>5828</v>
      </c>
      <c r="C25" s="22" t="str">
        <f>IMAGE("https://raw.githubusercontent.com/ltdimages/images/refs/heads/main/ClothAccessoryNeckTripleChain_00.png")</f>
        <v/>
      </c>
      <c r="D25" s="22" t="str">
        <f>IMAGE("https://raw.githubusercontent.com/ltdimages/images/refs/heads/main/ClothAccessoryNeckTripleChain_01.png")</f>
        <v/>
      </c>
      <c r="E25" s="22" t="str">
        <f>IMAGE("https://raw.githubusercontent.com/ltdimages/images/refs/heads/main/ClothAccessoryNeckTripleChain_02.png")</f>
        <v/>
      </c>
      <c r="F25" s="22" t="str">
        <f>IMAGE("https://raw.githubusercontent.com/ltdimages/images/refs/heads/main/ClothAccessoryNeckTripleChain_03.png")</f>
        <v/>
      </c>
      <c r="G25" s="22" t="s">
        <v>3095</v>
      </c>
      <c r="H25" s="22" t="s">
        <v>3095</v>
      </c>
      <c r="I25" s="22" t="s">
        <v>3095</v>
      </c>
      <c r="J25" s="22" t="s">
        <v>3095</v>
      </c>
      <c r="K25" s="63" t="s">
        <v>3952</v>
      </c>
      <c r="L25" s="23">
        <v>35.0</v>
      </c>
      <c r="M25" s="22" t="s">
        <v>3097</v>
      </c>
      <c r="N25" s="22" t="s">
        <v>3099</v>
      </c>
      <c r="O25" s="22" t="s">
        <v>45</v>
      </c>
      <c r="P25" s="22" t="s">
        <v>45</v>
      </c>
      <c r="Q25" s="22" t="s">
        <v>45</v>
      </c>
      <c r="R25" s="22" t="s">
        <v>45</v>
      </c>
      <c r="S25" s="22" t="s">
        <v>45</v>
      </c>
      <c r="T25" s="22" t="s">
        <v>2002</v>
      </c>
      <c r="U25" s="22" t="s">
        <v>45</v>
      </c>
      <c r="V25" s="22" t="s">
        <v>45</v>
      </c>
      <c r="W25" s="22" t="s">
        <v>5829</v>
      </c>
    </row>
    <row r="26" ht="45.0" customHeight="1">
      <c r="A26" s="55" t="s">
        <v>165</v>
      </c>
      <c r="B26" s="62" t="s">
        <v>5830</v>
      </c>
      <c r="C26" s="22" t="str">
        <f>IMAGE("https://raw.githubusercontent.com/ltdimages/images/refs/heads/main/ClothAccessoryNeckWhistle_00.png")</f>
        <v/>
      </c>
      <c r="D26" s="22" t="str">
        <f>IMAGE("https://raw.githubusercontent.com/ltdimages/images/refs/heads/main/ClothAccessoryNeckWhistle_01.png")</f>
        <v/>
      </c>
      <c r="E26" s="22" t="str">
        <f>IMAGE("https://raw.githubusercontent.com/ltdimages/images/refs/heads/main/ClothAccessoryNeckWhistle_02.png")</f>
        <v/>
      </c>
      <c r="F26" s="22" t="str">
        <f>IMAGE("https://raw.githubusercontent.com/ltdimages/images/refs/heads/main/ClothAccessoryNeckWhistle_03.png")</f>
        <v/>
      </c>
      <c r="G26" s="22" t="str">
        <f>IMAGE("https://raw.githubusercontent.com/ltdimages/images/refs/heads/main/ClothAccessoryNeckWhistle_04.png")</f>
        <v/>
      </c>
      <c r="H26" s="22" t="str">
        <f>IMAGE("https://raw.githubusercontent.com/ltdimages/images/refs/heads/main/ClothAccessoryNeckWhistle_05.png")</f>
        <v/>
      </c>
      <c r="I26" s="22" t="str">
        <f>IMAGE("https://raw.githubusercontent.com/ltdimages/images/refs/heads/main/ClothAccessoryNeckWhistle_06.png")</f>
        <v/>
      </c>
      <c r="J26" s="22" t="str">
        <f>IMAGE("https://raw.githubusercontent.com/ltdimages/images/refs/heads/main/ClothAccessoryNeckWhistle_07.png")</f>
        <v/>
      </c>
      <c r="K26" s="63" t="s">
        <v>3952</v>
      </c>
      <c r="L26" s="23">
        <v>6.0</v>
      </c>
      <c r="M26" s="22" t="s">
        <v>3097</v>
      </c>
      <c r="N26" s="22" t="s">
        <v>3099</v>
      </c>
      <c r="O26" s="22" t="s">
        <v>45</v>
      </c>
      <c r="P26" s="22" t="s">
        <v>45</v>
      </c>
      <c r="Q26" s="22" t="s">
        <v>45</v>
      </c>
      <c r="R26" s="22" t="s">
        <v>45</v>
      </c>
      <c r="S26" s="22" t="s">
        <v>45</v>
      </c>
      <c r="T26" s="22" t="s">
        <v>2002</v>
      </c>
      <c r="U26" s="22" t="s">
        <v>45</v>
      </c>
      <c r="V26" s="22" t="s">
        <v>45</v>
      </c>
      <c r="W26" s="22" t="s">
        <v>5831</v>
      </c>
    </row>
    <row r="27" ht="45.0" customHeight="1">
      <c r="A27" s="55" t="s">
        <v>170</v>
      </c>
      <c r="B27" s="62" t="s">
        <v>4449</v>
      </c>
      <c r="C27" s="22" t="str">
        <f>IMAGE("https://raw.githubusercontent.com/ltdimages/images/refs/heads/main/ClothAccessoryNeckWoodBeads_00.png")</f>
        <v/>
      </c>
      <c r="D27" s="22" t="str">
        <f>IMAGE("https://raw.githubusercontent.com/ltdimages/images/refs/heads/main/ClothAccessoryNeckWoodBeads_01.png")</f>
        <v/>
      </c>
      <c r="E27" s="22" t="str">
        <f>IMAGE("https://raw.githubusercontent.com/ltdimages/images/refs/heads/main/ClothAccessoryNeckWoodBeads_02.png")</f>
        <v/>
      </c>
      <c r="F27" s="22" t="s">
        <v>3095</v>
      </c>
      <c r="G27" s="22" t="s">
        <v>3095</v>
      </c>
      <c r="H27" s="22" t="s">
        <v>3095</v>
      </c>
      <c r="I27" s="22" t="s">
        <v>3095</v>
      </c>
      <c r="J27" s="22" t="s">
        <v>3095</v>
      </c>
      <c r="K27" s="63" t="s">
        <v>3952</v>
      </c>
      <c r="L27" s="23">
        <v>18.0</v>
      </c>
      <c r="M27" s="22" t="s">
        <v>3097</v>
      </c>
      <c r="N27" s="22" t="s">
        <v>3099</v>
      </c>
      <c r="O27" s="22" t="s">
        <v>45</v>
      </c>
      <c r="P27" s="22" t="s">
        <v>45</v>
      </c>
      <c r="Q27" s="22" t="s">
        <v>45</v>
      </c>
      <c r="R27" s="22" t="s">
        <v>45</v>
      </c>
      <c r="S27" s="22" t="s">
        <v>45</v>
      </c>
      <c r="T27" s="22" t="s">
        <v>2002</v>
      </c>
      <c r="U27" s="22" t="s">
        <v>45</v>
      </c>
      <c r="V27" s="22" t="s">
        <v>45</v>
      </c>
      <c r="W27" s="22" t="s">
        <v>5832</v>
      </c>
    </row>
    <row r="28" ht="45.0" customHeight="1">
      <c r="A28" s="55" t="s">
        <v>175</v>
      </c>
      <c r="B28" s="62" t="s">
        <v>3799</v>
      </c>
      <c r="C28" s="22" t="str">
        <f>IMAGE("https://raw.githubusercontent.com/ltdimages/images/refs/heads/main/ClothAccessoryMufflerSimple_00.png")</f>
        <v/>
      </c>
      <c r="D28" s="22" t="str">
        <f>IMAGE("https://raw.githubusercontent.com/ltdimages/images/refs/heads/main/ClothAccessoryMufflerSimple_01.png")</f>
        <v/>
      </c>
      <c r="E28" s="22" t="str">
        <f>IMAGE("https://raw.githubusercontent.com/ltdimages/images/refs/heads/main/ClothAccessoryMufflerSimple_02.png")</f>
        <v/>
      </c>
      <c r="F28" s="22" t="str">
        <f>IMAGE("https://raw.githubusercontent.com/ltdimages/images/refs/heads/main/ClothAccessoryMufflerSimple_03.png")</f>
        <v/>
      </c>
      <c r="G28" s="22" t="str">
        <f>IMAGE("https://raw.githubusercontent.com/ltdimages/images/refs/heads/main/ClothAccessoryMufflerSimple_04.png")</f>
        <v/>
      </c>
      <c r="H28" s="22" t="str">
        <f>IMAGE("https://raw.githubusercontent.com/ltdimages/images/refs/heads/main/ClothAccessoryMufflerSimple_05.png")</f>
        <v/>
      </c>
      <c r="I28" s="22" t="str">
        <f>IMAGE("https://raw.githubusercontent.com/ltdimages/images/refs/heads/main/ClothAccessoryMufflerSimple_06.png")</f>
        <v/>
      </c>
      <c r="J28" s="22" t="str">
        <f>IMAGE("https://raw.githubusercontent.com/ltdimages/images/refs/heads/main/ClothAccessoryMufflerSimple_07.png")</f>
        <v/>
      </c>
      <c r="K28" s="63" t="s">
        <v>3952</v>
      </c>
      <c r="L28" s="23">
        <v>17.0</v>
      </c>
      <c r="M28" s="22" t="s">
        <v>3097</v>
      </c>
      <c r="N28" s="22" t="s">
        <v>3099</v>
      </c>
      <c r="O28" s="22" t="s">
        <v>45</v>
      </c>
      <c r="P28" s="22" t="s">
        <v>45</v>
      </c>
      <c r="Q28" s="22" t="s">
        <v>45</v>
      </c>
      <c r="R28" s="22" t="s">
        <v>45</v>
      </c>
      <c r="S28" s="22" t="s">
        <v>45</v>
      </c>
      <c r="T28" s="22" t="s">
        <v>2002</v>
      </c>
      <c r="U28" s="22" t="s">
        <v>45</v>
      </c>
      <c r="V28" s="22" t="s">
        <v>45</v>
      </c>
      <c r="W28" s="22" t="s">
        <v>5833</v>
      </c>
    </row>
    <row r="29" ht="45.0" customHeight="1">
      <c r="A29" s="55" t="s">
        <v>180</v>
      </c>
      <c r="B29" s="62" t="s">
        <v>4655</v>
      </c>
      <c r="C29" s="22" t="str">
        <f>IMAGE("https://raw.githubusercontent.com/ltdimages/images/refs/heads/main/ClothAccessoryMufflerCheck_00.png")</f>
        <v/>
      </c>
      <c r="D29" s="22" t="str">
        <f>IMAGE("https://raw.githubusercontent.com/ltdimages/images/refs/heads/main/ClothAccessoryMufflerCheck_01.png")</f>
        <v/>
      </c>
      <c r="E29" s="22" t="str">
        <f>IMAGE("https://raw.githubusercontent.com/ltdimages/images/refs/heads/main/ClothAccessoryMufflerCheck_02.png")</f>
        <v/>
      </c>
      <c r="F29" s="22" t="str">
        <f>IMAGE("https://raw.githubusercontent.com/ltdimages/images/refs/heads/main/ClothAccessoryMufflerCheck_03.png")</f>
        <v/>
      </c>
      <c r="G29" s="22" t="str">
        <f>IMAGE("https://raw.githubusercontent.com/ltdimages/images/refs/heads/main/ClothAccessoryMufflerCheck_04.png")</f>
        <v/>
      </c>
      <c r="H29" s="22" t="str">
        <f>IMAGE("https://raw.githubusercontent.com/ltdimages/images/refs/heads/main/ClothAccessoryMufflerCheck_05.png")</f>
        <v/>
      </c>
      <c r="I29" s="22" t="str">
        <f>IMAGE("https://raw.githubusercontent.com/ltdimages/images/refs/heads/main/ClothAccessoryMufflerCheck_06.png")</f>
        <v/>
      </c>
      <c r="J29" s="22" t="str">
        <f>IMAGE("https://raw.githubusercontent.com/ltdimages/images/refs/heads/main/ClothAccessoryMufflerCheck_07.png")</f>
        <v/>
      </c>
      <c r="K29" s="63" t="s">
        <v>3952</v>
      </c>
      <c r="L29" s="23">
        <v>18.0</v>
      </c>
      <c r="M29" s="22" t="s">
        <v>3097</v>
      </c>
      <c r="N29" s="22" t="s">
        <v>3099</v>
      </c>
      <c r="O29" s="22" t="s">
        <v>45</v>
      </c>
      <c r="P29" s="22" t="s">
        <v>45</v>
      </c>
      <c r="Q29" s="22" t="s">
        <v>45</v>
      </c>
      <c r="R29" s="22" t="s">
        <v>45</v>
      </c>
      <c r="S29" s="22" t="s">
        <v>45</v>
      </c>
      <c r="T29" s="22" t="s">
        <v>2002</v>
      </c>
      <c r="U29" s="22" t="s">
        <v>45</v>
      </c>
      <c r="V29" s="22" t="s">
        <v>45</v>
      </c>
      <c r="W29" s="22" t="s">
        <v>5834</v>
      </c>
    </row>
    <row r="30" ht="45.0" customHeight="1">
      <c r="A30" s="55" t="s">
        <v>185</v>
      </c>
      <c r="B30" s="62" t="s">
        <v>5835</v>
      </c>
      <c r="C30" s="22" t="str">
        <f>IMAGE("https://raw.githubusercontent.com/ltdimages/images/refs/heads/main/ClothAccessoryMufflerFur_00.png")</f>
        <v/>
      </c>
      <c r="D30" s="22" t="str">
        <f>IMAGE("https://raw.githubusercontent.com/ltdimages/images/refs/heads/main/ClothAccessoryMufflerFur_01.png")</f>
        <v/>
      </c>
      <c r="E30" s="22" t="str">
        <f>IMAGE("https://raw.githubusercontent.com/ltdimages/images/refs/heads/main/ClothAccessoryMufflerFur_02.png")</f>
        <v/>
      </c>
      <c r="F30" s="22" t="str">
        <f>IMAGE("https://raw.githubusercontent.com/ltdimages/images/refs/heads/main/ClothAccessoryMufflerFur_03.png")</f>
        <v/>
      </c>
      <c r="G30" s="22" t="str">
        <f>IMAGE("https://raw.githubusercontent.com/ltdimages/images/refs/heads/main/ClothAccessoryMufflerFur_04.png")</f>
        <v/>
      </c>
      <c r="H30" s="22" t="str">
        <f>IMAGE("https://raw.githubusercontent.com/ltdimages/images/refs/heads/main/ClothAccessoryMufflerFur_05.png")</f>
        <v/>
      </c>
      <c r="I30" s="22" t="str">
        <f>IMAGE("https://raw.githubusercontent.com/ltdimages/images/refs/heads/main/ClothAccessoryMufflerFur_06.png")</f>
        <v/>
      </c>
      <c r="J30" s="22" t="str">
        <f>IMAGE("https://raw.githubusercontent.com/ltdimages/images/refs/heads/main/ClothAccessoryMufflerFur_07.png")</f>
        <v/>
      </c>
      <c r="K30" s="63" t="s">
        <v>3952</v>
      </c>
      <c r="L30" s="23">
        <v>24.0</v>
      </c>
      <c r="M30" s="22" t="s">
        <v>3097</v>
      </c>
      <c r="N30" s="22" t="s">
        <v>3114</v>
      </c>
      <c r="O30" s="22" t="s">
        <v>45</v>
      </c>
      <c r="P30" s="22" t="s">
        <v>45</v>
      </c>
      <c r="Q30" s="22" t="s">
        <v>45</v>
      </c>
      <c r="R30" s="22" t="s">
        <v>45</v>
      </c>
      <c r="S30" s="22" t="s">
        <v>45</v>
      </c>
      <c r="T30" s="22" t="s">
        <v>2002</v>
      </c>
      <c r="U30" s="22" t="s">
        <v>45</v>
      </c>
      <c r="V30" s="22" t="s">
        <v>45</v>
      </c>
      <c r="W30" s="22" t="s">
        <v>5836</v>
      </c>
    </row>
    <row r="31" ht="45.0" customHeight="1">
      <c r="A31" s="55" t="s">
        <v>189</v>
      </c>
      <c r="B31" s="62" t="s">
        <v>5837</v>
      </c>
      <c r="C31" s="22" t="str">
        <f>IMAGE("https://raw.githubusercontent.com/ltdimages/images/refs/heads/main/ClothAccessoryMufflerFlower_00.png")</f>
        <v/>
      </c>
      <c r="D31" s="22" t="str">
        <f>IMAGE("https://raw.githubusercontent.com/ltdimages/images/refs/heads/main/ClothAccessoryMufflerFlower_01.png")</f>
        <v/>
      </c>
      <c r="E31" s="22" t="str">
        <f>IMAGE("https://raw.githubusercontent.com/ltdimages/images/refs/heads/main/ClothAccessoryMufflerFlower_02.png")</f>
        <v/>
      </c>
      <c r="F31" s="22" t="str">
        <f>IMAGE("https://raw.githubusercontent.com/ltdimages/images/refs/heads/main/ClothAccessoryMufflerFlower_03.png")</f>
        <v/>
      </c>
      <c r="G31" s="22" t="str">
        <f>IMAGE("https://raw.githubusercontent.com/ltdimages/images/refs/heads/main/ClothAccessoryMufflerFlower_04.png")</f>
        <v/>
      </c>
      <c r="H31" s="22" t="str">
        <f>IMAGE("https://raw.githubusercontent.com/ltdimages/images/refs/heads/main/ClothAccessoryMufflerFlower_05.png")</f>
        <v/>
      </c>
      <c r="I31" s="22" t="str">
        <f>IMAGE("https://raw.githubusercontent.com/ltdimages/images/refs/heads/main/ClothAccessoryMufflerFlower_06.png")</f>
        <v/>
      </c>
      <c r="J31" s="22" t="str">
        <f>IMAGE("https://raw.githubusercontent.com/ltdimages/images/refs/heads/main/ClothAccessoryMufflerFlower_07.png")</f>
        <v/>
      </c>
      <c r="K31" s="63" t="s">
        <v>3952</v>
      </c>
      <c r="L31" s="23">
        <v>16.0</v>
      </c>
      <c r="M31" s="22" t="s">
        <v>3097</v>
      </c>
      <c r="N31" s="22" t="s">
        <v>3099</v>
      </c>
      <c r="O31" s="22" t="s">
        <v>45</v>
      </c>
      <c r="P31" s="22" t="s">
        <v>45</v>
      </c>
      <c r="Q31" s="22" t="s">
        <v>45</v>
      </c>
      <c r="R31" s="22" t="s">
        <v>45</v>
      </c>
      <c r="S31" s="22" t="s">
        <v>45</v>
      </c>
      <c r="T31" s="22" t="s">
        <v>2002</v>
      </c>
      <c r="U31" s="22" t="s">
        <v>45</v>
      </c>
      <c r="V31" s="22" t="s">
        <v>45</v>
      </c>
      <c r="W31" s="22" t="s">
        <v>5838</v>
      </c>
    </row>
    <row r="32" ht="45.0" customHeight="1">
      <c r="A32" s="55" t="s">
        <v>194</v>
      </c>
      <c r="B32" s="62" t="s">
        <v>3446</v>
      </c>
      <c r="C32" s="22" t="str">
        <f>IMAGE("https://raw.githubusercontent.com/ltdimages/images/refs/heads/main/ClothAccessoryMufflerHeadphone_00.png")</f>
        <v/>
      </c>
      <c r="D32" s="22" t="str">
        <f>IMAGE("https://raw.githubusercontent.com/ltdimages/images/refs/heads/main/ClothAccessoryMufflerHeadphone_01.png")</f>
        <v/>
      </c>
      <c r="E32" s="22" t="str">
        <f>IMAGE("https://raw.githubusercontent.com/ltdimages/images/refs/heads/main/ClothAccessoryMufflerHeadphone_02.png")</f>
        <v/>
      </c>
      <c r="F32" s="22" t="str">
        <f>IMAGE("https://raw.githubusercontent.com/ltdimages/images/refs/heads/main/ClothAccessoryMufflerHeadphone_03.png")</f>
        <v/>
      </c>
      <c r="G32" s="22" t="str">
        <f>IMAGE("https://raw.githubusercontent.com/ltdimages/images/refs/heads/main/ClothAccessoryMufflerHeadphone_04.png")</f>
        <v/>
      </c>
      <c r="H32" s="22" t="str">
        <f>IMAGE("https://raw.githubusercontent.com/ltdimages/images/refs/heads/main/ClothAccessoryMufflerHeadphone_05.png")</f>
        <v/>
      </c>
      <c r="I32" s="22" t="str">
        <f>IMAGE("https://raw.githubusercontent.com/ltdimages/images/refs/heads/main/ClothAccessoryMufflerHeadphone_06.png")</f>
        <v/>
      </c>
      <c r="J32" s="22" t="str">
        <f>IMAGE("https://raw.githubusercontent.com/ltdimages/images/refs/heads/main/ClothAccessoryMufflerHeadphone_07.png")</f>
        <v/>
      </c>
      <c r="K32" s="63" t="s">
        <v>3952</v>
      </c>
      <c r="L32" s="23">
        <v>16.0</v>
      </c>
      <c r="M32" s="22" t="s">
        <v>3097</v>
      </c>
      <c r="N32" s="22" t="s">
        <v>3099</v>
      </c>
      <c r="O32" s="22" t="s">
        <v>45</v>
      </c>
      <c r="P32" s="22" t="s">
        <v>45</v>
      </c>
      <c r="Q32" s="22" t="s">
        <v>45</v>
      </c>
      <c r="R32" s="22" t="s">
        <v>45</v>
      </c>
      <c r="S32" s="22" t="s">
        <v>45</v>
      </c>
      <c r="T32" s="22" t="s">
        <v>2002</v>
      </c>
      <c r="U32" s="22" t="s">
        <v>45</v>
      </c>
      <c r="V32" s="22" t="s">
        <v>45</v>
      </c>
      <c r="W32" s="22" t="s">
        <v>5839</v>
      </c>
    </row>
    <row r="33" ht="45.0" customHeight="1">
      <c r="A33" s="55" t="s">
        <v>198</v>
      </c>
      <c r="B33" s="62" t="s">
        <v>5840</v>
      </c>
      <c r="C33" s="22" t="str">
        <f>IMAGE("https://raw.githubusercontent.com/ltdimages/images/refs/heads/main/ClothAccessoryMufflerHero_00.png")</f>
        <v/>
      </c>
      <c r="D33" s="22" t="str">
        <f>IMAGE("https://raw.githubusercontent.com/ltdimages/images/refs/heads/main/ClothAccessoryMufflerHero_01.png")</f>
        <v/>
      </c>
      <c r="E33" s="22" t="str">
        <f>IMAGE("https://raw.githubusercontent.com/ltdimages/images/refs/heads/main/ClothAccessoryMufflerHero_02.png")</f>
        <v/>
      </c>
      <c r="F33" s="22" t="str">
        <f>IMAGE("https://raw.githubusercontent.com/ltdimages/images/refs/heads/main/ClothAccessoryMufflerHero_03.png")</f>
        <v/>
      </c>
      <c r="G33" s="22" t="str">
        <f>IMAGE("https://raw.githubusercontent.com/ltdimages/images/refs/heads/main/ClothAccessoryMufflerHero_04.png")</f>
        <v/>
      </c>
      <c r="H33" s="22" t="str">
        <f>IMAGE("https://raw.githubusercontent.com/ltdimages/images/refs/heads/main/ClothAccessoryMufflerHero_05.png")</f>
        <v/>
      </c>
      <c r="I33" s="22" t="str">
        <f>IMAGE("https://raw.githubusercontent.com/ltdimages/images/refs/heads/main/ClothAccessoryMufflerHero_06.png")</f>
        <v/>
      </c>
      <c r="J33" s="22" t="str">
        <f>IMAGE("https://raw.githubusercontent.com/ltdimages/images/refs/heads/main/ClothAccessoryMufflerHero_07.png")</f>
        <v/>
      </c>
      <c r="K33" s="63" t="s">
        <v>3952</v>
      </c>
      <c r="L33" s="23">
        <v>16.0</v>
      </c>
      <c r="M33" s="22" t="s">
        <v>3097</v>
      </c>
      <c r="N33" s="22" t="s">
        <v>3099</v>
      </c>
      <c r="O33" s="22" t="s">
        <v>45</v>
      </c>
      <c r="P33" s="22" t="s">
        <v>45</v>
      </c>
      <c r="Q33" s="22" t="s">
        <v>45</v>
      </c>
      <c r="R33" s="22" t="s">
        <v>49</v>
      </c>
      <c r="S33" s="22" t="s">
        <v>45</v>
      </c>
      <c r="T33" s="22" t="s">
        <v>2002</v>
      </c>
      <c r="U33" s="22" t="s">
        <v>45</v>
      </c>
      <c r="V33" s="22" t="s">
        <v>45</v>
      </c>
      <c r="W33" s="22" t="s">
        <v>5841</v>
      </c>
    </row>
    <row r="34" ht="45.0" customHeight="1">
      <c r="A34" s="55" t="s">
        <v>202</v>
      </c>
      <c r="B34" s="62" t="s">
        <v>5842</v>
      </c>
      <c r="C34" s="22" t="str">
        <f>IMAGE("https://raw.githubusercontent.com/ltdimages/images/refs/heads/main/ClothAccessoryMufflerTowel_00.png")</f>
        <v/>
      </c>
      <c r="D34" s="22" t="str">
        <f>IMAGE("https://raw.githubusercontent.com/ltdimages/images/refs/heads/main/ClothAccessoryMufflerTowel_01.png")</f>
        <v/>
      </c>
      <c r="E34" s="22" t="str">
        <f>IMAGE("https://raw.githubusercontent.com/ltdimages/images/refs/heads/main/ClothAccessoryMufflerTowel_02.png")</f>
        <v/>
      </c>
      <c r="F34" s="22" t="str">
        <f>IMAGE("https://raw.githubusercontent.com/ltdimages/images/refs/heads/main/ClothAccessoryMufflerTowel_03.png")</f>
        <v/>
      </c>
      <c r="G34" s="22" t="str">
        <f>IMAGE("https://raw.githubusercontent.com/ltdimages/images/refs/heads/main/ClothAccessoryMufflerTowel_04.png")</f>
        <v/>
      </c>
      <c r="H34" s="22" t="str">
        <f>IMAGE("https://raw.githubusercontent.com/ltdimages/images/refs/heads/main/ClothAccessoryMufflerTowel_05.png")</f>
        <v/>
      </c>
      <c r="I34" s="22" t="str">
        <f>IMAGE("https://raw.githubusercontent.com/ltdimages/images/refs/heads/main/ClothAccessoryMufflerTowel_06.png")</f>
        <v/>
      </c>
      <c r="J34" s="22" t="str">
        <f>IMAGE("https://raw.githubusercontent.com/ltdimages/images/refs/heads/main/ClothAccessoryMufflerTowel_07.png")</f>
        <v/>
      </c>
      <c r="K34" s="63" t="s">
        <v>3952</v>
      </c>
      <c r="L34" s="23">
        <v>8.0</v>
      </c>
      <c r="M34" s="22" t="s">
        <v>3097</v>
      </c>
      <c r="N34" s="22" t="s">
        <v>3099</v>
      </c>
      <c r="O34" s="22" t="s">
        <v>45</v>
      </c>
      <c r="P34" s="22" t="s">
        <v>45</v>
      </c>
      <c r="Q34" s="22" t="s">
        <v>45</v>
      </c>
      <c r="R34" s="22" t="s">
        <v>45</v>
      </c>
      <c r="S34" s="22" t="s">
        <v>45</v>
      </c>
      <c r="T34" s="22" t="s">
        <v>2002</v>
      </c>
      <c r="U34" s="22" t="s">
        <v>45</v>
      </c>
      <c r="V34" s="22" t="s">
        <v>45</v>
      </c>
      <c r="W34" s="22" t="s">
        <v>5843</v>
      </c>
    </row>
    <row r="35" ht="45.0" customHeight="1">
      <c r="A35" s="55" t="s">
        <v>207</v>
      </c>
      <c r="B35" s="62" t="s">
        <v>5844</v>
      </c>
      <c r="C35" s="22" t="str">
        <f>IMAGE("https://raw.githubusercontent.com/ltdimages/images/refs/heads/main/ClothAccessoryMufflerFringeStole_00.png")</f>
        <v/>
      </c>
      <c r="D35" s="22" t="str">
        <f>IMAGE("https://raw.githubusercontent.com/ltdimages/images/refs/heads/main/ClothAccessoryMufflerFringeStole_01.png")</f>
        <v/>
      </c>
      <c r="E35" s="22" t="str">
        <f>IMAGE("https://raw.githubusercontent.com/ltdimages/images/refs/heads/main/ClothAccessoryMufflerFringeStole_02.png")</f>
        <v/>
      </c>
      <c r="F35" s="22" t="str">
        <f>IMAGE("https://raw.githubusercontent.com/ltdimages/images/refs/heads/main/ClothAccessoryMufflerFringeStole_03.png")</f>
        <v/>
      </c>
      <c r="G35" s="22" t="str">
        <f>IMAGE("https://raw.githubusercontent.com/ltdimages/images/refs/heads/main/ClothAccessoryMufflerFringeStole_04.png")</f>
        <v/>
      </c>
      <c r="H35" s="22" t="str">
        <f>IMAGE("https://raw.githubusercontent.com/ltdimages/images/refs/heads/main/ClothAccessoryMufflerFringeStole_05.png")</f>
        <v/>
      </c>
      <c r="I35" s="22" t="s">
        <v>3095</v>
      </c>
      <c r="J35" s="22" t="s">
        <v>3095</v>
      </c>
      <c r="K35" s="63" t="s">
        <v>3952</v>
      </c>
      <c r="L35" s="23">
        <v>19.0</v>
      </c>
      <c r="M35" s="22" t="s">
        <v>3097</v>
      </c>
      <c r="N35" s="22" t="s">
        <v>3099</v>
      </c>
      <c r="O35" s="22" t="s">
        <v>45</v>
      </c>
      <c r="P35" s="22" t="s">
        <v>45</v>
      </c>
      <c r="Q35" s="22" t="s">
        <v>45</v>
      </c>
      <c r="R35" s="22" t="s">
        <v>45</v>
      </c>
      <c r="S35" s="22" t="s">
        <v>45</v>
      </c>
      <c r="T35" s="22" t="s">
        <v>2002</v>
      </c>
      <c r="U35" s="22" t="s">
        <v>45</v>
      </c>
      <c r="V35" s="22" t="s">
        <v>45</v>
      </c>
      <c r="W35" s="22" t="s">
        <v>5845</v>
      </c>
    </row>
    <row r="36" ht="45.0" customHeight="1">
      <c r="A36" s="55" t="s">
        <v>211</v>
      </c>
      <c r="B36" s="62" t="s">
        <v>5846</v>
      </c>
      <c r="C36" s="22" t="str">
        <f>IMAGE("https://raw.githubusercontent.com/ltdimages/images/refs/heads/main/ClothAccessoryMufflerScarf_00.png")</f>
        <v/>
      </c>
      <c r="D36" s="22" t="str">
        <f>IMAGE("https://raw.githubusercontent.com/ltdimages/images/refs/heads/main/ClothAccessoryMufflerScarf_01.png")</f>
        <v/>
      </c>
      <c r="E36" s="22" t="str">
        <f>IMAGE("https://raw.githubusercontent.com/ltdimages/images/refs/heads/main/ClothAccessoryMufflerScarf_02.png")</f>
        <v/>
      </c>
      <c r="F36" s="22" t="str">
        <f>IMAGE("https://raw.githubusercontent.com/ltdimages/images/refs/heads/main/ClothAccessoryMufflerScarf_03.png")</f>
        <v/>
      </c>
      <c r="G36" s="22" t="str">
        <f>IMAGE("https://raw.githubusercontent.com/ltdimages/images/refs/heads/main/ClothAccessoryMufflerScarf_04.png")</f>
        <v/>
      </c>
      <c r="H36" s="22" t="str">
        <f>IMAGE("https://raw.githubusercontent.com/ltdimages/images/refs/heads/main/ClothAccessoryMufflerScarf_05.png")</f>
        <v/>
      </c>
      <c r="I36" s="22" t="s">
        <v>3095</v>
      </c>
      <c r="J36" s="22" t="s">
        <v>3095</v>
      </c>
      <c r="K36" s="63" t="s">
        <v>3952</v>
      </c>
      <c r="L36" s="23">
        <v>42.0</v>
      </c>
      <c r="M36" s="22" t="s">
        <v>3097</v>
      </c>
      <c r="N36" s="22" t="s">
        <v>3099</v>
      </c>
      <c r="O36" s="22" t="s">
        <v>45</v>
      </c>
      <c r="P36" s="22" t="s">
        <v>45</v>
      </c>
      <c r="Q36" s="22" t="s">
        <v>45</v>
      </c>
      <c r="R36" s="22" t="s">
        <v>45</v>
      </c>
      <c r="S36" s="22" t="s">
        <v>45</v>
      </c>
      <c r="T36" s="22" t="s">
        <v>2002</v>
      </c>
      <c r="U36" s="22" t="s">
        <v>45</v>
      </c>
      <c r="V36" s="22" t="s">
        <v>45</v>
      </c>
      <c r="W36" s="22" t="s">
        <v>5847</v>
      </c>
    </row>
    <row r="37" ht="45.0" customHeight="1">
      <c r="A37" s="55" t="s">
        <v>215</v>
      </c>
      <c r="B37" s="62" t="s">
        <v>5848</v>
      </c>
      <c r="C37" s="22" t="str">
        <f>IMAGE("https://raw.githubusercontent.com/ltdimages/images/refs/heads/main/ClothAccessoryMufflerSnood_00.png")</f>
        <v/>
      </c>
      <c r="D37" s="22" t="str">
        <f>IMAGE("https://raw.githubusercontent.com/ltdimages/images/refs/heads/main/ClothAccessoryMufflerSnood_01.png")</f>
        <v/>
      </c>
      <c r="E37" s="22" t="str">
        <f>IMAGE("https://raw.githubusercontent.com/ltdimages/images/refs/heads/main/ClothAccessoryMufflerSnood_02.png")</f>
        <v/>
      </c>
      <c r="F37" s="22" t="str">
        <f>IMAGE("https://raw.githubusercontent.com/ltdimages/images/refs/heads/main/ClothAccessoryMufflerSnood_03.png")</f>
        <v/>
      </c>
      <c r="G37" s="22" t="str">
        <f>IMAGE("https://raw.githubusercontent.com/ltdimages/images/refs/heads/main/ClothAccessoryMufflerSnood_04.png")</f>
        <v/>
      </c>
      <c r="H37" s="22" t="str">
        <f>IMAGE("https://raw.githubusercontent.com/ltdimages/images/refs/heads/main/ClothAccessoryMufflerSnood_05.png")</f>
        <v/>
      </c>
      <c r="I37" s="22" t="str">
        <f>IMAGE("https://raw.githubusercontent.com/ltdimages/images/refs/heads/main/ClothAccessoryMufflerSnood_06.png")</f>
        <v/>
      </c>
      <c r="J37" s="22" t="str">
        <f>IMAGE("https://raw.githubusercontent.com/ltdimages/images/refs/heads/main/ClothAccessoryMufflerSnood_07.png")</f>
        <v/>
      </c>
      <c r="K37" s="63" t="s">
        <v>3952</v>
      </c>
      <c r="L37" s="23">
        <v>18.0</v>
      </c>
      <c r="M37" s="22" t="s">
        <v>3097</v>
      </c>
      <c r="N37" s="22" t="s">
        <v>3114</v>
      </c>
      <c r="O37" s="22" t="s">
        <v>45</v>
      </c>
      <c r="P37" s="22" t="s">
        <v>45</v>
      </c>
      <c r="Q37" s="22" t="s">
        <v>45</v>
      </c>
      <c r="R37" s="22" t="s">
        <v>45</v>
      </c>
      <c r="S37" s="22" t="s">
        <v>45</v>
      </c>
      <c r="T37" s="22" t="s">
        <v>2002</v>
      </c>
      <c r="U37" s="22" t="s">
        <v>45</v>
      </c>
      <c r="V37" s="22" t="s">
        <v>45</v>
      </c>
      <c r="W37" s="22" t="s">
        <v>5849</v>
      </c>
    </row>
    <row r="38" ht="45.0" customHeight="1">
      <c r="A38" s="55" t="s">
        <v>220</v>
      </c>
      <c r="B38" s="62" t="s">
        <v>3764</v>
      </c>
      <c r="C38" s="22" t="str">
        <f>IMAGE("https://raw.githubusercontent.com/ltdimages/images/refs/heads/main/ClothAccessoryMufflerStole_00.png")</f>
        <v/>
      </c>
      <c r="D38" s="22" t="str">
        <f>IMAGE("https://raw.githubusercontent.com/ltdimages/images/refs/heads/main/ClothAccessoryMufflerStole_01.png")</f>
        <v/>
      </c>
      <c r="E38" s="22" t="str">
        <f>IMAGE("https://raw.githubusercontent.com/ltdimages/images/refs/heads/main/ClothAccessoryMufflerStole_02.png")</f>
        <v/>
      </c>
      <c r="F38" s="22" t="str">
        <f>IMAGE("https://raw.githubusercontent.com/ltdimages/images/refs/heads/main/ClothAccessoryMufflerStole_03.png")</f>
        <v/>
      </c>
      <c r="G38" s="22" t="str">
        <f>IMAGE("https://raw.githubusercontent.com/ltdimages/images/refs/heads/main/ClothAccessoryMufflerStole_04.png")</f>
        <v/>
      </c>
      <c r="H38" s="22" t="str">
        <f>IMAGE("https://raw.githubusercontent.com/ltdimages/images/refs/heads/main/ClothAccessoryMufflerStole_05.png")</f>
        <v/>
      </c>
      <c r="I38" s="22" t="str">
        <f>IMAGE("https://raw.githubusercontent.com/ltdimages/images/refs/heads/main/ClothAccessoryMufflerStole_06.png")</f>
        <v/>
      </c>
      <c r="J38" s="22" t="str">
        <f>IMAGE("https://raw.githubusercontent.com/ltdimages/images/refs/heads/main/ClothAccessoryMufflerStole_07.png")</f>
        <v/>
      </c>
      <c r="K38" s="63" t="s">
        <v>3952</v>
      </c>
      <c r="L38" s="23">
        <v>20.0</v>
      </c>
      <c r="M38" s="22" t="s">
        <v>3097</v>
      </c>
      <c r="N38" s="22" t="s">
        <v>3099</v>
      </c>
      <c r="O38" s="22" t="s">
        <v>45</v>
      </c>
      <c r="P38" s="22" t="s">
        <v>45</v>
      </c>
      <c r="Q38" s="22" t="s">
        <v>45</v>
      </c>
      <c r="R38" s="22" t="s">
        <v>45</v>
      </c>
      <c r="S38" s="22" t="s">
        <v>45</v>
      </c>
      <c r="T38" s="22" t="s">
        <v>2002</v>
      </c>
      <c r="U38" s="22" t="s">
        <v>45</v>
      </c>
      <c r="V38" s="22" t="s">
        <v>45</v>
      </c>
      <c r="W38" s="22" t="s">
        <v>5850</v>
      </c>
    </row>
    <row r="39" ht="45.0" customHeight="1">
      <c r="A39" s="55" t="s">
        <v>224</v>
      </c>
      <c r="B39" s="62" t="s">
        <v>5851</v>
      </c>
      <c r="C39" s="22" t="str">
        <f>IMAGE("https://raw.githubusercontent.com/ltdimages/images/refs/heads/main/ClothAccessoryChestBadgeAnimal_00.png")</f>
        <v/>
      </c>
      <c r="D39" s="22" t="str">
        <f>IMAGE("https://raw.githubusercontent.com/ltdimages/images/refs/heads/main/ClothAccessoryChestBadgeAnimal_01.png")</f>
        <v/>
      </c>
      <c r="E39" s="22" t="str">
        <f>IMAGE("https://raw.githubusercontent.com/ltdimages/images/refs/heads/main/ClothAccessoryChestBadgeAnimal_02.png")</f>
        <v/>
      </c>
      <c r="F39" s="22" t="str">
        <f>IMAGE("https://raw.githubusercontent.com/ltdimages/images/refs/heads/main/ClothAccessoryChestBadgeAnimal_03.png")</f>
        <v/>
      </c>
      <c r="G39" s="22" t="str">
        <f>IMAGE("https://raw.githubusercontent.com/ltdimages/images/refs/heads/main/ClothAccessoryChestBadgeAnimal_04.png")</f>
        <v/>
      </c>
      <c r="H39" s="22" t="str">
        <f>IMAGE("https://raw.githubusercontent.com/ltdimages/images/refs/heads/main/ClothAccessoryChestBadgeAnimal_05.png")</f>
        <v/>
      </c>
      <c r="I39" s="22" t="s">
        <v>3095</v>
      </c>
      <c r="J39" s="22" t="s">
        <v>3095</v>
      </c>
      <c r="K39" s="63" t="s">
        <v>3952</v>
      </c>
      <c r="L39" s="23">
        <v>5.0</v>
      </c>
      <c r="M39" s="22" t="s">
        <v>3097</v>
      </c>
      <c r="N39" s="22" t="s">
        <v>3099</v>
      </c>
      <c r="O39" s="22" t="s">
        <v>45</v>
      </c>
      <c r="P39" s="22" t="s">
        <v>45</v>
      </c>
      <c r="Q39" s="22" t="s">
        <v>45</v>
      </c>
      <c r="R39" s="22" t="s">
        <v>45</v>
      </c>
      <c r="S39" s="22" t="s">
        <v>45</v>
      </c>
      <c r="T39" s="22" t="s">
        <v>2002</v>
      </c>
      <c r="U39" s="22" t="s">
        <v>45</v>
      </c>
      <c r="V39" s="22" t="s">
        <v>45</v>
      </c>
      <c r="W39" s="22" t="s">
        <v>5852</v>
      </c>
    </row>
    <row r="40" ht="45.0" customHeight="1">
      <c r="A40" s="55" t="s">
        <v>229</v>
      </c>
      <c r="B40" s="62" t="s">
        <v>5853</v>
      </c>
      <c r="C40" s="22" t="str">
        <f>IMAGE("https://raw.githubusercontent.com/ltdimages/images/refs/heads/main/ClothAccessoryChestAntique_00.png")</f>
        <v/>
      </c>
      <c r="D40" s="22" t="str">
        <f>IMAGE("https://raw.githubusercontent.com/ltdimages/images/refs/heads/main/ClothAccessoryChestAntique_01.png")</f>
        <v/>
      </c>
      <c r="E40" s="22" t="str">
        <f>IMAGE("https://raw.githubusercontent.com/ltdimages/images/refs/heads/main/ClothAccessoryChestAntique_02.png")</f>
        <v/>
      </c>
      <c r="F40" s="22" t="str">
        <f>IMAGE("https://raw.githubusercontent.com/ltdimages/images/refs/heads/main/ClothAccessoryChestAntique_03.png")</f>
        <v/>
      </c>
      <c r="G40" s="22" t="str">
        <f>IMAGE("https://raw.githubusercontent.com/ltdimages/images/refs/heads/main/ClothAccessoryChestAntique_04.png")</f>
        <v/>
      </c>
      <c r="H40" s="22" t="str">
        <f>IMAGE("https://raw.githubusercontent.com/ltdimages/images/refs/heads/main/ClothAccessoryChestAntique_05.png")</f>
        <v/>
      </c>
      <c r="I40" s="22" t="s">
        <v>3095</v>
      </c>
      <c r="J40" s="22" t="s">
        <v>3095</v>
      </c>
      <c r="K40" s="63" t="s">
        <v>3952</v>
      </c>
      <c r="L40" s="23">
        <v>1000.0</v>
      </c>
      <c r="M40" s="22" t="s">
        <v>3097</v>
      </c>
      <c r="N40" s="22" t="s">
        <v>3099</v>
      </c>
      <c r="O40" s="22" t="s">
        <v>45</v>
      </c>
      <c r="P40" s="22" t="s">
        <v>45</v>
      </c>
      <c r="Q40" s="22" t="s">
        <v>45</v>
      </c>
      <c r="R40" s="22" t="s">
        <v>45</v>
      </c>
      <c r="S40" s="22" t="s">
        <v>45</v>
      </c>
      <c r="T40" s="22" t="s">
        <v>2002</v>
      </c>
      <c r="U40" s="22" t="s">
        <v>45</v>
      </c>
      <c r="V40" s="22" t="s">
        <v>45</v>
      </c>
      <c r="W40" s="22" t="s">
        <v>5854</v>
      </c>
    </row>
    <row r="41" ht="45.0" customHeight="1">
      <c r="A41" s="55" t="s">
        <v>233</v>
      </c>
      <c r="B41" s="62" t="s">
        <v>5855</v>
      </c>
      <c r="C41" s="22" t="str">
        <f>IMAGE("https://raw.githubusercontent.com/ltdimages/images/refs/heads/main/ClothAccessoryChestBird_00.png")</f>
        <v/>
      </c>
      <c r="D41" s="22" t="str">
        <f>IMAGE("https://raw.githubusercontent.com/ltdimages/images/refs/heads/main/ClothAccessoryChestBird_01.png")</f>
        <v/>
      </c>
      <c r="E41" s="22" t="str">
        <f>IMAGE("https://raw.githubusercontent.com/ltdimages/images/refs/heads/main/ClothAccessoryChestBird_02.png")</f>
        <v/>
      </c>
      <c r="F41" s="22" t="str">
        <f>IMAGE("https://raw.githubusercontent.com/ltdimages/images/refs/heads/main/ClothAccessoryChestBird_03.png")</f>
        <v/>
      </c>
      <c r="G41" s="22" t="str">
        <f>IMAGE("https://raw.githubusercontent.com/ltdimages/images/refs/heads/main/ClothAccessoryChestBird_04.png")</f>
        <v/>
      </c>
      <c r="H41" s="22" t="str">
        <f>IMAGE("https://raw.githubusercontent.com/ltdimages/images/refs/heads/main/ClothAccessoryChestBird_05.png")</f>
        <v/>
      </c>
      <c r="I41" s="22" t="s">
        <v>3095</v>
      </c>
      <c r="J41" s="22" t="s">
        <v>3095</v>
      </c>
      <c r="K41" s="63" t="s">
        <v>3952</v>
      </c>
      <c r="L41" s="23">
        <v>18.0</v>
      </c>
      <c r="M41" s="22" t="s">
        <v>3097</v>
      </c>
      <c r="N41" s="22" t="s">
        <v>3099</v>
      </c>
      <c r="O41" s="22" t="s">
        <v>45</v>
      </c>
      <c r="P41" s="22" t="s">
        <v>45</v>
      </c>
      <c r="Q41" s="22" t="s">
        <v>45</v>
      </c>
      <c r="R41" s="22" t="s">
        <v>45</v>
      </c>
      <c r="S41" s="22" t="s">
        <v>45</v>
      </c>
      <c r="T41" s="22" t="s">
        <v>2002</v>
      </c>
      <c r="U41" s="22" t="s">
        <v>45</v>
      </c>
      <c r="V41" s="22" t="s">
        <v>45</v>
      </c>
      <c r="W41" s="22" t="s">
        <v>5856</v>
      </c>
    </row>
    <row r="42" ht="45.0" customHeight="1">
      <c r="A42" s="55" t="s">
        <v>237</v>
      </c>
      <c r="B42" s="62" t="s">
        <v>4203</v>
      </c>
      <c r="C42" s="22" t="str">
        <f>IMAGE("https://raw.githubusercontent.com/ltdimages/images/refs/heads/main/ClothAccessoryChestBoutonniere_00.png")</f>
        <v/>
      </c>
      <c r="D42" s="22" t="str">
        <f>IMAGE("https://raw.githubusercontent.com/ltdimages/images/refs/heads/main/ClothAccessoryChestBoutonniere_01.png")</f>
        <v/>
      </c>
      <c r="E42" s="22" t="str">
        <f>IMAGE("https://raw.githubusercontent.com/ltdimages/images/refs/heads/main/ClothAccessoryChestBoutonniere_02.png")</f>
        <v/>
      </c>
      <c r="F42" s="22" t="str">
        <f>IMAGE("https://raw.githubusercontent.com/ltdimages/images/refs/heads/main/ClothAccessoryChestBoutonniere_03.png")</f>
        <v/>
      </c>
      <c r="G42" s="22" t="str">
        <f>IMAGE("https://raw.githubusercontent.com/ltdimages/images/refs/heads/main/ClothAccessoryChestBoutonniere_04.png")</f>
        <v/>
      </c>
      <c r="H42" s="22" t="str">
        <f>IMAGE("https://raw.githubusercontent.com/ltdimages/images/refs/heads/main/ClothAccessoryChestBoutonniere_05.png")</f>
        <v/>
      </c>
      <c r="I42" s="22" t="s">
        <v>3095</v>
      </c>
      <c r="J42" s="22" t="s">
        <v>3095</v>
      </c>
      <c r="K42" s="63" t="s">
        <v>3952</v>
      </c>
      <c r="L42" s="23">
        <v>49.0</v>
      </c>
      <c r="M42" s="22" t="s">
        <v>3097</v>
      </c>
      <c r="N42" s="22" t="s">
        <v>3099</v>
      </c>
      <c r="O42" s="22" t="s">
        <v>45</v>
      </c>
      <c r="P42" s="22" t="s">
        <v>45</v>
      </c>
      <c r="Q42" s="22" t="s">
        <v>45</v>
      </c>
      <c r="R42" s="22" t="s">
        <v>45</v>
      </c>
      <c r="S42" s="22" t="s">
        <v>45</v>
      </c>
      <c r="T42" s="22" t="s">
        <v>2002</v>
      </c>
      <c r="U42" s="22" t="s">
        <v>45</v>
      </c>
      <c r="V42" s="22" t="s">
        <v>45</v>
      </c>
      <c r="W42" s="22" t="s">
        <v>5857</v>
      </c>
    </row>
    <row r="43" ht="45.0" customHeight="1">
      <c r="A43" s="55" t="s">
        <v>241</v>
      </c>
      <c r="B43" s="62" t="s">
        <v>5858</v>
      </c>
      <c r="C43" s="22" t="str">
        <f>IMAGE("https://raw.githubusercontent.com/ltdimages/images/refs/heads/main/ClothAccessoryChestCameo_00.png")</f>
        <v/>
      </c>
      <c r="D43" s="22" t="str">
        <f>IMAGE("https://raw.githubusercontent.com/ltdimages/images/refs/heads/main/ClothAccessoryChestCameo_01.png")</f>
        <v/>
      </c>
      <c r="E43" s="22" t="str">
        <f>IMAGE("https://raw.githubusercontent.com/ltdimages/images/refs/heads/main/ClothAccessoryChestCameo_02.png")</f>
        <v/>
      </c>
      <c r="F43" s="22" t="str">
        <f>IMAGE("https://raw.githubusercontent.com/ltdimages/images/refs/heads/main/ClothAccessoryChestCameo_03.png")</f>
        <v/>
      </c>
      <c r="G43" s="22" t="str">
        <f>IMAGE("https://raw.githubusercontent.com/ltdimages/images/refs/heads/main/ClothAccessoryChestCameo_04.png")</f>
        <v/>
      </c>
      <c r="H43" s="22" t="str">
        <f>IMAGE("https://raw.githubusercontent.com/ltdimages/images/refs/heads/main/ClothAccessoryChestCameo_05.png")</f>
        <v/>
      </c>
      <c r="I43" s="22" t="s">
        <v>3095</v>
      </c>
      <c r="J43" s="22" t="s">
        <v>3095</v>
      </c>
      <c r="K43" s="63" t="s">
        <v>3952</v>
      </c>
      <c r="L43" s="23">
        <v>49.0</v>
      </c>
      <c r="M43" s="22" t="s">
        <v>4231</v>
      </c>
      <c r="N43" s="22" t="s">
        <v>3099</v>
      </c>
      <c r="O43" s="22" t="s">
        <v>45</v>
      </c>
      <c r="P43" s="22" t="s">
        <v>45</v>
      </c>
      <c r="Q43" s="22" t="s">
        <v>45</v>
      </c>
      <c r="R43" s="22" t="s">
        <v>45</v>
      </c>
      <c r="S43" s="22" t="s">
        <v>45</v>
      </c>
      <c r="T43" s="22" t="s">
        <v>2002</v>
      </c>
      <c r="U43" s="22" t="s">
        <v>45</v>
      </c>
      <c r="V43" s="22" t="s">
        <v>45</v>
      </c>
      <c r="W43" s="22" t="s">
        <v>5859</v>
      </c>
    </row>
    <row r="44" ht="45.0" customHeight="1">
      <c r="A44" s="55" t="s">
        <v>245</v>
      </c>
      <c r="B44" s="62" t="s">
        <v>5860</v>
      </c>
      <c r="C44" s="22" t="str">
        <f>IMAGE("https://raw.githubusercontent.com/ltdimages/images/refs/heads/main/ClothAccessoryChestBadgeCute_00.png")</f>
        <v/>
      </c>
      <c r="D44" s="22" t="str">
        <f>IMAGE("https://raw.githubusercontent.com/ltdimages/images/refs/heads/main/ClothAccessoryChestBadgeCute_01.png")</f>
        <v/>
      </c>
      <c r="E44" s="22" t="str">
        <f>IMAGE("https://raw.githubusercontent.com/ltdimages/images/refs/heads/main/ClothAccessoryChestBadgeCute_02.png")</f>
        <v/>
      </c>
      <c r="F44" s="22" t="str">
        <f>IMAGE("https://raw.githubusercontent.com/ltdimages/images/refs/heads/main/ClothAccessoryChestBadgeCute_03.png")</f>
        <v/>
      </c>
      <c r="G44" s="22" t="str">
        <f>IMAGE("https://raw.githubusercontent.com/ltdimages/images/refs/heads/main/ClothAccessoryChestBadgeCute_04.png")</f>
        <v/>
      </c>
      <c r="H44" s="22" t="str">
        <f>IMAGE("https://raw.githubusercontent.com/ltdimages/images/refs/heads/main/ClothAccessoryChestBadgeCute_05.png")</f>
        <v/>
      </c>
      <c r="I44" s="22" t="s">
        <v>3095</v>
      </c>
      <c r="J44" s="22" t="s">
        <v>3095</v>
      </c>
      <c r="K44" s="63" t="s">
        <v>3952</v>
      </c>
      <c r="L44" s="23">
        <v>6.1</v>
      </c>
      <c r="M44" s="22" t="s">
        <v>3097</v>
      </c>
      <c r="N44" s="22" t="s">
        <v>3099</v>
      </c>
      <c r="O44" s="22" t="s">
        <v>45</v>
      </c>
      <c r="P44" s="22" t="s">
        <v>45</v>
      </c>
      <c r="Q44" s="22" t="s">
        <v>45</v>
      </c>
      <c r="R44" s="22" t="s">
        <v>45</v>
      </c>
      <c r="S44" s="22" t="s">
        <v>45</v>
      </c>
      <c r="T44" s="22" t="s">
        <v>2002</v>
      </c>
      <c r="U44" s="22" t="s">
        <v>45</v>
      </c>
      <c r="V44" s="22" t="s">
        <v>45</v>
      </c>
      <c r="W44" s="22" t="s">
        <v>5861</v>
      </c>
    </row>
    <row r="45" ht="45.0" customHeight="1">
      <c r="A45" s="55" t="s">
        <v>249</v>
      </c>
      <c r="B45" s="62" t="s">
        <v>5862</v>
      </c>
      <c r="C45" s="22" t="str">
        <f>IMAGE("https://raw.githubusercontent.com/ltdimages/images/refs/heads/main/ClothAccessoryChestFeather_00.png")</f>
        <v/>
      </c>
      <c r="D45" s="22" t="str">
        <f>IMAGE("https://raw.githubusercontent.com/ltdimages/images/refs/heads/main/ClothAccessoryChestFeather_01.png")</f>
        <v/>
      </c>
      <c r="E45" s="22" t="str">
        <f>IMAGE("https://raw.githubusercontent.com/ltdimages/images/refs/heads/main/ClothAccessoryChestFeather_02.png")</f>
        <v/>
      </c>
      <c r="F45" s="22" t="str">
        <f>IMAGE("https://raw.githubusercontent.com/ltdimages/images/refs/heads/main/ClothAccessoryChestFeather_03.png")</f>
        <v/>
      </c>
      <c r="G45" s="22" t="s">
        <v>3095</v>
      </c>
      <c r="H45" s="22" t="s">
        <v>3095</v>
      </c>
      <c r="I45" s="22" t="s">
        <v>3095</v>
      </c>
      <c r="J45" s="22" t="s">
        <v>3095</v>
      </c>
      <c r="K45" s="63" t="s">
        <v>3952</v>
      </c>
      <c r="L45" s="23">
        <v>14.0</v>
      </c>
      <c r="M45" s="22" t="s">
        <v>3097</v>
      </c>
      <c r="N45" s="22" t="s">
        <v>3099</v>
      </c>
      <c r="O45" s="22" t="s">
        <v>45</v>
      </c>
      <c r="P45" s="22" t="s">
        <v>45</v>
      </c>
      <c r="Q45" s="22" t="s">
        <v>45</v>
      </c>
      <c r="R45" s="22" t="s">
        <v>45</v>
      </c>
      <c r="S45" s="22" t="s">
        <v>45</v>
      </c>
      <c r="T45" s="22" t="s">
        <v>2002</v>
      </c>
      <c r="U45" s="22" t="s">
        <v>45</v>
      </c>
      <c r="V45" s="22" t="s">
        <v>45</v>
      </c>
      <c r="W45" s="22" t="s">
        <v>5863</v>
      </c>
    </row>
    <row r="46" ht="45.0" customHeight="1">
      <c r="A46" s="55" t="s">
        <v>253</v>
      </c>
      <c r="B46" s="62" t="s">
        <v>4049</v>
      </c>
      <c r="C46" s="22" t="str">
        <f>IMAGE("https://raw.githubusercontent.com/ltdimages/images/refs/heads/main/ClothAccessoryChestNameTag_00.png")</f>
        <v/>
      </c>
      <c r="D46" s="22" t="str">
        <f>IMAGE("https://raw.githubusercontent.com/ltdimages/images/refs/heads/main/ClothAccessoryChestNameTag_01.png")</f>
        <v/>
      </c>
      <c r="E46" s="22" t="str">
        <f>IMAGE("https://raw.githubusercontent.com/ltdimages/images/refs/heads/main/ClothAccessoryChestNameTag_02.png")</f>
        <v/>
      </c>
      <c r="F46" s="22" t="str">
        <f>IMAGE("https://raw.githubusercontent.com/ltdimages/images/refs/heads/main/ClothAccessoryChestNameTag_03.png")</f>
        <v/>
      </c>
      <c r="G46" s="22" t="str">
        <f>IMAGE("https://raw.githubusercontent.com/ltdimages/images/refs/heads/main/ClothAccessoryChestNameTag_04.png")</f>
        <v/>
      </c>
      <c r="H46" s="22" t="str">
        <f>IMAGE("https://raw.githubusercontent.com/ltdimages/images/refs/heads/main/ClothAccessoryChestNameTag_05.png")</f>
        <v/>
      </c>
      <c r="I46" s="22" t="s">
        <v>3095</v>
      </c>
      <c r="J46" s="22" t="s">
        <v>3095</v>
      </c>
      <c r="K46" s="63" t="s">
        <v>3952</v>
      </c>
      <c r="L46" s="23">
        <v>10.0</v>
      </c>
      <c r="M46" s="22" t="s">
        <v>3097</v>
      </c>
      <c r="N46" s="22" t="s">
        <v>3099</v>
      </c>
      <c r="O46" s="22" t="s">
        <v>45</v>
      </c>
      <c r="P46" s="22" t="s">
        <v>45</v>
      </c>
      <c r="Q46" s="22" t="s">
        <v>45</v>
      </c>
      <c r="R46" s="22" t="s">
        <v>45</v>
      </c>
      <c r="S46" s="22" t="s">
        <v>45</v>
      </c>
      <c r="T46" s="22" t="s">
        <v>2002</v>
      </c>
      <c r="U46" s="22" t="s">
        <v>45</v>
      </c>
      <c r="V46" s="22" t="s">
        <v>45</v>
      </c>
      <c r="W46" s="22" t="s">
        <v>5864</v>
      </c>
    </row>
    <row r="47" ht="45.0" customHeight="1">
      <c r="A47" s="55" t="s">
        <v>257</v>
      </c>
      <c r="B47" s="62" t="s">
        <v>5865</v>
      </c>
      <c r="C47" s="22" t="str">
        <f>IMAGE("https://raw.githubusercontent.com/ltdimages/images/refs/heads/main/ClothAccessoryChestPearl_00.png")</f>
        <v/>
      </c>
      <c r="D47" s="22" t="str">
        <f>IMAGE("https://raw.githubusercontent.com/ltdimages/images/refs/heads/main/ClothAccessoryChestPearl_01.png")</f>
        <v/>
      </c>
      <c r="E47" s="22" t="s">
        <v>3095</v>
      </c>
      <c r="F47" s="22" t="s">
        <v>3095</v>
      </c>
      <c r="G47" s="22" t="s">
        <v>3095</v>
      </c>
      <c r="H47" s="22" t="s">
        <v>3095</v>
      </c>
      <c r="I47" s="22" t="s">
        <v>3095</v>
      </c>
      <c r="J47" s="22" t="s">
        <v>3095</v>
      </c>
      <c r="K47" s="63" t="s">
        <v>3952</v>
      </c>
      <c r="L47" s="23">
        <v>38.0</v>
      </c>
      <c r="M47" s="22" t="s">
        <v>3097</v>
      </c>
      <c r="N47" s="22" t="s">
        <v>3099</v>
      </c>
      <c r="O47" s="22" t="s">
        <v>45</v>
      </c>
      <c r="P47" s="22" t="s">
        <v>45</v>
      </c>
      <c r="Q47" s="22" t="s">
        <v>45</v>
      </c>
      <c r="R47" s="22" t="s">
        <v>45</v>
      </c>
      <c r="S47" s="22" t="s">
        <v>45</v>
      </c>
      <c r="T47" s="22" t="s">
        <v>2002</v>
      </c>
      <c r="U47" s="22" t="s">
        <v>45</v>
      </c>
      <c r="V47" s="22" t="s">
        <v>45</v>
      </c>
      <c r="W47" s="22" t="s">
        <v>5866</v>
      </c>
    </row>
    <row r="48" ht="45.0" customHeight="1">
      <c r="A48" s="55" t="s">
        <v>261</v>
      </c>
      <c r="B48" s="62" t="s">
        <v>3163</v>
      </c>
      <c r="C48" s="22" t="str">
        <f>IMAGE("https://raw.githubusercontent.com/ltdimages/images/refs/heads/main/ClothAccessoryChestRose_00.png")</f>
        <v/>
      </c>
      <c r="D48" s="22" t="str">
        <f>IMAGE("https://raw.githubusercontent.com/ltdimages/images/refs/heads/main/ClothAccessoryChestRose_01.png")</f>
        <v/>
      </c>
      <c r="E48" s="22" t="str">
        <f>IMAGE("https://raw.githubusercontent.com/ltdimages/images/refs/heads/main/ClothAccessoryChestRose_02.png")</f>
        <v/>
      </c>
      <c r="F48" s="22" t="str">
        <f>IMAGE("https://raw.githubusercontent.com/ltdimages/images/refs/heads/main/ClothAccessoryChestRose_03.png")</f>
        <v/>
      </c>
      <c r="G48" s="22" t="str">
        <f>IMAGE("https://raw.githubusercontent.com/ltdimages/images/refs/heads/main/ClothAccessoryChestRose_04.png")</f>
        <v/>
      </c>
      <c r="H48" s="22" t="str">
        <f>IMAGE("https://raw.githubusercontent.com/ltdimages/images/refs/heads/main/ClothAccessoryChestRose_05.png")</f>
        <v/>
      </c>
      <c r="I48" s="22" t="str">
        <f>IMAGE("https://raw.githubusercontent.com/ltdimages/images/refs/heads/main/ClothAccessoryChestRose_06.png")</f>
        <v/>
      </c>
      <c r="J48" s="22" t="str">
        <f>IMAGE("https://raw.githubusercontent.com/ltdimages/images/refs/heads/main/ClothAccessoryChestRose_07.png")</f>
        <v/>
      </c>
      <c r="K48" s="63" t="s">
        <v>3952</v>
      </c>
      <c r="L48" s="23">
        <v>30.0</v>
      </c>
      <c r="M48" s="22" t="s">
        <v>3097</v>
      </c>
      <c r="N48" s="22" t="s">
        <v>3099</v>
      </c>
      <c r="O48" s="22" t="s">
        <v>45</v>
      </c>
      <c r="P48" s="22" t="s">
        <v>45</v>
      </c>
      <c r="Q48" s="22" t="s">
        <v>45</v>
      </c>
      <c r="R48" s="22" t="s">
        <v>45</v>
      </c>
      <c r="S48" s="22" t="s">
        <v>45</v>
      </c>
      <c r="T48" s="22" t="s">
        <v>2002</v>
      </c>
      <c r="U48" s="22" t="s">
        <v>45</v>
      </c>
      <c r="V48" s="22" t="s">
        <v>45</v>
      </c>
      <c r="W48" s="22" t="s">
        <v>5867</v>
      </c>
    </row>
    <row r="49" ht="45.0" customHeight="1">
      <c r="A49" s="55" t="s">
        <v>265</v>
      </c>
      <c r="B49" s="62" t="s">
        <v>5868</v>
      </c>
      <c r="C49" s="22" t="str">
        <f>IMAGE("https://raw.githubusercontent.com/ltdimages/images/refs/heads/main/ClothAccessoryChestRosette_00.png")</f>
        <v/>
      </c>
      <c r="D49" s="22" t="str">
        <f>IMAGE("https://raw.githubusercontent.com/ltdimages/images/refs/heads/main/ClothAccessoryChestRosette_01.png")</f>
        <v/>
      </c>
      <c r="E49" s="22" t="str">
        <f>IMAGE("https://raw.githubusercontent.com/ltdimages/images/refs/heads/main/ClothAccessoryChestRosette_02.png")</f>
        <v/>
      </c>
      <c r="F49" s="22" t="str">
        <f>IMAGE("https://raw.githubusercontent.com/ltdimages/images/refs/heads/main/ClothAccessoryChestRosette_03.png")</f>
        <v/>
      </c>
      <c r="G49" s="22" t="str">
        <f>IMAGE("https://raw.githubusercontent.com/ltdimages/images/refs/heads/main/ClothAccessoryChestRosette_04.png")</f>
        <v/>
      </c>
      <c r="H49" s="22" t="str">
        <f>IMAGE("https://raw.githubusercontent.com/ltdimages/images/refs/heads/main/ClothAccessoryChestRosette_05.png")</f>
        <v/>
      </c>
      <c r="I49" s="22" t="str">
        <f>IMAGE("https://raw.githubusercontent.com/ltdimages/images/refs/heads/main/ClothAccessoryChestRosette_06.png")</f>
        <v/>
      </c>
      <c r="J49" s="22" t="str">
        <f>IMAGE("https://raw.githubusercontent.com/ltdimages/images/refs/heads/main/ClothAccessoryChestRosette_07.png")</f>
        <v/>
      </c>
      <c r="K49" s="63" t="s">
        <v>3952</v>
      </c>
      <c r="L49" s="23">
        <v>15.0</v>
      </c>
      <c r="M49" s="22" t="s">
        <v>3097</v>
      </c>
      <c r="N49" s="22" t="s">
        <v>3099</v>
      </c>
      <c r="O49" s="22" t="s">
        <v>45</v>
      </c>
      <c r="P49" s="22" t="s">
        <v>45</v>
      </c>
      <c r="Q49" s="22" t="s">
        <v>45</v>
      </c>
      <c r="R49" s="22" t="s">
        <v>49</v>
      </c>
      <c r="S49" s="22" t="s">
        <v>45</v>
      </c>
      <c r="T49" s="22" t="s">
        <v>2002</v>
      </c>
      <c r="U49" s="22" t="s">
        <v>45</v>
      </c>
      <c r="V49" s="22" t="s">
        <v>45</v>
      </c>
      <c r="W49" s="22" t="s">
        <v>5869</v>
      </c>
    </row>
    <row r="50" ht="45.0" customHeight="1">
      <c r="A50" s="55" t="s">
        <v>269</v>
      </c>
      <c r="B50" s="62" t="s">
        <v>4706</v>
      </c>
      <c r="C50" s="22" t="str">
        <f>IMAGE("https://raw.githubusercontent.com/ltdimages/images/refs/heads/main/ClothAccessoryChestCorsage_00.png")</f>
        <v/>
      </c>
      <c r="D50" s="22" t="str">
        <f>IMAGE("https://raw.githubusercontent.com/ltdimages/images/refs/heads/main/ClothAccessoryChestCorsage_01.png")</f>
        <v/>
      </c>
      <c r="E50" s="22" t="str">
        <f>IMAGE("https://raw.githubusercontent.com/ltdimages/images/refs/heads/main/ClothAccessoryChestCorsage_02.png")</f>
        <v/>
      </c>
      <c r="F50" s="22" t="str">
        <f>IMAGE("https://raw.githubusercontent.com/ltdimages/images/refs/heads/main/ClothAccessoryChestCorsage_03.png")</f>
        <v/>
      </c>
      <c r="G50" s="22" t="str">
        <f>IMAGE("https://raw.githubusercontent.com/ltdimages/images/refs/heads/main/ClothAccessoryChestCorsage_04.png")</f>
        <v/>
      </c>
      <c r="H50" s="22" t="str">
        <f>IMAGE("https://raw.githubusercontent.com/ltdimages/images/refs/heads/main/ClothAccessoryChestCorsage_05.png")</f>
        <v/>
      </c>
      <c r="I50" s="22" t="str">
        <f>IMAGE("https://raw.githubusercontent.com/ltdimages/images/refs/heads/main/ClothAccessoryChestCorsage_06.png")</f>
        <v/>
      </c>
      <c r="J50" s="22" t="str">
        <f>IMAGE("https://raw.githubusercontent.com/ltdimages/images/refs/heads/main/ClothAccessoryChestCorsage_07.png")</f>
        <v/>
      </c>
      <c r="K50" s="63" t="s">
        <v>3952</v>
      </c>
      <c r="L50" s="23">
        <v>50.0</v>
      </c>
      <c r="M50" s="22" t="s">
        <v>3097</v>
      </c>
      <c r="N50" s="22" t="s">
        <v>3099</v>
      </c>
      <c r="O50" s="22" t="s">
        <v>45</v>
      </c>
      <c r="P50" s="22" t="s">
        <v>45</v>
      </c>
      <c r="Q50" s="22" t="s">
        <v>45</v>
      </c>
      <c r="R50" s="22" t="s">
        <v>45</v>
      </c>
      <c r="S50" s="22" t="s">
        <v>45</v>
      </c>
      <c r="T50" s="22" t="s">
        <v>2002</v>
      </c>
      <c r="U50" s="22" t="s">
        <v>45</v>
      </c>
      <c r="V50" s="22" t="s">
        <v>45</v>
      </c>
      <c r="W50" s="22" t="s">
        <v>5870</v>
      </c>
    </row>
    <row r="51" ht="45.0" customHeight="1">
      <c r="A51" s="55" t="s">
        <v>273</v>
      </c>
      <c r="B51" s="62" t="s">
        <v>5871</v>
      </c>
      <c r="C51" s="22" t="str">
        <f>IMAGE("https://raw.githubusercontent.com/ltdimages/images/refs/heads/main/ClothAccessoryChestBadgeText_00.png")</f>
        <v/>
      </c>
      <c r="D51" s="22" t="str">
        <f>IMAGE("https://raw.githubusercontent.com/ltdimages/images/refs/heads/main/ClothAccessoryChestBadgeText_01.png")</f>
        <v/>
      </c>
      <c r="E51" s="22" t="str">
        <f>IMAGE("https://raw.githubusercontent.com/ltdimages/images/refs/heads/main/ClothAccessoryChestBadgeText_02.png")</f>
        <v/>
      </c>
      <c r="F51" s="22" t="str">
        <f>IMAGE("https://raw.githubusercontent.com/ltdimages/images/refs/heads/main/ClothAccessoryChestBadgeText_03.png")</f>
        <v/>
      </c>
      <c r="G51" s="22" t="str">
        <f>IMAGE("https://raw.githubusercontent.com/ltdimages/images/refs/heads/main/ClothAccessoryChestBadgeText_04.png")</f>
        <v/>
      </c>
      <c r="H51" s="22" t="str">
        <f>IMAGE("https://raw.githubusercontent.com/ltdimages/images/refs/heads/main/ClothAccessoryChestBadgeText_05.png")</f>
        <v/>
      </c>
      <c r="I51" s="22" t="s">
        <v>3095</v>
      </c>
      <c r="J51" s="22" t="s">
        <v>3095</v>
      </c>
      <c r="K51" s="63" t="s">
        <v>3952</v>
      </c>
      <c r="L51" s="23">
        <v>5.5</v>
      </c>
      <c r="M51" s="22" t="s">
        <v>3097</v>
      </c>
      <c r="N51" s="22" t="s">
        <v>3099</v>
      </c>
      <c r="O51" s="22" t="s">
        <v>45</v>
      </c>
      <c r="P51" s="22" t="s">
        <v>45</v>
      </c>
      <c r="Q51" s="22" t="s">
        <v>45</v>
      </c>
      <c r="R51" s="22" t="s">
        <v>45</v>
      </c>
      <c r="S51" s="22" t="s">
        <v>45</v>
      </c>
      <c r="T51" s="22" t="s">
        <v>2002</v>
      </c>
      <c r="U51" s="22" t="s">
        <v>45</v>
      </c>
      <c r="V51" s="22" t="s">
        <v>45</v>
      </c>
      <c r="W51" s="22" t="s">
        <v>5872</v>
      </c>
    </row>
    <row r="52" ht="45.0" customHeight="1">
      <c r="A52" s="55" t="s">
        <v>277</v>
      </c>
      <c r="B52" s="62" t="s">
        <v>5873</v>
      </c>
      <c r="C52" s="22" t="str">
        <f>IMAGE("https://raw.githubusercontent.com/ltdimages/images/refs/heads/main/ClothAccessoryWaistBear_00.png")</f>
        <v/>
      </c>
      <c r="D52" s="22" t="str">
        <f>IMAGE("https://raw.githubusercontent.com/ltdimages/images/refs/heads/main/ClothAccessoryWaistBear_01.png")</f>
        <v/>
      </c>
      <c r="E52" s="22" t="str">
        <f>IMAGE("https://raw.githubusercontent.com/ltdimages/images/refs/heads/main/ClothAccessoryWaistBear_02.png")</f>
        <v/>
      </c>
      <c r="F52" s="22" t="str">
        <f>IMAGE("https://raw.githubusercontent.com/ltdimages/images/refs/heads/main/ClothAccessoryWaistBear_03.png")</f>
        <v/>
      </c>
      <c r="G52" s="22" t="str">
        <f>IMAGE("https://raw.githubusercontent.com/ltdimages/images/refs/heads/main/ClothAccessoryWaistBear_04.png")</f>
        <v/>
      </c>
      <c r="H52" s="22" t="s">
        <v>3095</v>
      </c>
      <c r="I52" s="22" t="s">
        <v>3095</v>
      </c>
      <c r="J52" s="22" t="s">
        <v>3095</v>
      </c>
      <c r="K52" s="63" t="s">
        <v>3952</v>
      </c>
      <c r="L52" s="23">
        <v>11.0</v>
      </c>
      <c r="M52" s="22" t="s">
        <v>3097</v>
      </c>
      <c r="N52" s="22" t="s">
        <v>3099</v>
      </c>
      <c r="O52" s="22" t="s">
        <v>45</v>
      </c>
      <c r="P52" s="22" t="s">
        <v>45</v>
      </c>
      <c r="Q52" s="22" t="s">
        <v>45</v>
      </c>
      <c r="R52" s="22" t="s">
        <v>49</v>
      </c>
      <c r="S52" s="22" t="s">
        <v>45</v>
      </c>
      <c r="T52" s="22" t="s">
        <v>2002</v>
      </c>
      <c r="U52" s="22" t="s">
        <v>45</v>
      </c>
      <c r="V52" s="22" t="s">
        <v>45</v>
      </c>
      <c r="W52" s="22" t="s">
        <v>5874</v>
      </c>
    </row>
    <row r="53" ht="45.0" customHeight="1">
      <c r="A53" s="55" t="s">
        <v>281</v>
      </c>
      <c r="B53" s="62" t="s">
        <v>5875</v>
      </c>
      <c r="C53" s="22" t="str">
        <f>IMAGE("https://raw.githubusercontent.com/ltdimages/images/refs/heads/main/ClothAccessoryWaistBee_00.png")</f>
        <v/>
      </c>
      <c r="D53" s="22" t="s">
        <v>3095</v>
      </c>
      <c r="E53" s="22" t="s">
        <v>3095</v>
      </c>
      <c r="F53" s="22" t="s">
        <v>3095</v>
      </c>
      <c r="G53" s="22" t="s">
        <v>3095</v>
      </c>
      <c r="H53" s="22" t="s">
        <v>3095</v>
      </c>
      <c r="I53" s="22" t="s">
        <v>3095</v>
      </c>
      <c r="J53" s="22" t="s">
        <v>3095</v>
      </c>
      <c r="K53" s="63" t="s">
        <v>3952</v>
      </c>
      <c r="L53" s="23">
        <v>13.0</v>
      </c>
      <c r="M53" s="22" t="s">
        <v>3097</v>
      </c>
      <c r="N53" s="22" t="s">
        <v>3099</v>
      </c>
      <c r="O53" s="22" t="s">
        <v>45</v>
      </c>
      <c r="P53" s="22" t="s">
        <v>45</v>
      </c>
      <c r="Q53" s="22" t="s">
        <v>45</v>
      </c>
      <c r="R53" s="22" t="s">
        <v>49</v>
      </c>
      <c r="S53" s="22" t="s">
        <v>45</v>
      </c>
      <c r="T53" s="22" t="s">
        <v>2002</v>
      </c>
      <c r="U53" s="22" t="s">
        <v>45</v>
      </c>
      <c r="V53" s="22" t="s">
        <v>45</v>
      </c>
      <c r="W53" s="22" t="s">
        <v>5876</v>
      </c>
    </row>
    <row r="54" ht="45.0" customHeight="1">
      <c r="A54" s="55" t="s">
        <v>285</v>
      </c>
      <c r="B54" s="62" t="s">
        <v>4361</v>
      </c>
      <c r="C54" s="22" t="str">
        <f>IMAGE("https://raw.githubusercontent.com/ltdimages/images/refs/heads/main/ClothAccessoryWaistRabbit_00.png")</f>
        <v/>
      </c>
      <c r="D54" s="22" t="str">
        <f>IMAGE("https://raw.githubusercontent.com/ltdimages/images/refs/heads/main/ClothAccessoryWaistRabbit_01.png")</f>
        <v/>
      </c>
      <c r="E54" s="22" t="str">
        <f>IMAGE("https://raw.githubusercontent.com/ltdimages/images/refs/heads/main/ClothAccessoryWaistRabbit_02.png")</f>
        <v/>
      </c>
      <c r="F54" s="22" t="str">
        <f>IMAGE("https://raw.githubusercontent.com/ltdimages/images/refs/heads/main/ClothAccessoryWaistRabbit_03.png")</f>
        <v/>
      </c>
      <c r="G54" s="22" t="str">
        <f>IMAGE("https://raw.githubusercontent.com/ltdimages/images/refs/heads/main/ClothAccessoryWaistRabbit_04.png")</f>
        <v/>
      </c>
      <c r="H54" s="22" t="str">
        <f>IMAGE("https://raw.githubusercontent.com/ltdimages/images/refs/heads/main/ClothAccessoryWaistRabbit_05.png")</f>
        <v/>
      </c>
      <c r="I54" s="22" t="s">
        <v>3095</v>
      </c>
      <c r="J54" s="22" t="s">
        <v>3095</v>
      </c>
      <c r="K54" s="63" t="s">
        <v>3952</v>
      </c>
      <c r="L54" s="23">
        <v>11.0</v>
      </c>
      <c r="M54" s="22" t="s">
        <v>3097</v>
      </c>
      <c r="N54" s="22" t="s">
        <v>3099</v>
      </c>
      <c r="O54" s="22" t="s">
        <v>45</v>
      </c>
      <c r="P54" s="22" t="s">
        <v>45</v>
      </c>
      <c r="Q54" s="22" t="s">
        <v>45</v>
      </c>
      <c r="R54" s="22" t="s">
        <v>49</v>
      </c>
      <c r="S54" s="22" t="s">
        <v>45</v>
      </c>
      <c r="T54" s="22" t="s">
        <v>2002</v>
      </c>
      <c r="U54" s="22" t="s">
        <v>45</v>
      </c>
      <c r="V54" s="22" t="s">
        <v>45</v>
      </c>
      <c r="W54" s="22" t="s">
        <v>5877</v>
      </c>
    </row>
    <row r="55" ht="45.0" customHeight="1">
      <c r="A55" s="55" t="s">
        <v>289</v>
      </c>
      <c r="B55" s="62" t="s">
        <v>5878</v>
      </c>
      <c r="C55" s="22" t="str">
        <f>IMAGE("https://raw.githubusercontent.com/ltdimages/images/refs/heads/main/ClothAccessoryWaistCat_00.png")</f>
        <v/>
      </c>
      <c r="D55" s="22" t="str">
        <f>IMAGE("https://raw.githubusercontent.com/ltdimages/images/refs/heads/main/ClothAccessoryWaistCat_01.png")</f>
        <v/>
      </c>
      <c r="E55" s="22" t="str">
        <f>IMAGE("https://raw.githubusercontent.com/ltdimages/images/refs/heads/main/ClothAccessoryWaistCat_02.png")</f>
        <v/>
      </c>
      <c r="F55" s="22" t="str">
        <f>IMAGE("https://raw.githubusercontent.com/ltdimages/images/refs/heads/main/ClothAccessoryWaistCat_03.png")</f>
        <v/>
      </c>
      <c r="G55" s="22" t="str">
        <f>IMAGE("https://raw.githubusercontent.com/ltdimages/images/refs/heads/main/ClothAccessoryWaistCat_04.png")</f>
        <v/>
      </c>
      <c r="H55" s="22" t="str">
        <f>IMAGE("https://raw.githubusercontent.com/ltdimages/images/refs/heads/main/ClothAccessoryWaistCat_05.png")</f>
        <v/>
      </c>
      <c r="I55" s="22" t="str">
        <f>IMAGE("https://raw.githubusercontent.com/ltdimages/images/refs/heads/main/ClothAccessoryWaistCat_06.png")</f>
        <v/>
      </c>
      <c r="J55" s="22" t="str">
        <f>IMAGE("https://raw.githubusercontent.com/ltdimages/images/refs/heads/main/ClothAccessoryWaistCat_07.png")</f>
        <v/>
      </c>
      <c r="K55" s="63" t="s">
        <v>3952</v>
      </c>
      <c r="L55" s="23">
        <v>13.0</v>
      </c>
      <c r="M55" s="22" t="s">
        <v>3097</v>
      </c>
      <c r="N55" s="22" t="s">
        <v>3099</v>
      </c>
      <c r="O55" s="22" t="s">
        <v>45</v>
      </c>
      <c r="P55" s="22" t="s">
        <v>45</v>
      </c>
      <c r="Q55" s="22" t="s">
        <v>45</v>
      </c>
      <c r="R55" s="22" t="s">
        <v>49</v>
      </c>
      <c r="S55" s="22" t="s">
        <v>45</v>
      </c>
      <c r="T55" s="22" t="s">
        <v>2002</v>
      </c>
      <c r="U55" s="22" t="s">
        <v>45</v>
      </c>
      <c r="V55" s="22" t="s">
        <v>45</v>
      </c>
      <c r="W55" s="22" t="s">
        <v>5879</v>
      </c>
    </row>
    <row r="56" ht="45.0" customHeight="1">
      <c r="A56" s="55" t="s">
        <v>293</v>
      </c>
      <c r="B56" s="62" t="s">
        <v>5880</v>
      </c>
      <c r="C56" s="22" t="str">
        <f>IMAGE("https://raw.githubusercontent.com/ltdimages/images/refs/heads/main/ClothAccessoryWaistHen_00.png")</f>
        <v/>
      </c>
      <c r="D56" s="22" t="s">
        <v>3095</v>
      </c>
      <c r="E56" s="22" t="s">
        <v>3095</v>
      </c>
      <c r="F56" s="22" t="s">
        <v>3095</v>
      </c>
      <c r="G56" s="22" t="s">
        <v>3095</v>
      </c>
      <c r="H56" s="22" t="s">
        <v>3095</v>
      </c>
      <c r="I56" s="22" t="s">
        <v>3095</v>
      </c>
      <c r="J56" s="22" t="s">
        <v>3095</v>
      </c>
      <c r="K56" s="63" t="s">
        <v>3952</v>
      </c>
      <c r="L56" s="23">
        <v>9.0</v>
      </c>
      <c r="M56" s="22" t="s">
        <v>3097</v>
      </c>
      <c r="N56" s="22" t="s">
        <v>3099</v>
      </c>
      <c r="O56" s="22" t="s">
        <v>45</v>
      </c>
      <c r="P56" s="22" t="s">
        <v>45</v>
      </c>
      <c r="Q56" s="22" t="s">
        <v>45</v>
      </c>
      <c r="R56" s="22" t="s">
        <v>49</v>
      </c>
      <c r="S56" s="22" t="s">
        <v>45</v>
      </c>
      <c r="T56" s="22" t="s">
        <v>2002</v>
      </c>
      <c r="U56" s="22" t="s">
        <v>45</v>
      </c>
      <c r="V56" s="22" t="s">
        <v>45</v>
      </c>
      <c r="W56" s="22" t="s">
        <v>5881</v>
      </c>
    </row>
    <row r="57" ht="45.0" customHeight="1">
      <c r="A57" s="55" t="s">
        <v>297</v>
      </c>
      <c r="B57" s="62" t="s">
        <v>5882</v>
      </c>
      <c r="C57" s="22" t="str">
        <f>IMAGE("https://raw.githubusercontent.com/ltdimages/images/refs/heads/main/ClothAccessoryWaistCow_00.png")</f>
        <v/>
      </c>
      <c r="D57" s="22" t="str">
        <f>IMAGE("https://raw.githubusercontent.com/ltdimages/images/refs/heads/main/ClothAccessoryWaistCow_01.png")</f>
        <v/>
      </c>
      <c r="E57" s="22" t="str">
        <f>IMAGE("https://raw.githubusercontent.com/ltdimages/images/refs/heads/main/ClothAccessoryWaistCow_02.png")</f>
        <v/>
      </c>
      <c r="F57" s="22" t="str">
        <f>IMAGE("https://raw.githubusercontent.com/ltdimages/images/refs/heads/main/ClothAccessoryWaistCow_03.png")</f>
        <v/>
      </c>
      <c r="G57" s="22" t="s">
        <v>3095</v>
      </c>
      <c r="H57" s="22" t="s">
        <v>3095</v>
      </c>
      <c r="I57" s="22" t="s">
        <v>3095</v>
      </c>
      <c r="J57" s="22" t="s">
        <v>3095</v>
      </c>
      <c r="K57" s="63" t="s">
        <v>3952</v>
      </c>
      <c r="L57" s="23">
        <v>12.0</v>
      </c>
      <c r="M57" s="22" t="s">
        <v>3097</v>
      </c>
      <c r="N57" s="22" t="s">
        <v>3099</v>
      </c>
      <c r="O57" s="22" t="s">
        <v>45</v>
      </c>
      <c r="P57" s="22" t="s">
        <v>45</v>
      </c>
      <c r="Q57" s="22" t="s">
        <v>45</v>
      </c>
      <c r="R57" s="22" t="s">
        <v>49</v>
      </c>
      <c r="S57" s="22" t="s">
        <v>45</v>
      </c>
      <c r="T57" s="22" t="s">
        <v>2002</v>
      </c>
      <c r="U57" s="22" t="s">
        <v>45</v>
      </c>
      <c r="V57" s="22" t="s">
        <v>45</v>
      </c>
      <c r="W57" s="22" t="s">
        <v>5883</v>
      </c>
    </row>
    <row r="58" ht="45.0" customHeight="1">
      <c r="A58" s="55" t="s">
        <v>301</v>
      </c>
      <c r="B58" s="62" t="s">
        <v>5884</v>
      </c>
      <c r="C58" s="22" t="str">
        <f>IMAGE("https://raw.githubusercontent.com/ltdimages/images/refs/heads/main/ClothAccessoryWaistDevil_00.png")</f>
        <v/>
      </c>
      <c r="D58" s="22" t="str">
        <f>IMAGE("https://raw.githubusercontent.com/ltdimages/images/refs/heads/main/ClothAccessoryWaistDevil_01.png")</f>
        <v/>
      </c>
      <c r="E58" s="22" t="str">
        <f>IMAGE("https://raw.githubusercontent.com/ltdimages/images/refs/heads/main/ClothAccessoryWaistDevil_02.png")</f>
        <v/>
      </c>
      <c r="F58" s="22" t="str">
        <f>IMAGE("https://raw.githubusercontent.com/ltdimages/images/refs/heads/main/ClothAccessoryWaistDevil_03.png")</f>
        <v/>
      </c>
      <c r="G58" s="22" t="str">
        <f>IMAGE("https://raw.githubusercontent.com/ltdimages/images/refs/heads/main/ClothAccessoryWaistDevil_04.png")</f>
        <v/>
      </c>
      <c r="H58" s="22" t="str">
        <f>IMAGE("https://raw.githubusercontent.com/ltdimages/images/refs/heads/main/ClothAccessoryWaistDevil_05.png")</f>
        <v/>
      </c>
      <c r="I58" s="22" t="s">
        <v>3095</v>
      </c>
      <c r="J58" s="22" t="s">
        <v>3095</v>
      </c>
      <c r="K58" s="63" t="s">
        <v>3952</v>
      </c>
      <c r="L58" s="23">
        <v>15.0</v>
      </c>
      <c r="M58" s="22" t="s">
        <v>3097</v>
      </c>
      <c r="N58" s="22" t="s">
        <v>3099</v>
      </c>
      <c r="O58" s="22" t="s">
        <v>45</v>
      </c>
      <c r="P58" s="22" t="s">
        <v>45</v>
      </c>
      <c r="Q58" s="22" t="s">
        <v>45</v>
      </c>
      <c r="R58" s="22" t="s">
        <v>49</v>
      </c>
      <c r="S58" s="22" t="s">
        <v>45</v>
      </c>
      <c r="T58" s="22" t="s">
        <v>2002</v>
      </c>
      <c r="U58" s="22" t="s">
        <v>45</v>
      </c>
      <c r="V58" s="22" t="s">
        <v>45</v>
      </c>
      <c r="W58" s="22" t="s">
        <v>5885</v>
      </c>
    </row>
    <row r="59" ht="45.0" customHeight="1">
      <c r="A59" s="55" t="s">
        <v>305</v>
      </c>
      <c r="B59" s="62" t="s">
        <v>5886</v>
      </c>
      <c r="C59" s="22" t="str">
        <f>IMAGE("https://raw.githubusercontent.com/ltdimages/images/refs/heads/main/ClothAccessoryWaistDinosaur_00.png")</f>
        <v/>
      </c>
      <c r="D59" s="22" t="str">
        <f>IMAGE("https://raw.githubusercontent.com/ltdimages/images/refs/heads/main/ClothAccessoryWaistDinosaur_01.png")</f>
        <v/>
      </c>
      <c r="E59" s="22" t="str">
        <f>IMAGE("https://raw.githubusercontent.com/ltdimages/images/refs/heads/main/ClothAccessoryWaistDinosaur_02.png")</f>
        <v/>
      </c>
      <c r="F59" s="22" t="str">
        <f>IMAGE("https://raw.githubusercontent.com/ltdimages/images/refs/heads/main/ClothAccessoryWaistDinosaur_03.png")</f>
        <v/>
      </c>
      <c r="G59" s="22" t="str">
        <f>IMAGE("https://raw.githubusercontent.com/ltdimages/images/refs/heads/main/ClothAccessoryWaistDinosaur_04.png")</f>
        <v/>
      </c>
      <c r="H59" s="22" t="str">
        <f>IMAGE("https://raw.githubusercontent.com/ltdimages/images/refs/heads/main/ClothAccessoryWaistDinosaur_05.png")</f>
        <v/>
      </c>
      <c r="I59" s="22" t="str">
        <f>IMAGE("https://raw.githubusercontent.com/ltdimages/images/refs/heads/main/ClothAccessoryWaistDinosaur_06.png")</f>
        <v/>
      </c>
      <c r="J59" s="22" t="str">
        <f>IMAGE("https://raw.githubusercontent.com/ltdimages/images/refs/heads/main/ClothAccessoryWaistDinosaur_07.png")</f>
        <v/>
      </c>
      <c r="K59" s="63" t="s">
        <v>3952</v>
      </c>
      <c r="L59" s="23">
        <v>16.0</v>
      </c>
      <c r="M59" s="22" t="s">
        <v>3097</v>
      </c>
      <c r="N59" s="22" t="s">
        <v>3099</v>
      </c>
      <c r="O59" s="22" t="s">
        <v>45</v>
      </c>
      <c r="P59" s="22" t="s">
        <v>45</v>
      </c>
      <c r="Q59" s="22" t="s">
        <v>45</v>
      </c>
      <c r="R59" s="22" t="s">
        <v>49</v>
      </c>
      <c r="S59" s="22" t="s">
        <v>45</v>
      </c>
      <c r="T59" s="22" t="s">
        <v>2002</v>
      </c>
      <c r="U59" s="22" t="s">
        <v>45</v>
      </c>
      <c r="V59" s="22" t="s">
        <v>45</v>
      </c>
      <c r="W59" s="22" t="s">
        <v>5887</v>
      </c>
    </row>
    <row r="60" ht="45.0" customHeight="1">
      <c r="A60" s="55" t="s">
        <v>309</v>
      </c>
      <c r="B60" s="62" t="s">
        <v>5888</v>
      </c>
      <c r="C60" s="22" t="str">
        <f>IMAGE("https://raw.githubusercontent.com/ltdimages/images/refs/heads/main/ClothAccessoryWaistDog_00.png")</f>
        <v/>
      </c>
      <c r="D60" s="22" t="str">
        <f>IMAGE("https://raw.githubusercontent.com/ltdimages/images/refs/heads/main/ClothAccessoryWaistDog_01.png")</f>
        <v/>
      </c>
      <c r="E60" s="22" t="str">
        <f>IMAGE("https://raw.githubusercontent.com/ltdimages/images/refs/heads/main/ClothAccessoryWaistDog_02.png")</f>
        <v/>
      </c>
      <c r="F60" s="22" t="str">
        <f>IMAGE("https://raw.githubusercontent.com/ltdimages/images/refs/heads/main/ClothAccessoryWaistDog_03.png")</f>
        <v/>
      </c>
      <c r="G60" s="22" t="str">
        <f>IMAGE("https://raw.githubusercontent.com/ltdimages/images/refs/heads/main/ClothAccessoryWaistDog_04.png")</f>
        <v/>
      </c>
      <c r="H60" s="22" t="str">
        <f>IMAGE("https://raw.githubusercontent.com/ltdimages/images/refs/heads/main/ClothAccessoryWaistDog_05.png")</f>
        <v/>
      </c>
      <c r="I60" s="22" t="str">
        <f>IMAGE("https://raw.githubusercontent.com/ltdimages/images/refs/heads/main/ClothAccessoryWaistDog_06.png")</f>
        <v/>
      </c>
      <c r="J60" s="22" t="str">
        <f>IMAGE("https://raw.githubusercontent.com/ltdimages/images/refs/heads/main/ClothAccessoryWaistDog_07.png")</f>
        <v/>
      </c>
      <c r="K60" s="63" t="s">
        <v>3952</v>
      </c>
      <c r="L60" s="23">
        <v>13.0</v>
      </c>
      <c r="M60" s="22" t="s">
        <v>3097</v>
      </c>
      <c r="N60" s="22" t="s">
        <v>3099</v>
      </c>
      <c r="O60" s="22" t="s">
        <v>45</v>
      </c>
      <c r="P60" s="22" t="s">
        <v>45</v>
      </c>
      <c r="Q60" s="22" t="s">
        <v>45</v>
      </c>
      <c r="R60" s="22" t="s">
        <v>49</v>
      </c>
      <c r="S60" s="22" t="s">
        <v>45</v>
      </c>
      <c r="T60" s="22" t="s">
        <v>2002</v>
      </c>
      <c r="U60" s="22" t="s">
        <v>45</v>
      </c>
      <c r="V60" s="22" t="s">
        <v>45</v>
      </c>
      <c r="W60" s="22" t="s">
        <v>5889</v>
      </c>
    </row>
    <row r="61" ht="45.0" customHeight="1">
      <c r="A61" s="55" t="s">
        <v>313</v>
      </c>
      <c r="B61" s="62" t="s">
        <v>5890</v>
      </c>
      <c r="C61" s="22" t="str">
        <f>IMAGE("https://raw.githubusercontent.com/ltdimages/images/refs/heads/main/ClothAccessoryWaistDragon_00.png")</f>
        <v/>
      </c>
      <c r="D61" s="22" t="str">
        <f>IMAGE("https://raw.githubusercontent.com/ltdimages/images/refs/heads/main/ClothAccessoryWaistDragon_01.png")</f>
        <v/>
      </c>
      <c r="E61" s="22" t="str">
        <f>IMAGE("https://raw.githubusercontent.com/ltdimages/images/refs/heads/main/ClothAccessoryWaistDragon_02.png")</f>
        <v/>
      </c>
      <c r="F61" s="22" t="str">
        <f>IMAGE("https://raw.githubusercontent.com/ltdimages/images/refs/heads/main/ClothAccessoryWaistDragon_03.png")</f>
        <v/>
      </c>
      <c r="G61" s="22" t="str">
        <f>IMAGE("https://raw.githubusercontent.com/ltdimages/images/refs/heads/main/ClothAccessoryWaistDragon_04.png")</f>
        <v/>
      </c>
      <c r="H61" s="22" t="str">
        <f>IMAGE("https://raw.githubusercontent.com/ltdimages/images/refs/heads/main/ClothAccessoryWaistDragon_05.png")</f>
        <v/>
      </c>
      <c r="I61" s="22" t="str">
        <f>IMAGE("https://raw.githubusercontent.com/ltdimages/images/refs/heads/main/ClothAccessoryWaistDragon_06.png")</f>
        <v/>
      </c>
      <c r="J61" s="22" t="str">
        <f>IMAGE("https://raw.githubusercontent.com/ltdimages/images/refs/heads/main/ClothAccessoryWaistDragon_07.png")</f>
        <v/>
      </c>
      <c r="K61" s="63" t="s">
        <v>3952</v>
      </c>
      <c r="L61" s="23">
        <v>16.0</v>
      </c>
      <c r="M61" s="22" t="s">
        <v>3097</v>
      </c>
      <c r="N61" s="22" t="s">
        <v>3099</v>
      </c>
      <c r="O61" s="22" t="s">
        <v>45</v>
      </c>
      <c r="P61" s="22" t="s">
        <v>45</v>
      </c>
      <c r="Q61" s="22" t="s">
        <v>45</v>
      </c>
      <c r="R61" s="22" t="s">
        <v>49</v>
      </c>
      <c r="S61" s="22" t="s">
        <v>45</v>
      </c>
      <c r="T61" s="22" t="s">
        <v>2002</v>
      </c>
      <c r="U61" s="22" t="s">
        <v>45</v>
      </c>
      <c r="V61" s="22" t="s">
        <v>45</v>
      </c>
      <c r="W61" s="22" t="s">
        <v>5891</v>
      </c>
    </row>
    <row r="62" ht="45.0" customHeight="1">
      <c r="A62" s="55" t="s">
        <v>317</v>
      </c>
      <c r="B62" s="62" t="s">
        <v>5892</v>
      </c>
      <c r="C62" s="22" t="str">
        <f>IMAGE("https://raw.githubusercontent.com/ltdimages/images/refs/heads/main/ClothAccessoryWaistHorse_00.png")</f>
        <v/>
      </c>
      <c r="D62" s="22" t="str">
        <f>IMAGE("https://raw.githubusercontent.com/ltdimages/images/refs/heads/main/ClothAccessoryWaistHorse_01.png")</f>
        <v/>
      </c>
      <c r="E62" s="22" t="str">
        <f>IMAGE("https://raw.githubusercontent.com/ltdimages/images/refs/heads/main/ClothAccessoryWaistHorse_02.png")</f>
        <v/>
      </c>
      <c r="F62" s="22" t="str">
        <f>IMAGE("https://raw.githubusercontent.com/ltdimages/images/refs/heads/main/ClothAccessoryWaistHorse_03.png")</f>
        <v/>
      </c>
      <c r="G62" s="22" t="str">
        <f>IMAGE("https://raw.githubusercontent.com/ltdimages/images/refs/heads/main/ClothAccessoryWaistHorse_04.png")</f>
        <v/>
      </c>
      <c r="H62" s="22" t="str">
        <f>IMAGE("https://raw.githubusercontent.com/ltdimages/images/refs/heads/main/ClothAccessoryWaistHorse_05.png")</f>
        <v/>
      </c>
      <c r="I62" s="22" t="s">
        <v>3095</v>
      </c>
      <c r="J62" s="22" t="s">
        <v>3095</v>
      </c>
      <c r="K62" s="63" t="s">
        <v>3952</v>
      </c>
      <c r="L62" s="23">
        <v>12.0</v>
      </c>
      <c r="M62" s="22" t="s">
        <v>3097</v>
      </c>
      <c r="N62" s="22" t="s">
        <v>3099</v>
      </c>
      <c r="O62" s="22" t="s">
        <v>45</v>
      </c>
      <c r="P62" s="22" t="s">
        <v>45</v>
      </c>
      <c r="Q62" s="22" t="s">
        <v>45</v>
      </c>
      <c r="R62" s="22" t="s">
        <v>49</v>
      </c>
      <c r="S62" s="22" t="s">
        <v>45</v>
      </c>
      <c r="T62" s="22" t="s">
        <v>2002</v>
      </c>
      <c r="U62" s="22" t="s">
        <v>45</v>
      </c>
      <c r="V62" s="22" t="s">
        <v>45</v>
      </c>
      <c r="W62" s="22" t="s">
        <v>5893</v>
      </c>
    </row>
    <row r="63" ht="45.0" customHeight="1">
      <c r="A63" s="55" t="s">
        <v>321</v>
      </c>
      <c r="B63" s="62" t="s">
        <v>5894</v>
      </c>
      <c r="C63" s="22" t="str">
        <f>IMAGE("https://raw.githubusercontent.com/ltdimages/images/refs/heads/main/ClothAccessoryWaistMonkey_00.png")</f>
        <v/>
      </c>
      <c r="D63" s="22" t="str">
        <f>IMAGE("https://raw.githubusercontent.com/ltdimages/images/refs/heads/main/ClothAccessoryWaistMonkey_01.png")</f>
        <v/>
      </c>
      <c r="E63" s="22" t="str">
        <f>IMAGE("https://raw.githubusercontent.com/ltdimages/images/refs/heads/main/ClothAccessoryWaistMonkey_02.png")</f>
        <v/>
      </c>
      <c r="F63" s="22" t="str">
        <f>IMAGE("https://raw.githubusercontent.com/ltdimages/images/refs/heads/main/ClothAccessoryWaistMonkey_03.png")</f>
        <v/>
      </c>
      <c r="G63" s="22" t="str">
        <f>IMAGE("https://raw.githubusercontent.com/ltdimages/images/refs/heads/main/ClothAccessoryWaistMonkey_04.png")</f>
        <v/>
      </c>
      <c r="H63" s="22" t="str">
        <f>IMAGE("https://raw.githubusercontent.com/ltdimages/images/refs/heads/main/ClothAccessoryWaistMonkey_05.png")</f>
        <v/>
      </c>
      <c r="I63" s="22" t="s">
        <v>3095</v>
      </c>
      <c r="J63" s="22" t="s">
        <v>3095</v>
      </c>
      <c r="K63" s="63" t="s">
        <v>3952</v>
      </c>
      <c r="L63" s="23">
        <v>13.0</v>
      </c>
      <c r="M63" s="22" t="s">
        <v>3097</v>
      </c>
      <c r="N63" s="22" t="s">
        <v>3099</v>
      </c>
      <c r="O63" s="22" t="s">
        <v>45</v>
      </c>
      <c r="P63" s="22" t="s">
        <v>45</v>
      </c>
      <c r="Q63" s="22" t="s">
        <v>45</v>
      </c>
      <c r="R63" s="22" t="s">
        <v>49</v>
      </c>
      <c r="S63" s="22" t="s">
        <v>45</v>
      </c>
      <c r="T63" s="22" t="s">
        <v>2002</v>
      </c>
      <c r="U63" s="22" t="s">
        <v>45</v>
      </c>
      <c r="V63" s="22" t="s">
        <v>45</v>
      </c>
      <c r="W63" s="22" t="s">
        <v>5895</v>
      </c>
    </row>
    <row r="64" ht="45.0" customHeight="1">
      <c r="A64" s="55" t="s">
        <v>325</v>
      </c>
      <c r="B64" s="62" t="s">
        <v>5896</v>
      </c>
      <c r="C64" s="22" t="str">
        <f>IMAGE("https://raw.githubusercontent.com/ltdimages/images/refs/heads/main/ClothAccessoryWaistMonster_00.png")</f>
        <v/>
      </c>
      <c r="D64" s="22" t="str">
        <f>IMAGE("https://raw.githubusercontent.com/ltdimages/images/refs/heads/main/ClothAccessoryWaistMonster_01.png")</f>
        <v/>
      </c>
      <c r="E64" s="22" t="str">
        <f>IMAGE("https://raw.githubusercontent.com/ltdimages/images/refs/heads/main/ClothAccessoryWaistMonster_02.png")</f>
        <v/>
      </c>
      <c r="F64" s="22" t="str">
        <f>IMAGE("https://raw.githubusercontent.com/ltdimages/images/refs/heads/main/ClothAccessoryWaistMonster_03.png")</f>
        <v/>
      </c>
      <c r="G64" s="22" t="str">
        <f>IMAGE("https://raw.githubusercontent.com/ltdimages/images/refs/heads/main/ClothAccessoryWaistMonster_04.png")</f>
        <v/>
      </c>
      <c r="H64" s="22" t="str">
        <f>IMAGE("https://raw.githubusercontent.com/ltdimages/images/refs/heads/main/ClothAccessoryWaistMonster_05.png")</f>
        <v/>
      </c>
      <c r="I64" s="22" t="str">
        <f>IMAGE("https://raw.githubusercontent.com/ltdimages/images/refs/heads/main/ClothAccessoryWaistMonster_06.png")</f>
        <v/>
      </c>
      <c r="J64" s="22" t="str">
        <f>IMAGE("https://raw.githubusercontent.com/ltdimages/images/refs/heads/main/ClothAccessoryWaistMonster_07.png")</f>
        <v/>
      </c>
      <c r="K64" s="63" t="s">
        <v>3952</v>
      </c>
      <c r="L64" s="23">
        <v>13.0</v>
      </c>
      <c r="M64" s="22" t="s">
        <v>3097</v>
      </c>
      <c r="N64" s="22" t="s">
        <v>3099</v>
      </c>
      <c r="O64" s="22" t="s">
        <v>45</v>
      </c>
      <c r="P64" s="22" t="s">
        <v>45</v>
      </c>
      <c r="Q64" s="22" t="s">
        <v>45</v>
      </c>
      <c r="R64" s="22" t="s">
        <v>49</v>
      </c>
      <c r="S64" s="22" t="s">
        <v>45</v>
      </c>
      <c r="T64" s="22" t="s">
        <v>2002</v>
      </c>
      <c r="U64" s="22" t="s">
        <v>45</v>
      </c>
      <c r="V64" s="22" t="s">
        <v>45</v>
      </c>
      <c r="W64" s="22" t="s">
        <v>5897</v>
      </c>
    </row>
    <row r="65" ht="45.0" customHeight="1">
      <c r="A65" s="55" t="s">
        <v>329</v>
      </c>
      <c r="B65" s="62" t="s">
        <v>5898</v>
      </c>
      <c r="C65" s="22" t="str">
        <f>IMAGE("https://raw.githubusercontent.com/ltdimages/images/refs/heads/main/ClothAccessoryWaistPig_00.png")</f>
        <v/>
      </c>
      <c r="D65" s="22" t="s">
        <v>3095</v>
      </c>
      <c r="E65" s="22" t="s">
        <v>3095</v>
      </c>
      <c r="F65" s="22" t="s">
        <v>3095</v>
      </c>
      <c r="G65" s="22" t="s">
        <v>3095</v>
      </c>
      <c r="H65" s="22" t="s">
        <v>3095</v>
      </c>
      <c r="I65" s="22" t="s">
        <v>3095</v>
      </c>
      <c r="J65" s="22" t="s">
        <v>3095</v>
      </c>
      <c r="K65" s="63" t="s">
        <v>3952</v>
      </c>
      <c r="L65" s="23">
        <v>10.0</v>
      </c>
      <c r="M65" s="22" t="s">
        <v>3097</v>
      </c>
      <c r="N65" s="22" t="s">
        <v>3099</v>
      </c>
      <c r="O65" s="22" t="s">
        <v>45</v>
      </c>
      <c r="P65" s="22" t="s">
        <v>45</v>
      </c>
      <c r="Q65" s="22" t="s">
        <v>45</v>
      </c>
      <c r="R65" s="22" t="s">
        <v>49</v>
      </c>
      <c r="S65" s="22" t="s">
        <v>45</v>
      </c>
      <c r="T65" s="22" t="s">
        <v>2002</v>
      </c>
      <c r="U65" s="22" t="s">
        <v>45</v>
      </c>
      <c r="V65" s="22" t="s">
        <v>45</v>
      </c>
      <c r="W65" s="22" t="s">
        <v>5899</v>
      </c>
    </row>
    <row r="66" ht="45.0" customHeight="1">
      <c r="A66" s="55" t="s">
        <v>333</v>
      </c>
      <c r="B66" s="62" t="s">
        <v>5900</v>
      </c>
      <c r="C66" s="22" t="str">
        <f>IMAGE("https://raw.githubusercontent.com/ltdimages/images/refs/heads/main/ClothAccessoryWaistShrimp_00.png")</f>
        <v/>
      </c>
      <c r="D66" s="22" t="s">
        <v>3095</v>
      </c>
      <c r="E66" s="22" t="s">
        <v>3095</v>
      </c>
      <c r="F66" s="22" t="s">
        <v>3095</v>
      </c>
      <c r="G66" s="22" t="s">
        <v>3095</v>
      </c>
      <c r="H66" s="22" t="s">
        <v>3095</v>
      </c>
      <c r="I66" s="22" t="s">
        <v>3095</v>
      </c>
      <c r="J66" s="22" t="s">
        <v>3095</v>
      </c>
      <c r="K66" s="63" t="s">
        <v>3952</v>
      </c>
      <c r="L66" s="23">
        <v>8.0</v>
      </c>
      <c r="M66" s="22" t="s">
        <v>3097</v>
      </c>
      <c r="N66" s="22" t="s">
        <v>3099</v>
      </c>
      <c r="O66" s="22" t="s">
        <v>45</v>
      </c>
      <c r="P66" s="22" t="s">
        <v>45</v>
      </c>
      <c r="Q66" s="22" t="s">
        <v>45</v>
      </c>
      <c r="R66" s="22" t="s">
        <v>49</v>
      </c>
      <c r="S66" s="22" t="s">
        <v>45</v>
      </c>
      <c r="T66" s="22" t="s">
        <v>2002</v>
      </c>
      <c r="U66" s="22" t="s">
        <v>45</v>
      </c>
      <c r="V66" s="22" t="s">
        <v>45</v>
      </c>
      <c r="W66" s="22" t="s">
        <v>5901</v>
      </c>
    </row>
    <row r="67" ht="45.0" customHeight="1">
      <c r="A67" s="55" t="s">
        <v>337</v>
      </c>
      <c r="B67" s="62" t="s">
        <v>5902</v>
      </c>
      <c r="C67" s="22" t="str">
        <f>IMAGE("https://raw.githubusercontent.com/ltdimages/images/refs/heads/main/ClothAccessoryWaistTiger_00.png")</f>
        <v/>
      </c>
      <c r="D67" s="22" t="str">
        <f>IMAGE("https://raw.githubusercontent.com/ltdimages/images/refs/heads/main/ClothAccessoryWaistTiger_01.png")</f>
        <v/>
      </c>
      <c r="E67" s="22" t="str">
        <f>IMAGE("https://raw.githubusercontent.com/ltdimages/images/refs/heads/main/ClothAccessoryWaistTiger_02.png")</f>
        <v/>
      </c>
      <c r="F67" s="22" t="s">
        <v>3095</v>
      </c>
      <c r="G67" s="22" t="s">
        <v>3095</v>
      </c>
      <c r="H67" s="22" t="s">
        <v>3095</v>
      </c>
      <c r="I67" s="22" t="s">
        <v>3095</v>
      </c>
      <c r="J67" s="22" t="s">
        <v>3095</v>
      </c>
      <c r="K67" s="63" t="s">
        <v>3952</v>
      </c>
      <c r="L67" s="23">
        <v>14.0</v>
      </c>
      <c r="M67" s="22" t="s">
        <v>3097</v>
      </c>
      <c r="N67" s="22" t="s">
        <v>3099</v>
      </c>
      <c r="O67" s="22" t="s">
        <v>45</v>
      </c>
      <c r="P67" s="22" t="s">
        <v>45</v>
      </c>
      <c r="Q67" s="22" t="s">
        <v>45</v>
      </c>
      <c r="R67" s="22" t="s">
        <v>49</v>
      </c>
      <c r="S67" s="22" t="s">
        <v>45</v>
      </c>
      <c r="T67" s="22" t="s">
        <v>2002</v>
      </c>
      <c r="U67" s="22" t="s">
        <v>45</v>
      </c>
      <c r="V67" s="22" t="s">
        <v>45</v>
      </c>
      <c r="W67" s="22" t="s">
        <v>5903</v>
      </c>
    </row>
    <row r="68" ht="45.0" customHeight="1">
      <c r="A68" s="55" t="s">
        <v>341</v>
      </c>
      <c r="B68" s="62" t="s">
        <v>5904</v>
      </c>
      <c r="C68" s="22" t="str">
        <f>IMAGE("https://raw.githubusercontent.com/ltdimages/images/refs/heads/main/ClothAccessoryWaistTurkey_00.png")</f>
        <v/>
      </c>
      <c r="D68" s="22" t="s">
        <v>3095</v>
      </c>
      <c r="E68" s="22" t="s">
        <v>3095</v>
      </c>
      <c r="F68" s="22" t="s">
        <v>3095</v>
      </c>
      <c r="G68" s="22" t="s">
        <v>3095</v>
      </c>
      <c r="H68" s="22" t="s">
        <v>3095</v>
      </c>
      <c r="I68" s="22" t="s">
        <v>3095</v>
      </c>
      <c r="J68" s="22" t="s">
        <v>3095</v>
      </c>
      <c r="K68" s="63" t="s">
        <v>3952</v>
      </c>
      <c r="L68" s="23">
        <v>11.0</v>
      </c>
      <c r="M68" s="22" t="s">
        <v>3097</v>
      </c>
      <c r="N68" s="22" t="s">
        <v>3099</v>
      </c>
      <c r="O68" s="22" t="s">
        <v>45</v>
      </c>
      <c r="P68" s="22" t="s">
        <v>45</v>
      </c>
      <c r="Q68" s="22" t="s">
        <v>45</v>
      </c>
      <c r="R68" s="22" t="s">
        <v>49</v>
      </c>
      <c r="S68" s="22" t="s">
        <v>45</v>
      </c>
      <c r="T68" s="22" t="s">
        <v>2002</v>
      </c>
      <c r="U68" s="22" t="s">
        <v>45</v>
      </c>
      <c r="V68" s="22" t="s">
        <v>45</v>
      </c>
      <c r="W68" s="22" t="s">
        <v>5905</v>
      </c>
    </row>
    <row r="69" ht="45.0" customHeight="1">
      <c r="A69" s="55" t="s">
        <v>345</v>
      </c>
      <c r="B69" s="62" t="s">
        <v>5906</v>
      </c>
      <c r="C69" s="22" t="str">
        <f>IMAGE("https://raw.githubusercontent.com/ltdimages/images/refs/heads/main/ClothAccessoryBagBear_00.png")</f>
        <v/>
      </c>
      <c r="D69" s="22" t="str">
        <f>IMAGE("https://raw.githubusercontent.com/ltdimages/images/refs/heads/main/ClothAccessoryBagBear_01.png")</f>
        <v/>
      </c>
      <c r="E69" s="22" t="str">
        <f>IMAGE("https://raw.githubusercontent.com/ltdimages/images/refs/heads/main/ClothAccessoryBagBear_02.png")</f>
        <v/>
      </c>
      <c r="F69" s="22" t="str">
        <f>IMAGE("https://raw.githubusercontent.com/ltdimages/images/refs/heads/main/ClothAccessoryBagBear_03.png")</f>
        <v/>
      </c>
      <c r="G69" s="22" t="str">
        <f>IMAGE("https://raw.githubusercontent.com/ltdimages/images/refs/heads/main/ClothAccessoryBagBear_04.png")</f>
        <v/>
      </c>
      <c r="H69" s="22" t="str">
        <f>IMAGE("https://raw.githubusercontent.com/ltdimages/images/refs/heads/main/ClothAccessoryBagBear_05.png")</f>
        <v/>
      </c>
      <c r="I69" s="22" t="str">
        <f>IMAGE("https://raw.githubusercontent.com/ltdimages/images/refs/heads/main/ClothAccessoryBagBear_06.png")</f>
        <v/>
      </c>
      <c r="J69" s="22" t="str">
        <f>IMAGE("https://raw.githubusercontent.com/ltdimages/images/refs/heads/main/ClothAccessoryBagBear_07.png")</f>
        <v/>
      </c>
      <c r="K69" s="63" t="s">
        <v>3952</v>
      </c>
      <c r="L69" s="23">
        <v>20.0</v>
      </c>
      <c r="M69" s="22" t="s">
        <v>3097</v>
      </c>
      <c r="N69" s="22" t="s">
        <v>3099</v>
      </c>
      <c r="O69" s="22" t="s">
        <v>45</v>
      </c>
      <c r="P69" s="22" t="s">
        <v>45</v>
      </c>
      <c r="Q69" s="22" t="s">
        <v>45</v>
      </c>
      <c r="R69" s="22" t="s">
        <v>45</v>
      </c>
      <c r="S69" s="22" t="s">
        <v>45</v>
      </c>
      <c r="T69" s="22" t="s">
        <v>2002</v>
      </c>
      <c r="U69" s="22" t="s">
        <v>45</v>
      </c>
      <c r="V69" s="22" t="s">
        <v>45</v>
      </c>
      <c r="W69" s="22" t="s">
        <v>5907</v>
      </c>
    </row>
    <row r="70" ht="45.0" customHeight="1">
      <c r="A70" s="55" t="s">
        <v>349</v>
      </c>
      <c r="B70" s="62" t="s">
        <v>5908</v>
      </c>
      <c r="C70" s="22" t="str">
        <f>IMAGE("https://raw.githubusercontent.com/ltdimages/images/refs/heads/main/ClothAccessoryBagButterfly_00.png")</f>
        <v/>
      </c>
      <c r="D70" s="22" t="str">
        <f>IMAGE("https://raw.githubusercontent.com/ltdimages/images/refs/heads/main/ClothAccessoryBagButterfly_01.png")</f>
        <v/>
      </c>
      <c r="E70" s="22" t="str">
        <f>IMAGE("https://raw.githubusercontent.com/ltdimages/images/refs/heads/main/ClothAccessoryBagButterfly_02.png")</f>
        <v/>
      </c>
      <c r="F70" s="22" t="str">
        <f>IMAGE("https://raw.githubusercontent.com/ltdimages/images/refs/heads/main/ClothAccessoryBagButterfly_03.png")</f>
        <v/>
      </c>
      <c r="G70" s="22" t="str">
        <f>IMAGE("https://raw.githubusercontent.com/ltdimages/images/refs/heads/main/ClothAccessoryBagButterfly_04.png")</f>
        <v/>
      </c>
      <c r="H70" s="22" t="str">
        <f>IMAGE("https://raw.githubusercontent.com/ltdimages/images/refs/heads/main/ClothAccessoryBagButterfly_05.png")</f>
        <v/>
      </c>
      <c r="I70" s="22" t="s">
        <v>3095</v>
      </c>
      <c r="J70" s="22" t="s">
        <v>3095</v>
      </c>
      <c r="K70" s="63" t="s">
        <v>3952</v>
      </c>
      <c r="L70" s="23">
        <v>23.0</v>
      </c>
      <c r="M70" s="22" t="s">
        <v>3097</v>
      </c>
      <c r="N70" s="22" t="s">
        <v>3099</v>
      </c>
      <c r="O70" s="22" t="s">
        <v>45</v>
      </c>
      <c r="P70" s="22" t="s">
        <v>45</v>
      </c>
      <c r="Q70" s="22" t="s">
        <v>45</v>
      </c>
      <c r="R70" s="22" t="s">
        <v>45</v>
      </c>
      <c r="S70" s="22" t="s">
        <v>45</v>
      </c>
      <c r="T70" s="22" t="s">
        <v>2002</v>
      </c>
      <c r="U70" s="22" t="s">
        <v>45</v>
      </c>
      <c r="V70" s="22" t="s">
        <v>45</v>
      </c>
      <c r="W70" s="22" t="s">
        <v>5909</v>
      </c>
    </row>
    <row r="71" ht="45.0" customHeight="1">
      <c r="A71" s="55" t="s">
        <v>354</v>
      </c>
      <c r="B71" s="62" t="s">
        <v>3340</v>
      </c>
      <c r="C71" s="22" t="str">
        <f>IMAGE("https://raw.githubusercontent.com/ltdimages/images/refs/heads/main/ClothAccessoryBagTown_00.png")</f>
        <v/>
      </c>
      <c r="D71" s="22" t="str">
        <f>IMAGE("https://raw.githubusercontent.com/ltdimages/images/refs/heads/main/ClothAccessoryBagTown_01.png")</f>
        <v/>
      </c>
      <c r="E71" s="22" t="str">
        <f>IMAGE("https://raw.githubusercontent.com/ltdimages/images/refs/heads/main/ClothAccessoryBagTown_02.png")</f>
        <v/>
      </c>
      <c r="F71" s="22" t="str">
        <f>IMAGE("https://raw.githubusercontent.com/ltdimages/images/refs/heads/main/ClothAccessoryBagTown_03.png")</f>
        <v/>
      </c>
      <c r="G71" s="22" t="str">
        <f>IMAGE("https://raw.githubusercontent.com/ltdimages/images/refs/heads/main/ClothAccessoryBagTown_04.png")</f>
        <v/>
      </c>
      <c r="H71" s="22" t="str">
        <f>IMAGE("https://raw.githubusercontent.com/ltdimages/images/refs/heads/main/ClothAccessoryBagTown_05.png")</f>
        <v/>
      </c>
      <c r="I71" s="22" t="str">
        <f>IMAGE("https://raw.githubusercontent.com/ltdimages/images/refs/heads/main/ClothAccessoryBagTown_06.png")</f>
        <v/>
      </c>
      <c r="J71" s="22" t="str">
        <f>IMAGE("https://raw.githubusercontent.com/ltdimages/images/refs/heads/main/ClothAccessoryBagTown_07.png")</f>
        <v/>
      </c>
      <c r="K71" s="63" t="s">
        <v>3952</v>
      </c>
      <c r="L71" s="23">
        <v>14.0</v>
      </c>
      <c r="M71" s="22" t="s">
        <v>3097</v>
      </c>
      <c r="N71" s="22" t="s">
        <v>3099</v>
      </c>
      <c r="O71" s="22" t="s">
        <v>45</v>
      </c>
      <c r="P71" s="22" t="s">
        <v>45</v>
      </c>
      <c r="Q71" s="22" t="s">
        <v>45</v>
      </c>
      <c r="R71" s="22" t="s">
        <v>45</v>
      </c>
      <c r="S71" s="22" t="s">
        <v>45</v>
      </c>
      <c r="T71" s="22" t="s">
        <v>2002</v>
      </c>
      <c r="U71" s="22" t="s">
        <v>45</v>
      </c>
      <c r="V71" s="22" t="s">
        <v>45</v>
      </c>
      <c r="W71" s="22" t="s">
        <v>5910</v>
      </c>
    </row>
    <row r="72" ht="45.0" customHeight="1">
      <c r="A72" s="55" t="s">
        <v>358</v>
      </c>
      <c r="B72" s="62" t="s">
        <v>5911</v>
      </c>
      <c r="C72" s="22" t="str">
        <f>IMAGE("https://raw.githubusercontent.com/ltdimages/images/refs/heads/main/ClothAccessoryBagDinosaur_00.png")</f>
        <v/>
      </c>
      <c r="D72" s="22" t="str">
        <f>IMAGE("https://raw.githubusercontent.com/ltdimages/images/refs/heads/main/ClothAccessoryBagDinosaur_01.png")</f>
        <v/>
      </c>
      <c r="E72" s="22" t="str">
        <f>IMAGE("https://raw.githubusercontent.com/ltdimages/images/refs/heads/main/ClothAccessoryBagDinosaur_02.png")</f>
        <v/>
      </c>
      <c r="F72" s="22" t="str">
        <f>IMAGE("https://raw.githubusercontent.com/ltdimages/images/refs/heads/main/ClothAccessoryBagDinosaur_03.png")</f>
        <v/>
      </c>
      <c r="G72" s="22" t="str">
        <f>IMAGE("https://raw.githubusercontent.com/ltdimages/images/refs/heads/main/ClothAccessoryBagDinosaur_04.png")</f>
        <v/>
      </c>
      <c r="H72" s="22" t="str">
        <f>IMAGE("https://raw.githubusercontent.com/ltdimages/images/refs/heads/main/ClothAccessoryBagDinosaur_05.png")</f>
        <v/>
      </c>
      <c r="I72" s="22" t="s">
        <v>3095</v>
      </c>
      <c r="J72" s="22" t="s">
        <v>3095</v>
      </c>
      <c r="K72" s="63" t="s">
        <v>3952</v>
      </c>
      <c r="L72" s="23">
        <v>22.0</v>
      </c>
      <c r="M72" s="22" t="s">
        <v>3097</v>
      </c>
      <c r="N72" s="22" t="s">
        <v>3099</v>
      </c>
      <c r="O72" s="22" t="s">
        <v>45</v>
      </c>
      <c r="P72" s="22" t="s">
        <v>45</v>
      </c>
      <c r="Q72" s="22" t="s">
        <v>45</v>
      </c>
      <c r="R72" s="22" t="s">
        <v>45</v>
      </c>
      <c r="S72" s="22" t="s">
        <v>45</v>
      </c>
      <c r="T72" s="22" t="s">
        <v>2002</v>
      </c>
      <c r="U72" s="22" t="s">
        <v>45</v>
      </c>
      <c r="V72" s="22" t="s">
        <v>45</v>
      </c>
      <c r="W72" s="22" t="s">
        <v>5912</v>
      </c>
    </row>
    <row r="73" ht="45.0" customHeight="1">
      <c r="A73" s="55" t="s">
        <v>362</v>
      </c>
      <c r="B73" s="62" t="s">
        <v>3950</v>
      </c>
      <c r="C73" s="22" t="str">
        <f>IMAGE("https://raw.githubusercontent.com/ltdimages/images/refs/heads/main/ClothAccessoryBagSchool_00.png")</f>
        <v/>
      </c>
      <c r="D73" s="22" t="str">
        <f>IMAGE("https://raw.githubusercontent.com/ltdimages/images/refs/heads/main/ClothAccessoryBagSchool_01.png")</f>
        <v/>
      </c>
      <c r="E73" s="22" t="str">
        <f>IMAGE("https://raw.githubusercontent.com/ltdimages/images/refs/heads/main/ClothAccessoryBagSchool_02.png")</f>
        <v/>
      </c>
      <c r="F73" s="22" t="str">
        <f>IMAGE("https://raw.githubusercontent.com/ltdimages/images/refs/heads/main/ClothAccessoryBagSchool_03.png")</f>
        <v/>
      </c>
      <c r="G73" s="22" t="str">
        <f>IMAGE("https://raw.githubusercontent.com/ltdimages/images/refs/heads/main/ClothAccessoryBagSchool_04.png")</f>
        <v/>
      </c>
      <c r="H73" s="22" t="str">
        <f>IMAGE("https://raw.githubusercontent.com/ltdimages/images/refs/heads/main/ClothAccessoryBagSchool_05.png")</f>
        <v/>
      </c>
      <c r="I73" s="22" t="str">
        <f>IMAGE("https://raw.githubusercontent.com/ltdimages/images/refs/heads/main/ClothAccessoryBagSchool_06.png")</f>
        <v/>
      </c>
      <c r="J73" s="22" t="str">
        <f>IMAGE("https://raw.githubusercontent.com/ltdimages/images/refs/heads/main/ClothAccessoryBagSchool_07.png")</f>
        <v/>
      </c>
      <c r="K73" s="63" t="s">
        <v>3952</v>
      </c>
      <c r="L73" s="23">
        <v>26.0</v>
      </c>
      <c r="M73" s="22" t="s">
        <v>3097</v>
      </c>
      <c r="N73" s="22" t="s">
        <v>3099</v>
      </c>
      <c r="O73" s="22" t="s">
        <v>49</v>
      </c>
      <c r="P73" s="22" t="s">
        <v>45</v>
      </c>
      <c r="Q73" s="22" t="s">
        <v>45</v>
      </c>
      <c r="R73" s="22" t="s">
        <v>45</v>
      </c>
      <c r="S73" s="22" t="s">
        <v>45</v>
      </c>
      <c r="T73" s="22" t="s">
        <v>2002</v>
      </c>
      <c r="U73" s="22" t="s">
        <v>45</v>
      </c>
      <c r="V73" s="22" t="s">
        <v>45</v>
      </c>
      <c r="W73" s="22" t="s">
        <v>5913</v>
      </c>
    </row>
    <row r="74" ht="45.0" customHeight="1">
      <c r="A74" s="55" t="s">
        <v>367</v>
      </c>
      <c r="B74" s="62" t="s">
        <v>5914</v>
      </c>
      <c r="C74" s="22" t="str">
        <f>IMAGE("https://raw.githubusercontent.com/ltdimages/images/refs/heads/main/ClothAccessoryBagKnapsack_00.png")</f>
        <v/>
      </c>
      <c r="D74" s="22" t="str">
        <f>IMAGE("https://raw.githubusercontent.com/ltdimages/images/refs/heads/main/ClothAccessoryBagKnapsack_01.png")</f>
        <v/>
      </c>
      <c r="E74" s="22" t="str">
        <f>IMAGE("https://raw.githubusercontent.com/ltdimages/images/refs/heads/main/ClothAccessoryBagKnapsack_02.png")</f>
        <v/>
      </c>
      <c r="F74" s="22" t="str">
        <f>IMAGE("https://raw.githubusercontent.com/ltdimages/images/refs/heads/main/ClothAccessoryBagKnapsack_03.png")</f>
        <v/>
      </c>
      <c r="G74" s="22" t="str">
        <f>IMAGE("https://raw.githubusercontent.com/ltdimages/images/refs/heads/main/ClothAccessoryBagKnapsack_04.png")</f>
        <v/>
      </c>
      <c r="H74" s="22" t="str">
        <f>IMAGE("https://raw.githubusercontent.com/ltdimages/images/refs/heads/main/ClothAccessoryBagKnapsack_05.png")</f>
        <v/>
      </c>
      <c r="I74" s="22" t="str">
        <f>IMAGE("https://raw.githubusercontent.com/ltdimages/images/refs/heads/main/ClothAccessoryBagKnapsack_06.png")</f>
        <v/>
      </c>
      <c r="J74" s="22" t="str">
        <f>IMAGE("https://raw.githubusercontent.com/ltdimages/images/refs/heads/main/ClothAccessoryBagKnapsack_07.png")</f>
        <v/>
      </c>
      <c r="K74" s="63" t="s">
        <v>3952</v>
      </c>
      <c r="L74" s="23">
        <v>10.0</v>
      </c>
      <c r="M74" s="22" t="s">
        <v>3097</v>
      </c>
      <c r="N74" s="22" t="s">
        <v>3099</v>
      </c>
      <c r="O74" s="22" t="s">
        <v>45</v>
      </c>
      <c r="P74" s="22" t="s">
        <v>45</v>
      </c>
      <c r="Q74" s="22" t="s">
        <v>45</v>
      </c>
      <c r="R74" s="22" t="s">
        <v>45</v>
      </c>
      <c r="S74" s="22" t="s">
        <v>45</v>
      </c>
      <c r="T74" s="22" t="s">
        <v>2002</v>
      </c>
      <c r="U74" s="22" t="s">
        <v>45</v>
      </c>
      <c r="V74" s="22" t="s">
        <v>45</v>
      </c>
      <c r="W74" s="22" t="s">
        <v>5915</v>
      </c>
    </row>
    <row r="75" ht="45.0" customHeight="1">
      <c r="A75" s="55" t="s">
        <v>371</v>
      </c>
      <c r="B75" s="62" t="s">
        <v>4454</v>
      </c>
      <c r="C75" s="22" t="str">
        <f>IMAGE("https://raw.githubusercontent.com/ltdimages/images/refs/heads/main/ClothAccessoryBagMini_00.png")</f>
        <v/>
      </c>
      <c r="D75" s="22" t="str">
        <f>IMAGE("https://raw.githubusercontent.com/ltdimages/images/refs/heads/main/ClothAccessoryBagMini_01.png")</f>
        <v/>
      </c>
      <c r="E75" s="22" t="str">
        <f>IMAGE("https://raw.githubusercontent.com/ltdimages/images/refs/heads/main/ClothAccessoryBagMini_02.png")</f>
        <v/>
      </c>
      <c r="F75" s="22" t="str">
        <f>IMAGE("https://raw.githubusercontent.com/ltdimages/images/refs/heads/main/ClothAccessoryBagMini_03.png")</f>
        <v/>
      </c>
      <c r="G75" s="22" t="str">
        <f>IMAGE("https://raw.githubusercontent.com/ltdimages/images/refs/heads/main/ClothAccessoryBagMini_04.png")</f>
        <v/>
      </c>
      <c r="H75" s="22" t="str">
        <f>IMAGE("https://raw.githubusercontent.com/ltdimages/images/refs/heads/main/ClothAccessoryBagMini_05.png")</f>
        <v/>
      </c>
      <c r="I75" s="22" t="str">
        <f>IMAGE("https://raw.githubusercontent.com/ltdimages/images/refs/heads/main/ClothAccessoryBagMini_06.png")</f>
        <v/>
      </c>
      <c r="J75" s="22" t="str">
        <f>IMAGE("https://raw.githubusercontent.com/ltdimages/images/refs/heads/main/ClothAccessoryBagMini_07.png")</f>
        <v/>
      </c>
      <c r="K75" s="63" t="s">
        <v>3952</v>
      </c>
      <c r="L75" s="23">
        <v>16.0</v>
      </c>
      <c r="M75" s="22" t="s">
        <v>4231</v>
      </c>
      <c r="N75" s="22" t="s">
        <v>3099</v>
      </c>
      <c r="O75" s="22" t="s">
        <v>45</v>
      </c>
      <c r="P75" s="22" t="s">
        <v>45</v>
      </c>
      <c r="Q75" s="22" t="s">
        <v>45</v>
      </c>
      <c r="R75" s="22" t="s">
        <v>45</v>
      </c>
      <c r="S75" s="22" t="s">
        <v>45</v>
      </c>
      <c r="T75" s="22" t="s">
        <v>2002</v>
      </c>
      <c r="U75" s="22" t="s">
        <v>45</v>
      </c>
      <c r="V75" s="22" t="s">
        <v>45</v>
      </c>
      <c r="W75" s="22" t="s">
        <v>5916</v>
      </c>
    </row>
    <row r="76" ht="45.0" customHeight="1">
      <c r="A76" s="55" t="s">
        <v>375</v>
      </c>
      <c r="B76" s="62" t="s">
        <v>5917</v>
      </c>
      <c r="C76" s="22" t="str">
        <f>IMAGE("https://raw.githubusercontent.com/ltdimages/images/refs/heads/main/ClothAccessoryBagOutdoor_00.png")</f>
        <v/>
      </c>
      <c r="D76" s="22" t="str">
        <f>IMAGE("https://raw.githubusercontent.com/ltdimages/images/refs/heads/main/ClothAccessoryBagOutdoor_01.png")</f>
        <v/>
      </c>
      <c r="E76" s="22" t="str">
        <f>IMAGE("https://raw.githubusercontent.com/ltdimages/images/refs/heads/main/ClothAccessoryBagOutdoor_02.png")</f>
        <v/>
      </c>
      <c r="F76" s="22" t="str">
        <f>IMAGE("https://raw.githubusercontent.com/ltdimages/images/refs/heads/main/ClothAccessoryBagOutdoor_03.png")</f>
        <v/>
      </c>
      <c r="G76" s="22" t="str">
        <f>IMAGE("https://raw.githubusercontent.com/ltdimages/images/refs/heads/main/ClothAccessoryBagOutdoor_04.png")</f>
        <v/>
      </c>
      <c r="H76" s="22" t="str">
        <f>IMAGE("https://raw.githubusercontent.com/ltdimages/images/refs/heads/main/ClothAccessoryBagOutdoor_05.png")</f>
        <v/>
      </c>
      <c r="I76" s="22" t="s">
        <v>3095</v>
      </c>
      <c r="J76" s="22" t="s">
        <v>3095</v>
      </c>
      <c r="K76" s="63" t="s">
        <v>3952</v>
      </c>
      <c r="L76" s="23">
        <v>20.0</v>
      </c>
      <c r="M76" s="22" t="s">
        <v>3097</v>
      </c>
      <c r="N76" s="22" t="s">
        <v>3099</v>
      </c>
      <c r="O76" s="22" t="s">
        <v>45</v>
      </c>
      <c r="P76" s="22" t="s">
        <v>45</v>
      </c>
      <c r="Q76" s="22" t="s">
        <v>45</v>
      </c>
      <c r="R76" s="22" t="s">
        <v>45</v>
      </c>
      <c r="S76" s="22" t="s">
        <v>45</v>
      </c>
      <c r="T76" s="22" t="s">
        <v>2002</v>
      </c>
      <c r="U76" s="22" t="s">
        <v>45</v>
      </c>
      <c r="V76" s="22" t="s">
        <v>45</v>
      </c>
      <c r="W76" s="22" t="s">
        <v>5918</v>
      </c>
    </row>
    <row r="77" ht="45.0" customHeight="1">
      <c r="A77" s="55" t="s">
        <v>380</v>
      </c>
      <c r="B77" s="62" t="s">
        <v>4217</v>
      </c>
      <c r="C77" s="22" t="str">
        <f>IMAGE("https://raw.githubusercontent.com/ltdimages/images/refs/heads/main/ClothAccessoryBagBusiness_00.png")</f>
        <v/>
      </c>
      <c r="D77" s="22" t="str">
        <f>IMAGE("https://raw.githubusercontent.com/ltdimages/images/refs/heads/main/ClothAccessoryBagBusiness_01.png")</f>
        <v/>
      </c>
      <c r="E77" s="22" t="str">
        <f>IMAGE("https://raw.githubusercontent.com/ltdimages/images/refs/heads/main/ClothAccessoryBagBusiness_02.png")</f>
        <v/>
      </c>
      <c r="F77" s="22" t="str">
        <f>IMAGE("https://raw.githubusercontent.com/ltdimages/images/refs/heads/main/ClothAccessoryBagBusiness_03.png")</f>
        <v/>
      </c>
      <c r="G77" s="22" t="str">
        <f>IMAGE("https://raw.githubusercontent.com/ltdimages/images/refs/heads/main/ClothAccessoryBagBusiness_04.png")</f>
        <v/>
      </c>
      <c r="H77" s="22" t="str">
        <f>IMAGE("https://raw.githubusercontent.com/ltdimages/images/refs/heads/main/ClothAccessoryBagBusiness_05.png")</f>
        <v/>
      </c>
      <c r="I77" s="22" t="s">
        <v>3095</v>
      </c>
      <c r="J77" s="22" t="s">
        <v>3095</v>
      </c>
      <c r="K77" s="63" t="s">
        <v>3952</v>
      </c>
      <c r="L77" s="23">
        <v>22.0</v>
      </c>
      <c r="M77" s="22" t="s">
        <v>3097</v>
      </c>
      <c r="N77" s="22" t="s">
        <v>3099</v>
      </c>
      <c r="O77" s="22" t="s">
        <v>45</v>
      </c>
      <c r="P77" s="22" t="s">
        <v>45</v>
      </c>
      <c r="Q77" s="22" t="s">
        <v>45</v>
      </c>
      <c r="R77" s="22" t="s">
        <v>45</v>
      </c>
      <c r="S77" s="22" t="s">
        <v>45</v>
      </c>
      <c r="T77" s="22" t="s">
        <v>2002</v>
      </c>
      <c r="U77" s="22" t="s">
        <v>45</v>
      </c>
      <c r="V77" s="22" t="s">
        <v>45</v>
      </c>
      <c r="W77" s="22" t="s">
        <v>5919</v>
      </c>
    </row>
    <row r="78" ht="45.0" customHeight="1">
      <c r="A78" s="55" t="s">
        <v>384</v>
      </c>
      <c r="B78" s="62" t="s">
        <v>5920</v>
      </c>
      <c r="C78" s="22" t="str">
        <f>IMAGE("https://raw.githubusercontent.com/ltdimages/images/refs/heads/main/ClothAccessoryBagSatchel_00.png")</f>
        <v/>
      </c>
      <c r="D78" s="22" t="str">
        <f>IMAGE("https://raw.githubusercontent.com/ltdimages/images/refs/heads/main/ClothAccessoryBagSatchel_01.png")</f>
        <v/>
      </c>
      <c r="E78" s="22" t="str">
        <f>IMAGE("https://raw.githubusercontent.com/ltdimages/images/refs/heads/main/ClothAccessoryBagSatchel_02.png")</f>
        <v/>
      </c>
      <c r="F78" s="22" t="str">
        <f>IMAGE("https://raw.githubusercontent.com/ltdimages/images/refs/heads/main/ClothAccessoryBagSatchel_03.png")</f>
        <v/>
      </c>
      <c r="G78" s="22" t="str">
        <f>IMAGE("https://raw.githubusercontent.com/ltdimages/images/refs/heads/main/ClothAccessoryBagSatchel_04.png")</f>
        <v/>
      </c>
      <c r="H78" s="22" t="str">
        <f>IMAGE("https://raw.githubusercontent.com/ltdimages/images/refs/heads/main/ClothAccessoryBagSatchel_05.png")</f>
        <v/>
      </c>
      <c r="I78" s="22" t="str">
        <f>IMAGE("https://raw.githubusercontent.com/ltdimages/images/refs/heads/main/ClothAccessoryBagSatchel_06.png")</f>
        <v/>
      </c>
      <c r="J78" s="22" t="str">
        <f>IMAGE("https://raw.githubusercontent.com/ltdimages/images/refs/heads/main/ClothAccessoryBagSatchel_07.png")</f>
        <v/>
      </c>
      <c r="K78" s="63" t="s">
        <v>3952</v>
      </c>
      <c r="L78" s="23">
        <v>34.0</v>
      </c>
      <c r="M78" s="22" t="s">
        <v>3097</v>
      </c>
      <c r="N78" s="22" t="s">
        <v>3099</v>
      </c>
      <c r="O78" s="22" t="s">
        <v>45</v>
      </c>
      <c r="P78" s="22" t="s">
        <v>45</v>
      </c>
      <c r="Q78" s="22" t="s">
        <v>45</v>
      </c>
      <c r="R78" s="22" t="s">
        <v>45</v>
      </c>
      <c r="S78" s="22" t="s">
        <v>45</v>
      </c>
      <c r="T78" s="22" t="s">
        <v>2002</v>
      </c>
      <c r="U78" s="22" t="s">
        <v>45</v>
      </c>
      <c r="V78" s="22" t="s">
        <v>45</v>
      </c>
      <c r="W78" s="22" t="s">
        <v>5921</v>
      </c>
    </row>
    <row r="79" ht="45.0" customHeight="1">
      <c r="A79" s="55" t="s">
        <v>388</v>
      </c>
      <c r="B79" s="62" t="s">
        <v>5922</v>
      </c>
      <c r="C79" s="22" t="str">
        <f>IMAGE("https://raw.githubusercontent.com/ltdimages/images/refs/heads/main/ClothAccessoryBagStuds_00.png")</f>
        <v/>
      </c>
      <c r="D79" s="22" t="str">
        <f>IMAGE("https://raw.githubusercontent.com/ltdimages/images/refs/heads/main/ClothAccessoryBagStuds_01.png")</f>
        <v/>
      </c>
      <c r="E79" s="22" t="str">
        <f>IMAGE("https://raw.githubusercontent.com/ltdimages/images/refs/heads/main/ClothAccessoryBagStuds_02.png")</f>
        <v/>
      </c>
      <c r="F79" s="22" t="str">
        <f>IMAGE("https://raw.githubusercontent.com/ltdimages/images/refs/heads/main/ClothAccessoryBagStuds_03.png")</f>
        <v/>
      </c>
      <c r="G79" s="22" t="str">
        <f>IMAGE("https://raw.githubusercontent.com/ltdimages/images/refs/heads/main/ClothAccessoryBagStuds_04.png")</f>
        <v/>
      </c>
      <c r="H79" s="22" t="str">
        <f>IMAGE("https://raw.githubusercontent.com/ltdimages/images/refs/heads/main/ClothAccessoryBagStuds_05.png")</f>
        <v/>
      </c>
      <c r="I79" s="22" t="str">
        <f>IMAGE("https://raw.githubusercontent.com/ltdimages/images/refs/heads/main/ClothAccessoryBagStuds_06.png")</f>
        <v/>
      </c>
      <c r="J79" s="22" t="str">
        <f>IMAGE("https://raw.githubusercontent.com/ltdimages/images/refs/heads/main/ClothAccessoryBagStuds_07.png")</f>
        <v/>
      </c>
      <c r="K79" s="63" t="s">
        <v>3952</v>
      </c>
      <c r="L79" s="23">
        <v>21.0</v>
      </c>
      <c r="M79" s="22" t="s">
        <v>3097</v>
      </c>
      <c r="N79" s="22" t="s">
        <v>3099</v>
      </c>
      <c r="O79" s="22" t="s">
        <v>45</v>
      </c>
      <c r="P79" s="22" t="s">
        <v>45</v>
      </c>
      <c r="Q79" s="22" t="s">
        <v>45</v>
      </c>
      <c r="R79" s="22" t="s">
        <v>45</v>
      </c>
      <c r="S79" s="22" t="s">
        <v>45</v>
      </c>
      <c r="T79" s="22" t="s">
        <v>2002</v>
      </c>
      <c r="U79" s="22" t="s">
        <v>45</v>
      </c>
      <c r="V79" s="22" t="s">
        <v>45</v>
      </c>
      <c r="W79" s="22" t="s">
        <v>5923</v>
      </c>
    </row>
    <row r="80" ht="45.0" customHeight="1">
      <c r="A80" s="55" t="s">
        <v>392</v>
      </c>
      <c r="B80" s="62" t="s">
        <v>3483</v>
      </c>
      <c r="C80" s="22" t="str">
        <f>IMAGE("https://raw.githubusercontent.com/ltdimages/images/refs/heads/main/ClothAccessoryBagTravel_00.png")</f>
        <v/>
      </c>
      <c r="D80" s="22" t="str">
        <f>IMAGE("https://raw.githubusercontent.com/ltdimages/images/refs/heads/main/ClothAccessoryBagTravel_01.png")</f>
        <v/>
      </c>
      <c r="E80" s="22" t="str">
        <f>IMAGE("https://raw.githubusercontent.com/ltdimages/images/refs/heads/main/ClothAccessoryBagTravel_02.png")</f>
        <v/>
      </c>
      <c r="F80" s="22" t="str">
        <f>IMAGE("https://raw.githubusercontent.com/ltdimages/images/refs/heads/main/ClothAccessoryBagTravel_03.png")</f>
        <v/>
      </c>
      <c r="G80" s="22" t="s">
        <v>3095</v>
      </c>
      <c r="H80" s="22" t="s">
        <v>3095</v>
      </c>
      <c r="I80" s="22" t="s">
        <v>3095</v>
      </c>
      <c r="J80" s="22" t="s">
        <v>3095</v>
      </c>
      <c r="K80" s="63" t="s">
        <v>3952</v>
      </c>
      <c r="L80" s="23">
        <v>22.0</v>
      </c>
      <c r="M80" s="22" t="s">
        <v>3097</v>
      </c>
      <c r="N80" s="22" t="s">
        <v>3099</v>
      </c>
      <c r="O80" s="22" t="s">
        <v>45</v>
      </c>
      <c r="P80" s="22" t="s">
        <v>45</v>
      </c>
      <c r="Q80" s="22" t="s">
        <v>45</v>
      </c>
      <c r="R80" s="22" t="s">
        <v>45</v>
      </c>
      <c r="S80" s="22" t="s">
        <v>45</v>
      </c>
      <c r="T80" s="22" t="s">
        <v>2002</v>
      </c>
      <c r="U80" s="22" t="s">
        <v>45</v>
      </c>
      <c r="V80" s="22" t="s">
        <v>45</v>
      </c>
      <c r="W80" s="22" t="s">
        <v>5924</v>
      </c>
    </row>
    <row r="81" ht="45.0" customHeight="1">
      <c r="A81" s="55" t="s">
        <v>396</v>
      </c>
      <c r="B81" s="22" t="s">
        <v>3134</v>
      </c>
      <c r="C81" s="22" t="str">
        <f>IMAGE("https://raw.githubusercontent.com/ltdimages/images/refs/heads/main/ClothAccessoryBackAngel_00.png")</f>
        <v/>
      </c>
      <c r="D81" s="22" t="s">
        <v>3095</v>
      </c>
      <c r="E81" s="22" t="s">
        <v>3095</v>
      </c>
      <c r="F81" s="22" t="s">
        <v>3095</v>
      </c>
      <c r="G81" s="22" t="s">
        <v>3095</v>
      </c>
      <c r="H81" s="22" t="s">
        <v>3095</v>
      </c>
      <c r="I81" s="22" t="s">
        <v>3095</v>
      </c>
      <c r="J81" s="22" t="s">
        <v>3095</v>
      </c>
      <c r="K81" s="63" t="s">
        <v>3952</v>
      </c>
      <c r="L81" s="23">
        <v>20.0</v>
      </c>
      <c r="M81" s="22" t="s">
        <v>3097</v>
      </c>
      <c r="N81" s="22" t="s">
        <v>3099</v>
      </c>
      <c r="O81" s="22" t="s">
        <v>45</v>
      </c>
      <c r="P81" s="22" t="s">
        <v>45</v>
      </c>
      <c r="Q81" s="22" t="s">
        <v>45</v>
      </c>
      <c r="R81" s="22" t="s">
        <v>49</v>
      </c>
      <c r="S81" s="22" t="s">
        <v>45</v>
      </c>
      <c r="T81" s="22" t="s">
        <v>2002</v>
      </c>
      <c r="U81" s="22" t="s">
        <v>45</v>
      </c>
      <c r="V81" s="22" t="s">
        <v>45</v>
      </c>
      <c r="W81" s="22" t="s">
        <v>5925</v>
      </c>
    </row>
    <row r="82" ht="45.0" customHeight="1">
      <c r="A82" s="55" t="s">
        <v>400</v>
      </c>
      <c r="B82" s="62" t="s">
        <v>5926</v>
      </c>
      <c r="C82" s="22" t="str">
        <f>IMAGE("https://raw.githubusercontent.com/ltdimages/images/refs/heads/main/ClothAccessoryBackBee_00.png")</f>
        <v/>
      </c>
      <c r="D82" s="22" t="s">
        <v>3095</v>
      </c>
      <c r="E82" s="22" t="s">
        <v>3095</v>
      </c>
      <c r="F82" s="22" t="s">
        <v>3095</v>
      </c>
      <c r="G82" s="22" t="s">
        <v>3095</v>
      </c>
      <c r="H82" s="22" t="s">
        <v>3095</v>
      </c>
      <c r="I82" s="22" t="s">
        <v>3095</v>
      </c>
      <c r="J82" s="22" t="s">
        <v>3095</v>
      </c>
      <c r="K82" s="63" t="s">
        <v>3952</v>
      </c>
      <c r="L82" s="23">
        <v>16.0</v>
      </c>
      <c r="M82" s="22" t="s">
        <v>3097</v>
      </c>
      <c r="N82" s="22" t="s">
        <v>3099</v>
      </c>
      <c r="O82" s="22" t="s">
        <v>45</v>
      </c>
      <c r="P82" s="22" t="s">
        <v>45</v>
      </c>
      <c r="Q82" s="22" t="s">
        <v>45</v>
      </c>
      <c r="R82" s="22" t="s">
        <v>49</v>
      </c>
      <c r="S82" s="22" t="s">
        <v>45</v>
      </c>
      <c r="T82" s="22" t="s">
        <v>2002</v>
      </c>
      <c r="U82" s="22" t="s">
        <v>45</v>
      </c>
      <c r="V82" s="22" t="s">
        <v>45</v>
      </c>
      <c r="W82" s="22" t="s">
        <v>5927</v>
      </c>
    </row>
    <row r="83" ht="45.0" customHeight="1">
      <c r="A83" s="55" t="s">
        <v>404</v>
      </c>
      <c r="B83" s="62" t="s">
        <v>5928</v>
      </c>
      <c r="C83" s="22" t="str">
        <f>IMAGE("https://raw.githubusercontent.com/ltdimages/images/refs/heads/main/ClothAccessoryBackButterfly_00.png")</f>
        <v/>
      </c>
      <c r="D83" s="22" t="str">
        <f>IMAGE("https://raw.githubusercontent.com/ltdimages/images/refs/heads/main/ClothAccessoryBackButterfly_01.png")</f>
        <v/>
      </c>
      <c r="E83" s="22" t="str">
        <f>IMAGE("https://raw.githubusercontent.com/ltdimages/images/refs/heads/main/ClothAccessoryBackButterfly_02.png")</f>
        <v/>
      </c>
      <c r="F83" s="22" t="str">
        <f>IMAGE("https://raw.githubusercontent.com/ltdimages/images/refs/heads/main/ClothAccessoryBackButterfly_03.png")</f>
        <v/>
      </c>
      <c r="G83" s="22" t="str">
        <f>IMAGE("https://raw.githubusercontent.com/ltdimages/images/refs/heads/main/ClothAccessoryBackButterfly_04.png")</f>
        <v/>
      </c>
      <c r="H83" s="22" t="str">
        <f>IMAGE("https://raw.githubusercontent.com/ltdimages/images/refs/heads/main/ClothAccessoryBackButterfly_05.png")</f>
        <v/>
      </c>
      <c r="I83" s="22" t="s">
        <v>3095</v>
      </c>
      <c r="J83" s="22" t="s">
        <v>3095</v>
      </c>
      <c r="K83" s="63" t="s">
        <v>3952</v>
      </c>
      <c r="L83" s="23">
        <v>17.0</v>
      </c>
      <c r="M83" s="22" t="s">
        <v>3097</v>
      </c>
      <c r="N83" s="22" t="s">
        <v>3099</v>
      </c>
      <c r="O83" s="22" t="s">
        <v>45</v>
      </c>
      <c r="P83" s="22" t="s">
        <v>45</v>
      </c>
      <c r="Q83" s="22" t="s">
        <v>45</v>
      </c>
      <c r="R83" s="22" t="s">
        <v>49</v>
      </c>
      <c r="S83" s="22" t="s">
        <v>45</v>
      </c>
      <c r="T83" s="22" t="s">
        <v>2002</v>
      </c>
      <c r="U83" s="22" t="s">
        <v>45</v>
      </c>
      <c r="V83" s="22" t="s">
        <v>45</v>
      </c>
      <c r="W83" s="22" t="s">
        <v>5929</v>
      </c>
    </row>
    <row r="84" ht="45.0" customHeight="1">
      <c r="A84" s="55" t="s">
        <v>410</v>
      </c>
      <c r="B84" s="62" t="s">
        <v>5930</v>
      </c>
      <c r="C84" s="22" t="str">
        <f>IMAGE("https://raw.githubusercontent.com/ltdimages/images/refs/heads/main/ClothAccessoryBackCyberWing_00.png")</f>
        <v/>
      </c>
      <c r="D84" s="22" t="str">
        <f>IMAGE("https://raw.githubusercontent.com/ltdimages/images/refs/heads/main/ClothAccessoryBackCyberWing_01.png")</f>
        <v/>
      </c>
      <c r="E84" s="22" t="str">
        <f>IMAGE("https://raw.githubusercontent.com/ltdimages/images/refs/heads/main/ClothAccessoryBackCyberWing_02.png")</f>
        <v/>
      </c>
      <c r="F84" s="22" t="str">
        <f>IMAGE("https://raw.githubusercontent.com/ltdimages/images/refs/heads/main/ClothAccessoryBackCyberWing_03.png")</f>
        <v/>
      </c>
      <c r="G84" s="22" t="str">
        <f>IMAGE("https://raw.githubusercontent.com/ltdimages/images/refs/heads/main/ClothAccessoryBackCyberWing_04.png")</f>
        <v/>
      </c>
      <c r="H84" s="22" t="str">
        <f>IMAGE("https://raw.githubusercontent.com/ltdimages/images/refs/heads/main/ClothAccessoryBackCyberWing_05.png")</f>
        <v/>
      </c>
      <c r="I84" s="22" t="str">
        <f>IMAGE("https://raw.githubusercontent.com/ltdimages/images/refs/heads/main/ClothAccessoryBackCyberWing_06.png")</f>
        <v/>
      </c>
      <c r="J84" s="22" t="str">
        <f>IMAGE("https://raw.githubusercontent.com/ltdimages/images/refs/heads/main/ClothAccessoryBackCyberWing_07.png")</f>
        <v/>
      </c>
      <c r="K84" s="63" t="s">
        <v>3952</v>
      </c>
      <c r="L84" s="23">
        <v>120.0</v>
      </c>
      <c r="M84" s="22" t="s">
        <v>3097</v>
      </c>
      <c r="N84" s="22" t="s">
        <v>3099</v>
      </c>
      <c r="O84" s="22" t="s">
        <v>45</v>
      </c>
      <c r="P84" s="22" t="s">
        <v>45</v>
      </c>
      <c r="Q84" s="22" t="s">
        <v>45</v>
      </c>
      <c r="R84" s="22" t="s">
        <v>49</v>
      </c>
      <c r="S84" s="22" t="s">
        <v>45</v>
      </c>
      <c r="T84" s="22" t="s">
        <v>2002</v>
      </c>
      <c r="U84" s="22" t="s">
        <v>45</v>
      </c>
      <c r="V84" s="22" t="s">
        <v>45</v>
      </c>
      <c r="W84" s="22" t="s">
        <v>5931</v>
      </c>
    </row>
    <row r="85" ht="45.0" customHeight="1">
      <c r="A85" s="55" t="s">
        <v>414</v>
      </c>
      <c r="B85" s="62" t="s">
        <v>5932</v>
      </c>
      <c r="C85" s="22" t="str">
        <f>IMAGE("https://raw.githubusercontent.com/ltdimages/images/refs/heads/main/ClothAccessoryBackDevil_00.png")</f>
        <v/>
      </c>
      <c r="D85" s="22" t="str">
        <f>IMAGE("https://raw.githubusercontent.com/ltdimages/images/refs/heads/main/ClothAccessoryBackDevil_01.png")</f>
        <v/>
      </c>
      <c r="E85" s="22" t="str">
        <f>IMAGE("https://raw.githubusercontent.com/ltdimages/images/refs/heads/main/ClothAccessoryBackDevil_02.png")</f>
        <v/>
      </c>
      <c r="F85" s="22" t="str">
        <f>IMAGE("https://raw.githubusercontent.com/ltdimages/images/refs/heads/main/ClothAccessoryBackDevil_03.png")</f>
        <v/>
      </c>
      <c r="G85" s="22" t="str">
        <f>IMAGE("https://raw.githubusercontent.com/ltdimages/images/refs/heads/main/ClothAccessoryBackDevil_04.png")</f>
        <v/>
      </c>
      <c r="H85" s="22" t="str">
        <f>IMAGE("https://raw.githubusercontent.com/ltdimages/images/refs/heads/main/ClothAccessoryBackDevil_05.png")</f>
        <v/>
      </c>
      <c r="I85" s="22" t="s">
        <v>3095</v>
      </c>
      <c r="J85" s="22" t="s">
        <v>3095</v>
      </c>
      <c r="K85" s="63" t="s">
        <v>3952</v>
      </c>
      <c r="L85" s="23">
        <v>20.0</v>
      </c>
      <c r="M85" s="22" t="s">
        <v>3097</v>
      </c>
      <c r="N85" s="22" t="s">
        <v>3099</v>
      </c>
      <c r="O85" s="22" t="s">
        <v>45</v>
      </c>
      <c r="P85" s="22" t="s">
        <v>45</v>
      </c>
      <c r="Q85" s="22" t="s">
        <v>45</v>
      </c>
      <c r="R85" s="22" t="s">
        <v>49</v>
      </c>
      <c r="S85" s="22" t="s">
        <v>45</v>
      </c>
      <c r="T85" s="22" t="s">
        <v>2002</v>
      </c>
      <c r="U85" s="22" t="s">
        <v>45</v>
      </c>
      <c r="V85" s="22" t="s">
        <v>45</v>
      </c>
      <c r="W85" s="22" t="s">
        <v>5933</v>
      </c>
    </row>
    <row r="86" ht="45.0" customHeight="1">
      <c r="A86" s="55" t="s">
        <v>418</v>
      </c>
      <c r="B86" s="62" t="s">
        <v>5934</v>
      </c>
      <c r="C86" s="22" t="str">
        <f>IMAGE("https://raw.githubusercontent.com/ltdimages/images/refs/heads/main/ClothAccessoryBackDragon_00.png")</f>
        <v/>
      </c>
      <c r="D86" s="22" t="str">
        <f>IMAGE("https://raw.githubusercontent.com/ltdimages/images/refs/heads/main/ClothAccessoryBackDragon_01.png")</f>
        <v/>
      </c>
      <c r="E86" s="22" t="str">
        <f>IMAGE("https://raw.githubusercontent.com/ltdimages/images/refs/heads/main/ClothAccessoryBackDragon_02.png")</f>
        <v/>
      </c>
      <c r="F86" s="22" t="str">
        <f>IMAGE("https://raw.githubusercontent.com/ltdimages/images/refs/heads/main/ClothAccessoryBackDragon_03.png")</f>
        <v/>
      </c>
      <c r="G86" s="22" t="str">
        <f>IMAGE("https://raw.githubusercontent.com/ltdimages/images/refs/heads/main/ClothAccessoryBackDragon_04.png")</f>
        <v/>
      </c>
      <c r="H86" s="22" t="str">
        <f>IMAGE("https://raw.githubusercontent.com/ltdimages/images/refs/heads/main/ClothAccessoryBackDragon_05.png")</f>
        <v/>
      </c>
      <c r="I86" s="22" t="str">
        <f>IMAGE("https://raw.githubusercontent.com/ltdimages/images/refs/heads/main/ClothAccessoryBackDragon_06.png")</f>
        <v/>
      </c>
      <c r="J86" s="22" t="str">
        <f>IMAGE("https://raw.githubusercontent.com/ltdimages/images/refs/heads/main/ClothAccessoryBackDragon_07.png")</f>
        <v/>
      </c>
      <c r="K86" s="63" t="s">
        <v>3952</v>
      </c>
      <c r="L86" s="23">
        <v>22.0</v>
      </c>
      <c r="M86" s="22" t="s">
        <v>3097</v>
      </c>
      <c r="N86" s="22" t="s">
        <v>3099</v>
      </c>
      <c r="O86" s="22" t="s">
        <v>45</v>
      </c>
      <c r="P86" s="22" t="s">
        <v>45</v>
      </c>
      <c r="Q86" s="22" t="s">
        <v>45</v>
      </c>
      <c r="R86" s="22" t="s">
        <v>49</v>
      </c>
      <c r="S86" s="22" t="s">
        <v>45</v>
      </c>
      <c r="T86" s="22" t="s">
        <v>2002</v>
      </c>
      <c r="U86" s="22" t="s">
        <v>45</v>
      </c>
      <c r="V86" s="22" t="s">
        <v>45</v>
      </c>
      <c r="W86" s="22" t="s">
        <v>5935</v>
      </c>
    </row>
    <row r="87" ht="45.0" customHeight="1">
      <c r="A87" s="55" t="s">
        <v>422</v>
      </c>
      <c r="B87" s="62" t="s">
        <v>4400</v>
      </c>
      <c r="C87" s="22" t="str">
        <f>IMAGE("https://raw.githubusercontent.com/ltdimages/images/refs/heads/main/ClothAccessoryBackFairy_00.png")</f>
        <v/>
      </c>
      <c r="D87" s="22" t="str">
        <f>IMAGE("https://raw.githubusercontent.com/ltdimages/images/refs/heads/main/ClothAccessoryBackFairy_01.png")</f>
        <v/>
      </c>
      <c r="E87" s="22" t="str">
        <f>IMAGE("https://raw.githubusercontent.com/ltdimages/images/refs/heads/main/ClothAccessoryBackFairy_02.png")</f>
        <v/>
      </c>
      <c r="F87" s="22" t="str">
        <f>IMAGE("https://raw.githubusercontent.com/ltdimages/images/refs/heads/main/ClothAccessoryBackFairy_03.png")</f>
        <v/>
      </c>
      <c r="G87" s="22" t="str">
        <f>IMAGE("https://raw.githubusercontent.com/ltdimages/images/refs/heads/main/ClothAccessoryBackFairy_04.png")</f>
        <v/>
      </c>
      <c r="H87" s="22" t="str">
        <f>IMAGE("https://raw.githubusercontent.com/ltdimages/images/refs/heads/main/ClothAccessoryBackFairy_05.png")</f>
        <v/>
      </c>
      <c r="I87" s="22" t="str">
        <f>IMAGE("https://raw.githubusercontent.com/ltdimages/images/refs/heads/main/ClothAccessoryBackFairy_06.png")</f>
        <v/>
      </c>
      <c r="J87" s="22" t="str">
        <f>IMAGE("https://raw.githubusercontent.com/ltdimages/images/refs/heads/main/ClothAccessoryBackFairy_07.png")</f>
        <v/>
      </c>
      <c r="K87" s="63" t="s">
        <v>3952</v>
      </c>
      <c r="L87" s="23">
        <v>18.0</v>
      </c>
      <c r="M87" s="22" t="s">
        <v>3097</v>
      </c>
      <c r="N87" s="22" t="s">
        <v>3099</v>
      </c>
      <c r="O87" s="22" t="s">
        <v>45</v>
      </c>
      <c r="P87" s="22" t="s">
        <v>45</v>
      </c>
      <c r="Q87" s="22" t="s">
        <v>45</v>
      </c>
      <c r="R87" s="22" t="s">
        <v>49</v>
      </c>
      <c r="S87" s="22" t="s">
        <v>45</v>
      </c>
      <c r="T87" s="22" t="s">
        <v>2002</v>
      </c>
      <c r="U87" s="22" t="s">
        <v>45</v>
      </c>
      <c r="V87" s="22" t="s">
        <v>45</v>
      </c>
      <c r="W87" s="22" t="s">
        <v>5936</v>
      </c>
    </row>
    <row r="88" ht="45.0" customHeight="1">
      <c r="A88" s="55" t="s">
        <v>426</v>
      </c>
      <c r="B88" s="62" t="s">
        <v>5937</v>
      </c>
      <c r="C88" s="22" t="str">
        <f>IMAGE("https://raw.githubusercontent.com/ltdimages/images/refs/heads/main/ClothAccessoryBackJetpack_00.png")</f>
        <v/>
      </c>
      <c r="D88" s="22" t="str">
        <f>IMAGE("https://raw.githubusercontent.com/ltdimages/images/refs/heads/main/ClothAccessoryBackJetpack_01.png")</f>
        <v/>
      </c>
      <c r="E88" s="22" t="str">
        <f>IMAGE("https://raw.githubusercontent.com/ltdimages/images/refs/heads/main/ClothAccessoryBackJetpack_02.png")</f>
        <v/>
      </c>
      <c r="F88" s="22" t="str">
        <f>IMAGE("https://raw.githubusercontent.com/ltdimages/images/refs/heads/main/ClothAccessoryBackJetpack_03.png")</f>
        <v/>
      </c>
      <c r="G88" s="22" t="str">
        <f>IMAGE("https://raw.githubusercontent.com/ltdimages/images/refs/heads/main/ClothAccessoryBackJetpack_04.png")</f>
        <v/>
      </c>
      <c r="H88" s="22" t="str">
        <f>IMAGE("https://raw.githubusercontent.com/ltdimages/images/refs/heads/main/ClothAccessoryBackJetpack_05.png")</f>
        <v/>
      </c>
      <c r="I88" s="22" t="s">
        <v>3095</v>
      </c>
      <c r="J88" s="22" t="s">
        <v>3095</v>
      </c>
      <c r="K88" s="63" t="s">
        <v>3952</v>
      </c>
      <c r="L88" s="23">
        <v>35.0</v>
      </c>
      <c r="M88" s="22" t="s">
        <v>3097</v>
      </c>
      <c r="N88" s="22" t="s">
        <v>3099</v>
      </c>
      <c r="O88" s="22" t="s">
        <v>45</v>
      </c>
      <c r="P88" s="22" t="s">
        <v>45</v>
      </c>
      <c r="Q88" s="22" t="s">
        <v>45</v>
      </c>
      <c r="R88" s="22" t="s">
        <v>49</v>
      </c>
      <c r="S88" s="22" t="s">
        <v>45</v>
      </c>
      <c r="T88" s="22" t="s">
        <v>2002</v>
      </c>
      <c r="U88" s="22" t="s">
        <v>45</v>
      </c>
      <c r="V88" s="22" t="s">
        <v>45</v>
      </c>
      <c r="W88" s="22" t="s">
        <v>5938</v>
      </c>
    </row>
    <row r="89" ht="45.0" customHeight="1">
      <c r="A89" s="55" t="s">
        <v>430</v>
      </c>
      <c r="B89" s="62" t="s">
        <v>5939</v>
      </c>
      <c r="C89" s="22" t="str">
        <f>IMAGE("https://raw.githubusercontent.com/ltdimages/images/refs/heads/main/ClothAccessoryBackTurtle_00.png")</f>
        <v/>
      </c>
      <c r="D89" s="22" t="str">
        <f>IMAGE("https://raw.githubusercontent.com/ltdimages/images/refs/heads/main/ClothAccessoryBackTurtle_01.png")</f>
        <v/>
      </c>
      <c r="E89" s="22" t="str">
        <f>IMAGE("https://raw.githubusercontent.com/ltdimages/images/refs/heads/main/ClothAccessoryBackTurtle_02.png")</f>
        <v/>
      </c>
      <c r="F89" s="22" t="str">
        <f>IMAGE("https://raw.githubusercontent.com/ltdimages/images/refs/heads/main/ClothAccessoryBackTurtle_03.png")</f>
        <v/>
      </c>
      <c r="G89" s="22" t="s">
        <v>3095</v>
      </c>
      <c r="H89" s="22" t="s">
        <v>3095</v>
      </c>
      <c r="I89" s="22" t="s">
        <v>3095</v>
      </c>
      <c r="J89" s="22" t="s">
        <v>3095</v>
      </c>
      <c r="K89" s="63" t="s">
        <v>3952</v>
      </c>
      <c r="L89" s="23">
        <v>25.0</v>
      </c>
      <c r="M89" s="22" t="s">
        <v>3097</v>
      </c>
      <c r="N89" s="22" t="s">
        <v>3099</v>
      </c>
      <c r="O89" s="22" t="s">
        <v>45</v>
      </c>
      <c r="P89" s="22" t="s">
        <v>45</v>
      </c>
      <c r="Q89" s="22" t="s">
        <v>45</v>
      </c>
      <c r="R89" s="22" t="s">
        <v>49</v>
      </c>
      <c r="S89" s="22" t="s">
        <v>45</v>
      </c>
      <c r="T89" s="22" t="s">
        <v>2002</v>
      </c>
      <c r="U89" s="22" t="s">
        <v>45</v>
      </c>
      <c r="V89" s="22" t="s">
        <v>45</v>
      </c>
      <c r="W89" s="22" t="s">
        <v>5940</v>
      </c>
    </row>
    <row r="90" ht="45.0" customHeight="1">
      <c r="A90" s="55" t="s">
        <v>434</v>
      </c>
      <c r="B90" s="62" t="s">
        <v>5941</v>
      </c>
      <c r="C90" s="22" t="str">
        <f>IMAGE("https://raw.githubusercontent.com/ltdimages/images/refs/heads/main/ClothAccessoryBackLight_00.png")</f>
        <v/>
      </c>
      <c r="D90" s="22" t="str">
        <f>IMAGE("https://raw.githubusercontent.com/ltdimages/images/refs/heads/main/ClothAccessoryBackLight_01.png")</f>
        <v/>
      </c>
      <c r="E90" s="22" t="s">
        <v>3095</v>
      </c>
      <c r="F90" s="22" t="s">
        <v>3095</v>
      </c>
      <c r="G90" s="22" t="s">
        <v>3095</v>
      </c>
      <c r="H90" s="22" t="s">
        <v>3095</v>
      </c>
      <c r="I90" s="22" t="s">
        <v>3095</v>
      </c>
      <c r="J90" s="22" t="s">
        <v>3095</v>
      </c>
      <c r="K90" s="63" t="s">
        <v>3952</v>
      </c>
      <c r="L90" s="23">
        <v>30.0</v>
      </c>
      <c r="M90" s="22" t="s">
        <v>3097</v>
      </c>
      <c r="N90" s="22" t="s">
        <v>3099</v>
      </c>
      <c r="O90" s="22" t="s">
        <v>45</v>
      </c>
      <c r="P90" s="22" t="s">
        <v>45</v>
      </c>
      <c r="Q90" s="22" t="s">
        <v>45</v>
      </c>
      <c r="R90" s="22" t="s">
        <v>49</v>
      </c>
      <c r="S90" s="22" t="s">
        <v>45</v>
      </c>
      <c r="T90" s="22" t="s">
        <v>2002</v>
      </c>
      <c r="U90" s="22" t="s">
        <v>45</v>
      </c>
      <c r="V90" s="22" t="s">
        <v>45</v>
      </c>
      <c r="W90" s="22" t="s">
        <v>5942</v>
      </c>
    </row>
    <row r="91" ht="45.0" customHeight="1">
      <c r="A91" s="55" t="s">
        <v>438</v>
      </c>
      <c r="B91" s="62" t="s">
        <v>5943</v>
      </c>
      <c r="C91" s="22" t="str">
        <f>IMAGE("https://raw.githubusercontent.com/ltdimages/images/refs/heads/main/ClothAccessoryBackFeather_00.png")</f>
        <v/>
      </c>
      <c r="D91" s="22" t="str">
        <f>IMAGE("https://raw.githubusercontent.com/ltdimages/images/refs/heads/main/ClothAccessoryBackFeather_01.png")</f>
        <v/>
      </c>
      <c r="E91" s="22" t="str">
        <f>IMAGE("https://raw.githubusercontent.com/ltdimages/images/refs/heads/main/ClothAccessoryBackFeather_02.png")</f>
        <v/>
      </c>
      <c r="F91" s="22" t="str">
        <f>IMAGE("https://raw.githubusercontent.com/ltdimages/images/refs/heads/main/ClothAccessoryBackFeather_03.png")</f>
        <v/>
      </c>
      <c r="G91" s="22" t="str">
        <f>IMAGE("https://raw.githubusercontent.com/ltdimages/images/refs/heads/main/ClothAccessoryBackFeather_04.png")</f>
        <v/>
      </c>
      <c r="H91" s="22" t="str">
        <f>IMAGE("https://raw.githubusercontent.com/ltdimages/images/refs/heads/main/ClothAccessoryBackFeather_05.png")</f>
        <v/>
      </c>
      <c r="I91" s="22" t="s">
        <v>3095</v>
      </c>
      <c r="J91" s="22" t="s">
        <v>3095</v>
      </c>
      <c r="K91" s="63" t="s">
        <v>3952</v>
      </c>
      <c r="L91" s="23">
        <v>19.0</v>
      </c>
      <c r="M91" s="22" t="s">
        <v>3097</v>
      </c>
      <c r="N91" s="22" t="s">
        <v>3099</v>
      </c>
      <c r="O91" s="22" t="s">
        <v>45</v>
      </c>
      <c r="P91" s="22" t="s">
        <v>45</v>
      </c>
      <c r="Q91" s="22" t="s">
        <v>45</v>
      </c>
      <c r="R91" s="22" t="s">
        <v>49</v>
      </c>
      <c r="S91" s="22" t="s">
        <v>45</v>
      </c>
      <c r="T91" s="22" t="s">
        <v>2002</v>
      </c>
      <c r="U91" s="22" t="s">
        <v>45</v>
      </c>
      <c r="V91" s="22" t="s">
        <v>45</v>
      </c>
      <c r="W91" s="22" t="s">
        <v>5944</v>
      </c>
    </row>
    <row r="92" ht="45.0" customHeight="1">
      <c r="A92" s="55" t="s">
        <v>442</v>
      </c>
      <c r="B92" s="62" t="s">
        <v>5945</v>
      </c>
      <c r="C92" s="22" t="str">
        <f>IMAGE("https://raw.githubusercontent.com/ltdimages/images/refs/heads/main/ClothAccessoryBackFlower_00.png")</f>
        <v/>
      </c>
      <c r="D92" s="22" t="str">
        <f>IMAGE("https://raw.githubusercontent.com/ltdimages/images/refs/heads/main/ClothAccessoryBackFlower_01.png")</f>
        <v/>
      </c>
      <c r="E92" s="22" t="str">
        <f>IMAGE("https://raw.githubusercontent.com/ltdimages/images/refs/heads/main/ClothAccessoryBackFlower_02.png")</f>
        <v/>
      </c>
      <c r="F92" s="22" t="str">
        <f>IMAGE("https://raw.githubusercontent.com/ltdimages/images/refs/heads/main/ClothAccessoryBackFlower_03.png")</f>
        <v/>
      </c>
      <c r="G92" s="22" t="s">
        <v>3095</v>
      </c>
      <c r="H92" s="22" t="s">
        <v>3095</v>
      </c>
      <c r="I92" s="22" t="s">
        <v>3095</v>
      </c>
      <c r="J92" s="22" t="s">
        <v>3095</v>
      </c>
      <c r="K92" s="63" t="s">
        <v>3952</v>
      </c>
      <c r="L92" s="23">
        <v>5.0</v>
      </c>
      <c r="M92" s="22" t="s">
        <v>3097</v>
      </c>
      <c r="N92" s="22" t="s">
        <v>3099</v>
      </c>
      <c r="O92" s="22" t="s">
        <v>45</v>
      </c>
      <c r="P92" s="22" t="s">
        <v>45</v>
      </c>
      <c r="Q92" s="22" t="s">
        <v>45</v>
      </c>
      <c r="R92" s="22" t="s">
        <v>49</v>
      </c>
      <c r="S92" s="22" t="s">
        <v>45</v>
      </c>
      <c r="T92" s="22" t="s">
        <v>2002</v>
      </c>
      <c r="U92" s="22" t="s">
        <v>45</v>
      </c>
      <c r="V92" s="22" t="s">
        <v>45</v>
      </c>
      <c r="W92" s="22" t="s">
        <v>5946</v>
      </c>
    </row>
    <row r="93" ht="45.0" customHeight="1">
      <c r="A93" s="55" t="s">
        <v>446</v>
      </c>
      <c r="B93" s="62" t="s">
        <v>5947</v>
      </c>
      <c r="C93" s="22" t="str">
        <f>IMAGE("https://raw.githubusercontent.com/ltdimages/images/refs/heads/main/ClothAccessoryBackHeart_00.png")</f>
        <v/>
      </c>
      <c r="D93" s="22" t="str">
        <f>IMAGE("https://raw.githubusercontent.com/ltdimages/images/refs/heads/main/ClothAccessoryBackHeart_01.png")</f>
        <v/>
      </c>
      <c r="E93" s="22" t="str">
        <f>IMAGE("https://raw.githubusercontent.com/ltdimages/images/refs/heads/main/ClothAccessoryBackHeart_02.png")</f>
        <v/>
      </c>
      <c r="F93" s="22" t="str">
        <f>IMAGE("https://raw.githubusercontent.com/ltdimages/images/refs/heads/main/ClothAccessoryBackHeart_03.png")</f>
        <v/>
      </c>
      <c r="G93" s="22" t="str">
        <f>IMAGE("https://raw.githubusercontent.com/ltdimages/images/refs/heads/main/ClothAccessoryBackHeart_04.png")</f>
        <v/>
      </c>
      <c r="H93" s="22" t="str">
        <f>IMAGE("https://raw.githubusercontent.com/ltdimages/images/refs/heads/main/ClothAccessoryBackHeart_05.png")</f>
        <v/>
      </c>
      <c r="I93" s="22" t="str">
        <f>IMAGE("https://raw.githubusercontent.com/ltdimages/images/refs/heads/main/ClothAccessoryBackHeart_06.png")</f>
        <v/>
      </c>
      <c r="J93" s="22" t="str">
        <f>IMAGE("https://raw.githubusercontent.com/ltdimages/images/refs/heads/main/ClothAccessoryBackHeart_07.png")</f>
        <v/>
      </c>
      <c r="K93" s="63" t="s">
        <v>3952</v>
      </c>
      <c r="L93" s="23">
        <v>15.0</v>
      </c>
      <c r="M93" s="22" t="s">
        <v>3097</v>
      </c>
      <c r="N93" s="22" t="s">
        <v>3099</v>
      </c>
      <c r="O93" s="22" t="s">
        <v>45</v>
      </c>
      <c r="P93" s="22" t="s">
        <v>45</v>
      </c>
      <c r="Q93" s="22" t="s">
        <v>45</v>
      </c>
      <c r="R93" s="22" t="s">
        <v>49</v>
      </c>
      <c r="S93" s="22" t="s">
        <v>45</v>
      </c>
      <c r="T93" s="22" t="s">
        <v>2002</v>
      </c>
      <c r="U93" s="22" t="s">
        <v>45</v>
      </c>
      <c r="V93" s="22" t="s">
        <v>45</v>
      </c>
      <c r="W93" s="22" t="s">
        <v>5948</v>
      </c>
    </row>
    <row r="94" ht="45.0" customHeight="1">
      <c r="A94" s="55" t="s">
        <v>450</v>
      </c>
      <c r="B94" s="62" t="s">
        <v>5949</v>
      </c>
      <c r="C94" s="22" t="str">
        <f>IMAGE("https://raw.githubusercontent.com/ltdimages/images/refs/heads/main/ClothAccessoryBackMagicCircle_00.png")</f>
        <v/>
      </c>
      <c r="D94" s="22" t="str">
        <f>IMAGE("https://raw.githubusercontent.com/ltdimages/images/refs/heads/main/ClothAccessoryBackMagicCircle_01.png")</f>
        <v/>
      </c>
      <c r="E94" s="22" t="str">
        <f>IMAGE("https://raw.githubusercontent.com/ltdimages/images/refs/heads/main/ClothAccessoryBackMagicCircle_02.png")</f>
        <v/>
      </c>
      <c r="F94" s="22" t="str">
        <f>IMAGE("https://raw.githubusercontent.com/ltdimages/images/refs/heads/main/ClothAccessoryBackMagicCircle_03.png")</f>
        <v/>
      </c>
      <c r="G94" s="22" t="str">
        <f>IMAGE("https://raw.githubusercontent.com/ltdimages/images/refs/heads/main/ClothAccessoryBackMagicCircle_04.png")</f>
        <v/>
      </c>
      <c r="H94" s="22" t="str">
        <f>IMAGE("https://raw.githubusercontent.com/ltdimages/images/refs/heads/main/ClothAccessoryBackMagicCircle_05.png")</f>
        <v/>
      </c>
      <c r="I94" s="22" t="s">
        <v>3095</v>
      </c>
      <c r="J94" s="22" t="s">
        <v>3095</v>
      </c>
      <c r="K94" s="63" t="s">
        <v>3952</v>
      </c>
      <c r="L94" s="23">
        <v>21.0</v>
      </c>
      <c r="M94" s="22" t="s">
        <v>3097</v>
      </c>
      <c r="N94" s="22" t="s">
        <v>3099</v>
      </c>
      <c r="O94" s="22" t="s">
        <v>45</v>
      </c>
      <c r="P94" s="22" t="s">
        <v>45</v>
      </c>
      <c r="Q94" s="22" t="s">
        <v>45</v>
      </c>
      <c r="R94" s="22" t="s">
        <v>49</v>
      </c>
      <c r="S94" s="22" t="s">
        <v>45</v>
      </c>
      <c r="T94" s="22" t="s">
        <v>2002</v>
      </c>
      <c r="U94" s="22" t="s">
        <v>45</v>
      </c>
      <c r="V94" s="22" t="s">
        <v>45</v>
      </c>
      <c r="W94" s="22" t="s">
        <v>5950</v>
      </c>
    </row>
    <row r="95" ht="45.0" customHeight="1">
      <c r="A95" s="55" t="s">
        <v>454</v>
      </c>
      <c r="B95" s="62" t="s">
        <v>5951</v>
      </c>
      <c r="C95" s="22" t="str">
        <f>IMAGE("https://raw.githubusercontent.com/ltdimages/images/refs/heads/main/ClothAccessoryBackMusicalNote_00.png")</f>
        <v/>
      </c>
      <c r="D95" s="22" t="str">
        <f>IMAGE("https://raw.githubusercontent.com/ltdimages/images/refs/heads/main/ClothAccessoryBackMusicalNote_01.png")</f>
        <v/>
      </c>
      <c r="E95" s="22" t="s">
        <v>3095</v>
      </c>
      <c r="F95" s="22" t="s">
        <v>3095</v>
      </c>
      <c r="G95" s="22" t="s">
        <v>3095</v>
      </c>
      <c r="H95" s="22" t="s">
        <v>3095</v>
      </c>
      <c r="I95" s="22" t="s">
        <v>3095</v>
      </c>
      <c r="J95" s="22" t="s">
        <v>3095</v>
      </c>
      <c r="K95" s="63" t="s">
        <v>3952</v>
      </c>
      <c r="L95" s="23">
        <v>23.0</v>
      </c>
      <c r="M95" s="22" t="s">
        <v>3097</v>
      </c>
      <c r="N95" s="22" t="s">
        <v>3099</v>
      </c>
      <c r="O95" s="22" t="s">
        <v>45</v>
      </c>
      <c r="P95" s="22" t="s">
        <v>45</v>
      </c>
      <c r="Q95" s="22" t="s">
        <v>45</v>
      </c>
      <c r="R95" s="22" t="s">
        <v>49</v>
      </c>
      <c r="S95" s="22" t="s">
        <v>45</v>
      </c>
      <c r="T95" s="22" t="s">
        <v>2002</v>
      </c>
      <c r="U95" s="22" t="s">
        <v>45</v>
      </c>
      <c r="V95" s="22" t="s">
        <v>45</v>
      </c>
      <c r="W95" s="22" t="s">
        <v>5952</v>
      </c>
    </row>
    <row r="96" ht="45.0" customHeight="1">
      <c r="A96" s="55" t="s">
        <v>459</v>
      </c>
      <c r="B96" s="62" t="s">
        <v>4249</v>
      </c>
      <c r="C96" s="22" t="str">
        <f>IMAGE("https://raw.githubusercontent.com/ltdimages/images/refs/heads/main/ClothAccessoryBackRose_00.png")</f>
        <v/>
      </c>
      <c r="D96" s="22" t="str">
        <f>IMAGE("https://raw.githubusercontent.com/ltdimages/images/refs/heads/main/ClothAccessoryBackRose_01.png")</f>
        <v/>
      </c>
      <c r="E96" s="22" t="str">
        <f>IMAGE("https://raw.githubusercontent.com/ltdimages/images/refs/heads/main/ClothAccessoryBackRose_02.png")</f>
        <v/>
      </c>
      <c r="F96" s="22" t="str">
        <f>IMAGE("https://raw.githubusercontent.com/ltdimages/images/refs/heads/main/ClothAccessoryBackRose_03.png")</f>
        <v/>
      </c>
      <c r="G96" s="22" t="str">
        <f>IMAGE("https://raw.githubusercontent.com/ltdimages/images/refs/heads/main/ClothAccessoryBackRose_04.png")</f>
        <v/>
      </c>
      <c r="H96" s="22" t="str">
        <f>IMAGE("https://raw.githubusercontent.com/ltdimages/images/refs/heads/main/ClothAccessoryBackRose_05.png")</f>
        <v/>
      </c>
      <c r="I96" s="22" t="str">
        <f>IMAGE("https://raw.githubusercontent.com/ltdimages/images/refs/heads/main/ClothAccessoryBackRose_06.png")</f>
        <v/>
      </c>
      <c r="J96" s="22" t="str">
        <f>IMAGE("https://raw.githubusercontent.com/ltdimages/images/refs/heads/main/ClothAccessoryBackRose_07.png")</f>
        <v/>
      </c>
      <c r="K96" s="63" t="s">
        <v>3952</v>
      </c>
      <c r="L96" s="23">
        <v>17.0</v>
      </c>
      <c r="M96" s="22" t="s">
        <v>3097</v>
      </c>
      <c r="N96" s="22" t="s">
        <v>3099</v>
      </c>
      <c r="O96" s="22" t="s">
        <v>45</v>
      </c>
      <c r="P96" s="22" t="s">
        <v>45</v>
      </c>
      <c r="Q96" s="22" t="s">
        <v>45</v>
      </c>
      <c r="R96" s="22" t="s">
        <v>49</v>
      </c>
      <c r="S96" s="22" t="s">
        <v>45</v>
      </c>
      <c r="T96" s="22" t="s">
        <v>2002</v>
      </c>
      <c r="U96" s="22" t="s">
        <v>45</v>
      </c>
      <c r="V96" s="22" t="s">
        <v>45</v>
      </c>
      <c r="W96" s="22" t="s">
        <v>5953</v>
      </c>
    </row>
    <row r="97" ht="45.0" customHeight="1">
      <c r="A97" s="55" t="s">
        <v>463</v>
      </c>
      <c r="B97" s="62" t="s">
        <v>3433</v>
      </c>
      <c r="C97" s="22" t="str">
        <f>IMAGE("https://raw.githubusercontent.com/ltdimages/images/refs/heads/main/ClothAccessoryBackStar_00.png")</f>
        <v/>
      </c>
      <c r="D97" s="22" t="str">
        <f>IMAGE("https://raw.githubusercontent.com/ltdimages/images/refs/heads/main/ClothAccessoryBackStar_01.png")</f>
        <v/>
      </c>
      <c r="E97" s="22" t="str">
        <f>IMAGE("https://raw.githubusercontent.com/ltdimages/images/refs/heads/main/ClothAccessoryBackStar_02.png")</f>
        <v/>
      </c>
      <c r="F97" s="22" t="str">
        <f>IMAGE("https://raw.githubusercontent.com/ltdimages/images/refs/heads/main/ClothAccessoryBackStar_03.png")</f>
        <v/>
      </c>
      <c r="G97" s="22" t="str">
        <f>IMAGE("https://raw.githubusercontent.com/ltdimages/images/refs/heads/main/ClothAccessoryBackStar_04.png")</f>
        <v/>
      </c>
      <c r="H97" s="22" t="str">
        <f>IMAGE("https://raw.githubusercontent.com/ltdimages/images/refs/heads/main/ClothAccessoryBackStar_05.png")</f>
        <v/>
      </c>
      <c r="I97" s="22" t="s">
        <v>3095</v>
      </c>
      <c r="J97" s="22" t="s">
        <v>3095</v>
      </c>
      <c r="K97" s="63" t="s">
        <v>3952</v>
      </c>
      <c r="L97" s="23">
        <v>17.0</v>
      </c>
      <c r="M97" s="22" t="s">
        <v>3097</v>
      </c>
      <c r="N97" s="22" t="s">
        <v>3099</v>
      </c>
      <c r="O97" s="22" t="s">
        <v>45</v>
      </c>
      <c r="P97" s="22" t="s">
        <v>45</v>
      </c>
      <c r="Q97" s="22" t="s">
        <v>45</v>
      </c>
      <c r="R97" s="22" t="s">
        <v>49</v>
      </c>
      <c r="S97" s="22" t="s">
        <v>45</v>
      </c>
      <c r="T97" s="22" t="s">
        <v>2002</v>
      </c>
      <c r="U97" s="22" t="s">
        <v>45</v>
      </c>
      <c r="V97" s="22" t="s">
        <v>45</v>
      </c>
      <c r="W97" s="22" t="s">
        <v>5954</v>
      </c>
    </row>
    <row r="98" ht="45.0" customHeight="1">
      <c r="A98" s="55" t="s">
        <v>467</v>
      </c>
      <c r="B98" s="62" t="s">
        <v>4191</v>
      </c>
      <c r="C98" s="22" t="str">
        <f>IMAGE("https://raw.githubusercontent.com/ltdimages/images/refs/heads/main/ClothAccessoryBackAxe_00.png")</f>
        <v/>
      </c>
      <c r="D98" s="22" t="str">
        <f>IMAGE("https://raw.githubusercontent.com/ltdimages/images/refs/heads/main/ClothAccessoryBackAxe_01.png")</f>
        <v/>
      </c>
      <c r="E98" s="22" t="str">
        <f>IMAGE("https://raw.githubusercontent.com/ltdimages/images/refs/heads/main/ClothAccessoryBackAxe_02.png")</f>
        <v/>
      </c>
      <c r="F98" s="22" t="s">
        <v>3095</v>
      </c>
      <c r="G98" s="22" t="s">
        <v>3095</v>
      </c>
      <c r="H98" s="22" t="s">
        <v>3095</v>
      </c>
      <c r="I98" s="22" t="s">
        <v>3095</v>
      </c>
      <c r="J98" s="22" t="s">
        <v>3095</v>
      </c>
      <c r="K98" s="63" t="s">
        <v>3952</v>
      </c>
      <c r="L98" s="23">
        <v>100.0</v>
      </c>
      <c r="M98" s="22" t="s">
        <v>3097</v>
      </c>
      <c r="N98" s="22" t="s">
        <v>3099</v>
      </c>
      <c r="O98" s="22" t="s">
        <v>45</v>
      </c>
      <c r="P98" s="22" t="s">
        <v>45</v>
      </c>
      <c r="Q98" s="22" t="s">
        <v>45</v>
      </c>
      <c r="R98" s="22" t="s">
        <v>49</v>
      </c>
      <c r="S98" s="22" t="s">
        <v>45</v>
      </c>
      <c r="T98" s="22" t="s">
        <v>2002</v>
      </c>
      <c r="U98" s="22" t="s">
        <v>45</v>
      </c>
      <c r="V98" s="22" t="s">
        <v>45</v>
      </c>
      <c r="W98" s="22" t="s">
        <v>5955</v>
      </c>
    </row>
    <row r="99" ht="45.0" customHeight="1">
      <c r="A99" s="55" t="s">
        <v>471</v>
      </c>
      <c r="B99" s="62" t="s">
        <v>5956</v>
      </c>
      <c r="C99" s="22" t="str">
        <f>IMAGE("https://raw.githubusercontent.com/ltdimages/images/refs/heads/main/ClothAccessoryBackBow_00.png")</f>
        <v/>
      </c>
      <c r="D99" s="22" t="str">
        <f>IMAGE("https://raw.githubusercontent.com/ltdimages/images/refs/heads/main/ClothAccessoryBackBow_01.png")</f>
        <v/>
      </c>
      <c r="E99" s="22" t="str">
        <f>IMAGE("https://raw.githubusercontent.com/ltdimages/images/refs/heads/main/ClothAccessoryBackBow_02.png")</f>
        <v/>
      </c>
      <c r="F99" s="22" t="str">
        <f>IMAGE("https://raw.githubusercontent.com/ltdimages/images/refs/heads/main/ClothAccessoryBackBow_03.png")</f>
        <v/>
      </c>
      <c r="G99" s="22" t="s">
        <v>3095</v>
      </c>
      <c r="H99" s="22" t="s">
        <v>3095</v>
      </c>
      <c r="I99" s="22" t="s">
        <v>3095</v>
      </c>
      <c r="J99" s="22" t="s">
        <v>3095</v>
      </c>
      <c r="K99" s="63" t="s">
        <v>3952</v>
      </c>
      <c r="L99" s="23">
        <v>98.0</v>
      </c>
      <c r="M99" s="22" t="s">
        <v>3097</v>
      </c>
      <c r="N99" s="22" t="s">
        <v>3099</v>
      </c>
      <c r="O99" s="22" t="s">
        <v>45</v>
      </c>
      <c r="P99" s="22" t="s">
        <v>45</v>
      </c>
      <c r="Q99" s="22" t="s">
        <v>45</v>
      </c>
      <c r="R99" s="22" t="s">
        <v>49</v>
      </c>
      <c r="S99" s="22" t="s">
        <v>45</v>
      </c>
      <c r="T99" s="22" t="s">
        <v>2002</v>
      </c>
      <c r="U99" s="22" t="s">
        <v>45</v>
      </c>
      <c r="V99" s="22" t="s">
        <v>45</v>
      </c>
      <c r="W99" s="22" t="s">
        <v>5957</v>
      </c>
    </row>
    <row r="100" ht="45.0" customHeight="1">
      <c r="A100" s="55" t="s">
        <v>475</v>
      </c>
      <c r="B100" s="62" t="s">
        <v>5958</v>
      </c>
      <c r="C100" s="22" t="str">
        <f>IMAGE("https://raw.githubusercontent.com/ltdimages/images/refs/heads/main/ClothAccessoryBackBigSword_00.png")</f>
        <v/>
      </c>
      <c r="D100" s="22" t="str">
        <f>IMAGE("https://raw.githubusercontent.com/ltdimages/images/refs/heads/main/ClothAccessoryBackBigSword_01.png")</f>
        <v/>
      </c>
      <c r="E100" s="22" t="str">
        <f>IMAGE("https://raw.githubusercontent.com/ltdimages/images/refs/heads/main/ClothAccessoryBackBigSword_02.png")</f>
        <v/>
      </c>
      <c r="F100" s="22" t="str">
        <f>IMAGE("https://raw.githubusercontent.com/ltdimages/images/refs/heads/main/ClothAccessoryBackBigSword_03.png")</f>
        <v/>
      </c>
      <c r="G100" s="22" t="s">
        <v>3095</v>
      </c>
      <c r="H100" s="22" t="s">
        <v>3095</v>
      </c>
      <c r="I100" s="22" t="s">
        <v>3095</v>
      </c>
      <c r="J100" s="22" t="s">
        <v>3095</v>
      </c>
      <c r="K100" s="63" t="s">
        <v>3952</v>
      </c>
      <c r="L100" s="23">
        <v>200.0</v>
      </c>
      <c r="M100" s="22" t="s">
        <v>3097</v>
      </c>
      <c r="N100" s="22" t="s">
        <v>3099</v>
      </c>
      <c r="O100" s="22" t="s">
        <v>45</v>
      </c>
      <c r="P100" s="22" t="s">
        <v>45</v>
      </c>
      <c r="Q100" s="22" t="s">
        <v>45</v>
      </c>
      <c r="R100" s="22" t="s">
        <v>49</v>
      </c>
      <c r="S100" s="22" t="s">
        <v>45</v>
      </c>
      <c r="T100" s="22" t="s">
        <v>2002</v>
      </c>
      <c r="U100" s="22" t="s">
        <v>45</v>
      </c>
      <c r="V100" s="22" t="s">
        <v>45</v>
      </c>
      <c r="W100" s="22" t="s">
        <v>5959</v>
      </c>
    </row>
    <row r="101" ht="45.0" customHeight="1">
      <c r="A101" s="55" t="s">
        <v>479</v>
      </c>
      <c r="B101" s="62" t="s">
        <v>5960</v>
      </c>
      <c r="C101" s="22" t="str">
        <f>IMAGE("https://raw.githubusercontent.com/ltdimages/images/refs/heads/main/ClothAccessoryBackGuitarCase_00.png")</f>
        <v/>
      </c>
      <c r="D101" s="22" t="str">
        <f>IMAGE("https://raw.githubusercontent.com/ltdimages/images/refs/heads/main/ClothAccessoryBackGuitarCase_01.png")</f>
        <v/>
      </c>
      <c r="E101" s="22" t="str">
        <f>IMAGE("https://raw.githubusercontent.com/ltdimages/images/refs/heads/main/ClothAccessoryBackGuitarCase_02.png")</f>
        <v/>
      </c>
      <c r="F101" s="22" t="str">
        <f>IMAGE("https://raw.githubusercontent.com/ltdimages/images/refs/heads/main/ClothAccessoryBackGuitarCase_03.png")</f>
        <v/>
      </c>
      <c r="G101" s="22" t="str">
        <f>IMAGE("https://raw.githubusercontent.com/ltdimages/images/refs/heads/main/ClothAccessoryBackGuitarCase_04.png")</f>
        <v/>
      </c>
      <c r="H101" s="22" t="str">
        <f>IMAGE("https://raw.githubusercontent.com/ltdimages/images/refs/heads/main/ClothAccessoryBackGuitarCase_05.png")</f>
        <v/>
      </c>
      <c r="I101" s="22" t="s">
        <v>3095</v>
      </c>
      <c r="J101" s="22" t="s">
        <v>3095</v>
      </c>
      <c r="K101" s="63" t="s">
        <v>3952</v>
      </c>
      <c r="L101" s="23">
        <v>15.0</v>
      </c>
      <c r="M101" s="22" t="s">
        <v>3097</v>
      </c>
      <c r="N101" s="22" t="s">
        <v>3099</v>
      </c>
      <c r="O101" s="22" t="s">
        <v>45</v>
      </c>
      <c r="P101" s="22" t="s">
        <v>45</v>
      </c>
      <c r="Q101" s="22" t="s">
        <v>45</v>
      </c>
      <c r="R101" s="22" t="s">
        <v>45</v>
      </c>
      <c r="S101" s="22" t="s">
        <v>45</v>
      </c>
      <c r="T101" s="22" t="s">
        <v>2002</v>
      </c>
      <c r="U101" s="22" t="s">
        <v>45</v>
      </c>
      <c r="V101" s="22" t="s">
        <v>45</v>
      </c>
      <c r="W101" s="22" t="s">
        <v>5961</v>
      </c>
    </row>
    <row r="102" ht="45.0" customHeight="1">
      <c r="A102" s="55" t="s">
        <v>483</v>
      </c>
      <c r="B102" s="62" t="s">
        <v>4498</v>
      </c>
      <c r="C102" s="22" t="str">
        <f>IMAGE("https://raw.githubusercontent.com/ltdimages/images/refs/heads/main/ClothAccessoryBackMagicalStick_00.png")</f>
        <v/>
      </c>
      <c r="D102" s="22" t="str">
        <f>IMAGE("https://raw.githubusercontent.com/ltdimages/images/refs/heads/main/ClothAccessoryBackMagicalStick_01.png")</f>
        <v/>
      </c>
      <c r="E102" s="22" t="str">
        <f>IMAGE("https://raw.githubusercontent.com/ltdimages/images/refs/heads/main/ClothAccessoryBackMagicalStick_02.png")</f>
        <v/>
      </c>
      <c r="F102" s="22" t="str">
        <f>IMAGE("https://raw.githubusercontent.com/ltdimages/images/refs/heads/main/ClothAccessoryBackMagicalStick_03.png")</f>
        <v/>
      </c>
      <c r="G102" s="22" t="str">
        <f>IMAGE("https://raw.githubusercontent.com/ltdimages/images/refs/heads/main/ClothAccessoryBackMagicalStick_04.png")</f>
        <v/>
      </c>
      <c r="H102" s="22" t="str">
        <f>IMAGE("https://raw.githubusercontent.com/ltdimages/images/refs/heads/main/ClothAccessoryBackMagicalStick_05.png")</f>
        <v/>
      </c>
      <c r="I102" s="22" t="str">
        <f>IMAGE("https://raw.githubusercontent.com/ltdimages/images/refs/heads/main/ClothAccessoryBackMagicalStick_06.png")</f>
        <v/>
      </c>
      <c r="J102" s="22" t="str">
        <f>IMAGE("https://raw.githubusercontent.com/ltdimages/images/refs/heads/main/ClothAccessoryBackMagicalStick_07.png")</f>
        <v/>
      </c>
      <c r="K102" s="63" t="s">
        <v>3952</v>
      </c>
      <c r="L102" s="23">
        <v>24.5</v>
      </c>
      <c r="M102" s="22" t="s">
        <v>3097</v>
      </c>
      <c r="N102" s="22" t="s">
        <v>3099</v>
      </c>
      <c r="O102" s="22" t="s">
        <v>45</v>
      </c>
      <c r="P102" s="22" t="s">
        <v>45</v>
      </c>
      <c r="Q102" s="22" t="s">
        <v>45</v>
      </c>
      <c r="R102" s="22" t="s">
        <v>49</v>
      </c>
      <c r="S102" s="22" t="s">
        <v>45</v>
      </c>
      <c r="T102" s="22" t="s">
        <v>2002</v>
      </c>
      <c r="U102" s="22" t="s">
        <v>45</v>
      </c>
      <c r="V102" s="22" t="s">
        <v>45</v>
      </c>
      <c r="W102" s="22" t="s">
        <v>5962</v>
      </c>
    </row>
    <row r="103" ht="45.0" customHeight="1">
      <c r="A103" s="55" t="s">
        <v>488</v>
      </c>
      <c r="B103" s="62" t="s">
        <v>3758</v>
      </c>
      <c r="C103" s="22" t="str">
        <f>IMAGE("https://raw.githubusercontent.com/ltdimages/images/refs/heads/main/ClothAccessoryBackKatana_00.png")</f>
        <v/>
      </c>
      <c r="D103" s="22" t="str">
        <f>IMAGE("https://raw.githubusercontent.com/ltdimages/images/refs/heads/main/ClothAccessoryBackKatana_01.png")</f>
        <v/>
      </c>
      <c r="E103" s="22" t="str">
        <f>IMAGE("https://raw.githubusercontent.com/ltdimages/images/refs/heads/main/ClothAccessoryBackKatana_02.png")</f>
        <v/>
      </c>
      <c r="F103" s="22" t="str">
        <f>IMAGE("https://raw.githubusercontent.com/ltdimages/images/refs/heads/main/ClothAccessoryBackKatana_03.png")</f>
        <v/>
      </c>
      <c r="G103" s="22" t="str">
        <f>IMAGE("https://raw.githubusercontent.com/ltdimages/images/refs/heads/main/ClothAccessoryBackKatana_04.png")</f>
        <v/>
      </c>
      <c r="H103" s="22" t="str">
        <f>IMAGE("https://raw.githubusercontent.com/ltdimages/images/refs/heads/main/ClothAccessoryBackKatana_05.png")</f>
        <v/>
      </c>
      <c r="I103" s="22" t="s">
        <v>3095</v>
      </c>
      <c r="J103" s="22" t="s">
        <v>3095</v>
      </c>
      <c r="K103" s="63" t="s">
        <v>3952</v>
      </c>
      <c r="L103" s="23">
        <v>100.0</v>
      </c>
      <c r="M103" s="22" t="s">
        <v>3097</v>
      </c>
      <c r="N103" s="22" t="s">
        <v>3099</v>
      </c>
      <c r="O103" s="22" t="s">
        <v>45</v>
      </c>
      <c r="P103" s="22" t="s">
        <v>45</v>
      </c>
      <c r="Q103" s="22" t="s">
        <v>45</v>
      </c>
      <c r="R103" s="22" t="s">
        <v>49</v>
      </c>
      <c r="S103" s="22" t="s">
        <v>45</v>
      </c>
      <c r="T103" s="22" t="s">
        <v>2002</v>
      </c>
      <c r="U103" s="22" t="s">
        <v>45</v>
      </c>
      <c r="V103" s="22" t="s">
        <v>45</v>
      </c>
      <c r="W103" s="22" t="s">
        <v>5963</v>
      </c>
    </row>
    <row r="104" ht="45.0" customHeight="1">
      <c r="A104" s="55" t="s">
        <v>492</v>
      </c>
      <c r="B104" s="62" t="s">
        <v>3570</v>
      </c>
      <c r="C104" s="22" t="str">
        <f>IMAGE("https://raw.githubusercontent.com/ltdimages/images/refs/heads/main/ClothAccessoryBackSword_00.png")</f>
        <v/>
      </c>
      <c r="D104" s="22" t="str">
        <f>IMAGE("https://raw.githubusercontent.com/ltdimages/images/refs/heads/main/ClothAccessoryBackSword_01.png")</f>
        <v/>
      </c>
      <c r="E104" s="22" t="str">
        <f>IMAGE("https://raw.githubusercontent.com/ltdimages/images/refs/heads/main/ClothAccessoryBackSword_02.png")</f>
        <v/>
      </c>
      <c r="F104" s="22" t="str">
        <f>IMAGE("https://raw.githubusercontent.com/ltdimages/images/refs/heads/main/ClothAccessoryBackSword_03.png")</f>
        <v/>
      </c>
      <c r="G104" s="22" t="s">
        <v>3095</v>
      </c>
      <c r="H104" s="22" t="s">
        <v>3095</v>
      </c>
      <c r="I104" s="22" t="s">
        <v>3095</v>
      </c>
      <c r="J104" s="22" t="s">
        <v>3095</v>
      </c>
      <c r="K104" s="63" t="s">
        <v>3952</v>
      </c>
      <c r="L104" s="23">
        <v>150.0</v>
      </c>
      <c r="M104" s="22" t="s">
        <v>3097</v>
      </c>
      <c r="N104" s="22" t="s">
        <v>3099</v>
      </c>
      <c r="O104" s="22" t="s">
        <v>45</v>
      </c>
      <c r="P104" s="22" t="s">
        <v>45</v>
      </c>
      <c r="Q104" s="22" t="s">
        <v>45</v>
      </c>
      <c r="R104" s="22" t="s">
        <v>49</v>
      </c>
      <c r="S104" s="22" t="s">
        <v>45</v>
      </c>
      <c r="T104" s="22" t="s">
        <v>2002</v>
      </c>
      <c r="U104" s="22" t="s">
        <v>45</v>
      </c>
      <c r="V104" s="22" t="s">
        <v>45</v>
      </c>
      <c r="W104" s="22" t="s">
        <v>5964</v>
      </c>
    </row>
    <row r="105" ht="45.0" customHeight="1">
      <c r="A105" s="55" t="s">
        <v>496</v>
      </c>
      <c r="B105" s="62" t="s">
        <v>3924</v>
      </c>
      <c r="C105" s="22" t="str">
        <f>IMAGE("https://raw.githubusercontent.com/ltdimages/images/refs/heads/main/ClothAccessoryBackStaff_00.png")</f>
        <v/>
      </c>
      <c r="D105" s="22" t="str">
        <f>IMAGE("https://raw.githubusercontent.com/ltdimages/images/refs/heads/main/ClothAccessoryBackStaff_01.png")</f>
        <v/>
      </c>
      <c r="E105" s="22" t="str">
        <f>IMAGE("https://raw.githubusercontent.com/ltdimages/images/refs/heads/main/ClothAccessoryBackStaff_02.png")</f>
        <v/>
      </c>
      <c r="F105" s="22" t="s">
        <v>3095</v>
      </c>
      <c r="G105" s="22" t="s">
        <v>3095</v>
      </c>
      <c r="H105" s="22" t="s">
        <v>3095</v>
      </c>
      <c r="I105" s="22" t="s">
        <v>3095</v>
      </c>
      <c r="J105" s="22" t="s">
        <v>3095</v>
      </c>
      <c r="K105" s="63" t="s">
        <v>3952</v>
      </c>
      <c r="L105" s="23">
        <v>30.0</v>
      </c>
      <c r="M105" s="22" t="s">
        <v>3097</v>
      </c>
      <c r="N105" s="22" t="s">
        <v>3099</v>
      </c>
      <c r="O105" s="22" t="s">
        <v>45</v>
      </c>
      <c r="P105" s="22" t="s">
        <v>45</v>
      </c>
      <c r="Q105" s="22" t="s">
        <v>45</v>
      </c>
      <c r="R105" s="22" t="s">
        <v>49</v>
      </c>
      <c r="S105" s="22" t="s">
        <v>45</v>
      </c>
      <c r="T105" s="22" t="s">
        <v>2002</v>
      </c>
      <c r="U105" s="22" t="s">
        <v>45</v>
      </c>
      <c r="V105" s="22" t="s">
        <v>45</v>
      </c>
      <c r="W105" s="22" t="s">
        <v>5965</v>
      </c>
    </row>
    <row r="106" ht="45.0" customHeight="1">
      <c r="A106" s="55" t="s">
        <v>500</v>
      </c>
      <c r="B106" s="62" t="s">
        <v>5966</v>
      </c>
      <c r="C106" s="22" t="str">
        <f>IMAGE("https://raw.githubusercontent.com/ltdimages/images/refs/heads/main/ClothAccessoryBackScythe_00.png")</f>
        <v/>
      </c>
      <c r="D106" s="22" t="s">
        <v>3095</v>
      </c>
      <c r="E106" s="22" t="s">
        <v>3095</v>
      </c>
      <c r="F106" s="22" t="s">
        <v>3095</v>
      </c>
      <c r="G106" s="22" t="s">
        <v>3095</v>
      </c>
      <c r="H106" s="22" t="s">
        <v>3095</v>
      </c>
      <c r="I106" s="22" t="s">
        <v>3095</v>
      </c>
      <c r="J106" s="22" t="s">
        <v>3095</v>
      </c>
      <c r="K106" s="63" t="s">
        <v>3952</v>
      </c>
      <c r="L106" s="23">
        <v>150.0</v>
      </c>
      <c r="M106" s="22" t="s">
        <v>3097</v>
      </c>
      <c r="N106" s="22" t="s">
        <v>3099</v>
      </c>
      <c r="O106" s="22" t="s">
        <v>45</v>
      </c>
      <c r="P106" s="22" t="s">
        <v>45</v>
      </c>
      <c r="Q106" s="22" t="s">
        <v>45</v>
      </c>
      <c r="R106" s="22" t="s">
        <v>49</v>
      </c>
      <c r="S106" s="22" t="s">
        <v>45</v>
      </c>
      <c r="T106" s="22" t="s">
        <v>2002</v>
      </c>
      <c r="U106" s="22" t="s">
        <v>45</v>
      </c>
      <c r="V106" s="22" t="s">
        <v>45</v>
      </c>
      <c r="W106" s="22" t="s">
        <v>5967</v>
      </c>
    </row>
    <row r="107" ht="45.0" customHeight="1">
      <c r="A107" s="55" t="s">
        <v>504</v>
      </c>
      <c r="B107" s="62" t="s">
        <v>5968</v>
      </c>
      <c r="C107" s="22" t="str">
        <f>IMAGE("https://raw.githubusercontent.com/ltdimages/images/refs/heads/main/ClothAccessoryBackShuriken_00.png")</f>
        <v/>
      </c>
      <c r="D107" s="22" t="str">
        <f>IMAGE("https://raw.githubusercontent.com/ltdimages/images/refs/heads/main/ClothAccessoryBackShuriken_01.png")</f>
        <v/>
      </c>
      <c r="E107" s="22" t="s">
        <v>3095</v>
      </c>
      <c r="F107" s="22" t="s">
        <v>3095</v>
      </c>
      <c r="G107" s="22" t="s">
        <v>3095</v>
      </c>
      <c r="H107" s="22" t="s">
        <v>3095</v>
      </c>
      <c r="I107" s="22" t="s">
        <v>3095</v>
      </c>
      <c r="J107" s="22" t="s">
        <v>3095</v>
      </c>
      <c r="K107" s="63" t="s">
        <v>3952</v>
      </c>
      <c r="L107" s="23">
        <v>100.0</v>
      </c>
      <c r="M107" s="22" t="s">
        <v>3097</v>
      </c>
      <c r="N107" s="22" t="s">
        <v>3099</v>
      </c>
      <c r="O107" s="22" t="s">
        <v>45</v>
      </c>
      <c r="P107" s="22" t="s">
        <v>45</v>
      </c>
      <c r="Q107" s="22" t="s">
        <v>45</v>
      </c>
      <c r="R107" s="22" t="s">
        <v>49</v>
      </c>
      <c r="S107" s="22" t="s">
        <v>45</v>
      </c>
      <c r="T107" s="22" t="s">
        <v>2002</v>
      </c>
      <c r="U107" s="22" t="s">
        <v>45</v>
      </c>
      <c r="V107" s="22" t="s">
        <v>45</v>
      </c>
      <c r="W107" s="22" t="s">
        <v>5969</v>
      </c>
    </row>
    <row r="108" ht="45.0" customHeight="1">
      <c r="A108" s="55" t="s">
        <v>508</v>
      </c>
      <c r="B108" s="62" t="s">
        <v>5970</v>
      </c>
      <c r="C108" s="22" t="str">
        <f>IMAGE("https://raw.githubusercontent.com/ltdimages/images/refs/heads/main/ClothAccessoryBackTennisRacketCase_00.png")</f>
        <v/>
      </c>
      <c r="D108" s="22" t="str">
        <f>IMAGE("https://raw.githubusercontent.com/ltdimages/images/refs/heads/main/ClothAccessoryBackTennisRacketCase_01.png")</f>
        <v/>
      </c>
      <c r="E108" s="22" t="str">
        <f>IMAGE("https://raw.githubusercontent.com/ltdimages/images/refs/heads/main/ClothAccessoryBackTennisRacketCase_02.png")</f>
        <v/>
      </c>
      <c r="F108" s="22" t="str">
        <f>IMAGE("https://raw.githubusercontent.com/ltdimages/images/refs/heads/main/ClothAccessoryBackTennisRacketCase_03.png")</f>
        <v/>
      </c>
      <c r="G108" s="22" t="str">
        <f>IMAGE("https://raw.githubusercontent.com/ltdimages/images/refs/heads/main/ClothAccessoryBackTennisRacketCase_04.png")</f>
        <v/>
      </c>
      <c r="H108" s="22" t="str">
        <f>IMAGE("https://raw.githubusercontent.com/ltdimages/images/refs/heads/main/ClothAccessoryBackTennisRacketCase_05.png")</f>
        <v/>
      </c>
      <c r="I108" s="22" t="str">
        <f>IMAGE("https://raw.githubusercontent.com/ltdimages/images/refs/heads/main/ClothAccessoryBackTennisRacketCase_06.png")</f>
        <v/>
      </c>
      <c r="J108" s="22" t="str">
        <f>IMAGE("https://raw.githubusercontent.com/ltdimages/images/refs/heads/main/ClothAccessoryBackTennisRacketCase_07.png")</f>
        <v/>
      </c>
      <c r="K108" s="63" t="s">
        <v>3952</v>
      </c>
      <c r="L108" s="23">
        <v>17.0</v>
      </c>
      <c r="M108" s="22" t="s">
        <v>3097</v>
      </c>
      <c r="N108" s="22" t="s">
        <v>3099</v>
      </c>
      <c r="O108" s="22" t="s">
        <v>45</v>
      </c>
      <c r="P108" s="22" t="s">
        <v>45</v>
      </c>
      <c r="Q108" s="22" t="s">
        <v>45</v>
      </c>
      <c r="R108" s="22" t="s">
        <v>45</v>
      </c>
      <c r="S108" s="22" t="s">
        <v>45</v>
      </c>
      <c r="T108" s="22" t="s">
        <v>2002</v>
      </c>
      <c r="U108" s="22" t="s">
        <v>45</v>
      </c>
      <c r="V108" s="22" t="s">
        <v>45</v>
      </c>
      <c r="W108" s="22" t="s">
        <v>5971</v>
      </c>
    </row>
    <row r="109" ht="45.0" customHeight="1">
      <c r="A109" s="55" t="s">
        <v>512</v>
      </c>
      <c r="B109" s="62" t="s">
        <v>5972</v>
      </c>
      <c r="C109" s="22" t="str">
        <f>IMAGE("https://raw.githubusercontent.com/ltdimages/images/refs/heads/main/ClothAccessoryBackCoin_00.png")</f>
        <v/>
      </c>
      <c r="D109" s="22" t="s">
        <v>3095</v>
      </c>
      <c r="E109" s="22" t="s">
        <v>3095</v>
      </c>
      <c r="F109" s="22" t="s">
        <v>3095</v>
      </c>
      <c r="G109" s="22" t="s">
        <v>3095</v>
      </c>
      <c r="H109" s="22" t="s">
        <v>3095</v>
      </c>
      <c r="I109" s="22" t="s">
        <v>3095</v>
      </c>
      <c r="J109" s="22" t="s">
        <v>3095</v>
      </c>
      <c r="K109" s="63" t="s">
        <v>3952</v>
      </c>
      <c r="L109" s="23">
        <v>15.0</v>
      </c>
      <c r="M109" s="22" t="s">
        <v>3097</v>
      </c>
      <c r="N109" s="22" t="s">
        <v>3099</v>
      </c>
      <c r="O109" s="22" t="s">
        <v>45</v>
      </c>
      <c r="P109" s="22" t="s">
        <v>45</v>
      </c>
      <c r="Q109" s="22" t="s">
        <v>45</v>
      </c>
      <c r="R109" s="22" t="s">
        <v>49</v>
      </c>
      <c r="S109" s="22" t="s">
        <v>45</v>
      </c>
      <c r="T109" s="22" t="s">
        <v>2002</v>
      </c>
      <c r="U109" s="22" t="s">
        <v>45</v>
      </c>
      <c r="V109" s="22" t="s">
        <v>45</v>
      </c>
      <c r="W109" s="22" t="s">
        <v>5973</v>
      </c>
    </row>
    <row r="110" ht="45.0" customHeight="1">
      <c r="A110" s="55" t="s">
        <v>516</v>
      </c>
      <c r="B110" s="62" t="s">
        <v>5974</v>
      </c>
      <c r="C110" s="22" t="str">
        <f>IMAGE("https://raw.githubusercontent.com/ltdimages/images/refs/heads/main/ClothAccessoryBackEmergencyButton_00.png")</f>
        <v/>
      </c>
      <c r="D110" s="22" t="s">
        <v>3095</v>
      </c>
      <c r="E110" s="22" t="s">
        <v>3095</v>
      </c>
      <c r="F110" s="22" t="s">
        <v>3095</v>
      </c>
      <c r="G110" s="22" t="s">
        <v>3095</v>
      </c>
      <c r="H110" s="22" t="s">
        <v>3095</v>
      </c>
      <c r="I110" s="22" t="s">
        <v>3095</v>
      </c>
      <c r="J110" s="22" t="s">
        <v>3095</v>
      </c>
      <c r="K110" s="63" t="s">
        <v>3952</v>
      </c>
      <c r="L110" s="23">
        <v>10.0</v>
      </c>
      <c r="M110" s="22" t="s">
        <v>3097</v>
      </c>
      <c r="N110" s="22" t="s">
        <v>3099</v>
      </c>
      <c r="O110" s="22" t="s">
        <v>45</v>
      </c>
      <c r="P110" s="22" t="s">
        <v>45</v>
      </c>
      <c r="Q110" s="22" t="s">
        <v>45</v>
      </c>
      <c r="R110" s="22" t="s">
        <v>49</v>
      </c>
      <c r="S110" s="22" t="s">
        <v>45</v>
      </c>
      <c r="T110" s="22" t="s">
        <v>2002</v>
      </c>
      <c r="U110" s="22" t="s">
        <v>45</v>
      </c>
      <c r="V110" s="22" t="s">
        <v>45</v>
      </c>
      <c r="W110" s="22" t="s">
        <v>5975</v>
      </c>
    </row>
    <row r="111" ht="45.0" customHeight="1">
      <c r="A111" s="55" t="s">
        <v>521</v>
      </c>
      <c r="B111" s="62" t="s">
        <v>4011</v>
      </c>
      <c r="C111" s="22" t="str">
        <f>IMAGE("https://raw.githubusercontent.com/ltdimages/images/refs/heads/main/ClothAccessoryBackOxygen_00.png")</f>
        <v/>
      </c>
      <c r="D111" s="22" t="str">
        <f>IMAGE("https://raw.githubusercontent.com/ltdimages/images/refs/heads/main/ClothAccessoryBackOxygen_01.png")</f>
        <v/>
      </c>
      <c r="E111" s="22" t="str">
        <f>IMAGE("https://raw.githubusercontent.com/ltdimages/images/refs/heads/main/ClothAccessoryBackOxygen_02.png")</f>
        <v/>
      </c>
      <c r="F111" s="22" t="str">
        <f>IMAGE("https://raw.githubusercontent.com/ltdimages/images/refs/heads/main/ClothAccessoryBackOxygen_03.png")</f>
        <v/>
      </c>
      <c r="G111" s="22" t="str">
        <f>IMAGE("https://raw.githubusercontent.com/ltdimages/images/refs/heads/main/ClothAccessoryBackOxygen_04.png")</f>
        <v/>
      </c>
      <c r="H111" s="22" t="str">
        <f>IMAGE("https://raw.githubusercontent.com/ltdimages/images/refs/heads/main/ClothAccessoryBackOxygen_05.png")</f>
        <v/>
      </c>
      <c r="I111" s="22" t="s">
        <v>3095</v>
      </c>
      <c r="J111" s="22" t="s">
        <v>3095</v>
      </c>
      <c r="K111" s="63" t="s">
        <v>3952</v>
      </c>
      <c r="L111" s="23">
        <v>23.0</v>
      </c>
      <c r="M111" s="22" t="s">
        <v>3097</v>
      </c>
      <c r="N111" s="22" t="s">
        <v>3123</v>
      </c>
      <c r="O111" s="22" t="s">
        <v>45</v>
      </c>
      <c r="P111" s="22" t="s">
        <v>45</v>
      </c>
      <c r="Q111" s="22" t="s">
        <v>45</v>
      </c>
      <c r="R111" s="22" t="s">
        <v>45</v>
      </c>
      <c r="S111" s="22" t="s">
        <v>45</v>
      </c>
      <c r="T111" s="22" t="s">
        <v>2002</v>
      </c>
      <c r="U111" s="22" t="s">
        <v>45</v>
      </c>
      <c r="V111" s="22" t="s">
        <v>45</v>
      </c>
      <c r="W111" s="22" t="s">
        <v>5976</v>
      </c>
    </row>
    <row r="112" ht="45.0" customHeight="1">
      <c r="A112" s="57" t="s">
        <v>525</v>
      </c>
      <c r="B112" s="62" t="s">
        <v>3930</v>
      </c>
      <c r="C112" s="24" t="str">
        <f>IMAGE("https://raw.githubusercontent.com/ltdimages/images/refs/heads/main/ClothAccessoryBackSamba_00.png")</f>
        <v/>
      </c>
      <c r="D112" s="24" t="str">
        <f>IMAGE("https://raw.githubusercontent.com/ltdimages/images/refs/heads/main/ClothAccessoryBackSamba_01.png")</f>
        <v/>
      </c>
      <c r="E112" s="24" t="str">
        <f>IMAGE("https://raw.githubusercontent.com/ltdimages/images/refs/heads/main/ClothAccessoryBackSamba_02.png")</f>
        <v/>
      </c>
      <c r="F112" s="24" t="str">
        <f>IMAGE("https://raw.githubusercontent.com/ltdimages/images/refs/heads/main/ClothAccessoryBackSamba_03.png")</f>
        <v/>
      </c>
      <c r="G112" s="24" t="str">
        <f>IMAGE("https://raw.githubusercontent.com/ltdimages/images/refs/heads/main/ClothAccessoryBackSamba_04.png")</f>
        <v/>
      </c>
      <c r="H112" s="24" t="str">
        <f>IMAGE("https://raw.githubusercontent.com/ltdimages/images/refs/heads/main/ClothAccessoryBackSamba_05.png")</f>
        <v/>
      </c>
      <c r="I112" s="24" t="str">
        <f>IMAGE("https://raw.githubusercontent.com/ltdimages/images/refs/heads/main/ClothAccessoryBackSamba_06.png")</f>
        <v/>
      </c>
      <c r="J112" s="24" t="str">
        <f>IMAGE("https://raw.githubusercontent.com/ltdimages/images/refs/heads/main/ClothAccessoryBackSamba_07.png")</f>
        <v/>
      </c>
      <c r="K112" s="63" t="s">
        <v>3952</v>
      </c>
      <c r="L112" s="25">
        <v>22.0</v>
      </c>
      <c r="M112" s="24" t="s">
        <v>3097</v>
      </c>
      <c r="N112" s="24" t="s">
        <v>3123</v>
      </c>
      <c r="O112" s="24" t="s">
        <v>45</v>
      </c>
      <c r="P112" s="24" t="s">
        <v>45</v>
      </c>
      <c r="Q112" s="24" t="s">
        <v>45</v>
      </c>
      <c r="R112" s="24" t="s">
        <v>49</v>
      </c>
      <c r="S112" s="24" t="s">
        <v>45</v>
      </c>
      <c r="T112" s="24" t="s">
        <v>2002</v>
      </c>
      <c r="U112" s="24" t="s">
        <v>45</v>
      </c>
      <c r="V112" s="24" t="s">
        <v>45</v>
      </c>
      <c r="W112" s="24" t="s">
        <v>5977</v>
      </c>
    </row>
    <row r="113" ht="45.0" customHeight="1">
      <c r="A113" s="55" t="s">
        <v>529</v>
      </c>
      <c r="B113" s="62" t="s">
        <v>5978</v>
      </c>
      <c r="C113" s="22" t="str">
        <f>IMAGE("https://raw.githubusercontent.com/ltdimages/images/refs/heads/main/ClothAccessoryBackClockwork_00.png")</f>
        <v/>
      </c>
      <c r="D113" s="22" t="s">
        <v>3095</v>
      </c>
      <c r="E113" s="22" t="s">
        <v>3095</v>
      </c>
      <c r="F113" s="22" t="s">
        <v>3095</v>
      </c>
      <c r="G113" s="22" t="s">
        <v>3095</v>
      </c>
      <c r="H113" s="22" t="s">
        <v>3095</v>
      </c>
      <c r="I113" s="22" t="s">
        <v>3095</v>
      </c>
      <c r="J113" s="22" t="s">
        <v>3095</v>
      </c>
      <c r="K113" s="63" t="s">
        <v>3952</v>
      </c>
      <c r="L113" s="23">
        <v>15.5</v>
      </c>
      <c r="M113" s="22" t="s">
        <v>3097</v>
      </c>
      <c r="N113" s="22" t="s">
        <v>3099</v>
      </c>
      <c r="O113" s="22" t="s">
        <v>45</v>
      </c>
      <c r="P113" s="22" t="s">
        <v>45</v>
      </c>
      <c r="Q113" s="22" t="s">
        <v>45</v>
      </c>
      <c r="R113" s="22" t="s">
        <v>49</v>
      </c>
      <c r="S113" s="22" t="s">
        <v>45</v>
      </c>
      <c r="T113" s="22" t="s">
        <v>2002</v>
      </c>
      <c r="U113" s="22" t="s">
        <v>45</v>
      </c>
      <c r="V113" s="22" t="s">
        <v>45</v>
      </c>
      <c r="W113" s="22" t="s">
        <v>5979</v>
      </c>
    </row>
    <row r="114" ht="45.0" customHeight="1">
      <c r="A114" s="55" t="s">
        <v>533</v>
      </c>
      <c r="B114" s="62" t="s">
        <v>5980</v>
      </c>
      <c r="C114" s="22" t="str">
        <f>IMAGE("https://raw.githubusercontent.com/ltdimages/images/refs/heads/main/ClothAccessoryBackZipper_00.png")</f>
        <v/>
      </c>
      <c r="D114" s="22" t="str">
        <f>IMAGE("https://raw.githubusercontent.com/ltdimages/images/refs/heads/main/ClothAccessoryBackZipper_01.png")</f>
        <v/>
      </c>
      <c r="E114" s="22" t="str">
        <f>IMAGE("https://raw.githubusercontent.com/ltdimages/images/refs/heads/main/ClothAccessoryBackZipper_02.png")</f>
        <v/>
      </c>
      <c r="F114" s="22" t="s">
        <v>3095</v>
      </c>
      <c r="G114" s="22" t="s">
        <v>3095</v>
      </c>
      <c r="H114" s="22" t="s">
        <v>3095</v>
      </c>
      <c r="I114" s="22" t="s">
        <v>3095</v>
      </c>
      <c r="J114" s="22" t="s">
        <v>3095</v>
      </c>
      <c r="K114" s="63" t="s">
        <v>3952</v>
      </c>
      <c r="L114" s="23">
        <v>4.5</v>
      </c>
      <c r="M114" s="22" t="s">
        <v>3097</v>
      </c>
      <c r="N114" s="22" t="s">
        <v>3099</v>
      </c>
      <c r="O114" s="22" t="s">
        <v>45</v>
      </c>
      <c r="P114" s="22" t="s">
        <v>45</v>
      </c>
      <c r="Q114" s="22" t="s">
        <v>45</v>
      </c>
      <c r="R114" s="22" t="s">
        <v>49</v>
      </c>
      <c r="S114" s="22" t="s">
        <v>45</v>
      </c>
      <c r="T114" s="22" t="s">
        <v>2002</v>
      </c>
      <c r="U114" s="22" t="s">
        <v>45</v>
      </c>
      <c r="V114" s="22" t="s">
        <v>45</v>
      </c>
      <c r="W114" s="22" t="s">
        <v>5981</v>
      </c>
    </row>
  </sheetData>
  <autoFilter ref="$A$1:$W$114">
    <sortState ref="A1:W114">
      <sortCondition ref="A1:A114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88"/>
    <col customWidth="1" min="2" max="2" width="18.0"/>
    <col customWidth="1" min="3" max="10" width="7.63"/>
    <col customWidth="1" min="11" max="11" width="15.13"/>
    <col customWidth="1" min="12" max="12" width="13.63"/>
    <col customWidth="1" min="13" max="13" width="9.5"/>
    <col customWidth="1" min="14" max="14" width="13.63"/>
    <col customWidth="1" min="15" max="15" width="8.63"/>
    <col customWidth="1" min="16" max="16" width="8.5"/>
    <col customWidth="1" min="17" max="17" width="12.63"/>
    <col customWidth="1" min="18" max="18" width="9.75"/>
    <col customWidth="1" min="19" max="19" width="15.13"/>
    <col customWidth="1" min="20" max="20" width="11.38"/>
    <col customWidth="1" min="21" max="21" width="8.38"/>
    <col customWidth="1" min="22" max="22" width="9.38"/>
    <col customWidth="1" min="23" max="23" width="31.0"/>
    <col customWidth="1" min="24" max="32" width="7.63"/>
  </cols>
  <sheetData>
    <row r="1" ht="31.5" customHeight="1">
      <c r="A1" s="58" t="s">
        <v>23</v>
      </c>
      <c r="B1" s="59" t="s">
        <v>25</v>
      </c>
      <c r="C1" s="60" t="s">
        <v>3059</v>
      </c>
      <c r="D1" s="60" t="s">
        <v>3060</v>
      </c>
      <c r="E1" s="60" t="s">
        <v>3061</v>
      </c>
      <c r="F1" s="60" t="s">
        <v>3062</v>
      </c>
      <c r="G1" s="60" t="s">
        <v>3063</v>
      </c>
      <c r="H1" s="60" t="s">
        <v>3064</v>
      </c>
      <c r="I1" s="60" t="s">
        <v>3065</v>
      </c>
      <c r="J1" s="60" t="s">
        <v>3066</v>
      </c>
      <c r="K1" s="19" t="s">
        <v>1993</v>
      </c>
      <c r="L1" s="19" t="s">
        <v>29</v>
      </c>
      <c r="M1" s="19" t="s">
        <v>3067</v>
      </c>
      <c r="N1" s="19" t="s">
        <v>3069</v>
      </c>
      <c r="O1" s="19" t="s">
        <v>3070</v>
      </c>
      <c r="P1" s="19" t="s">
        <v>3071</v>
      </c>
      <c r="Q1" s="19" t="s">
        <v>3072</v>
      </c>
      <c r="R1" s="19" t="s">
        <v>3073</v>
      </c>
      <c r="S1" s="19" t="s">
        <v>3075</v>
      </c>
      <c r="T1" s="19" t="s">
        <v>4749</v>
      </c>
      <c r="U1" s="19" t="s">
        <v>4750</v>
      </c>
      <c r="V1" s="19" t="s">
        <v>4751</v>
      </c>
      <c r="W1" s="19" t="s">
        <v>40</v>
      </c>
      <c r="X1" s="60" t="s">
        <v>3085</v>
      </c>
      <c r="Y1" s="61" t="s">
        <v>3086</v>
      </c>
      <c r="Z1" s="61" t="s">
        <v>3087</v>
      </c>
      <c r="AA1" s="61" t="s">
        <v>3088</v>
      </c>
      <c r="AB1" s="61" t="s">
        <v>3089</v>
      </c>
      <c r="AC1" s="61" t="s">
        <v>3090</v>
      </c>
      <c r="AD1" s="61" t="s">
        <v>3091</v>
      </c>
      <c r="AE1" s="61" t="s">
        <v>3092</v>
      </c>
      <c r="AF1" s="61" t="s">
        <v>3093</v>
      </c>
    </row>
    <row r="2" ht="45.0" customHeight="1">
      <c r="A2" s="55" t="s">
        <v>41</v>
      </c>
      <c r="B2" s="62" t="s">
        <v>3156</v>
      </c>
      <c r="C2" s="22" t="str">
        <f>IMAGE("https://raw.githubusercontent.com/ltdimages/images/refs/heads/main/ClothSocksOnePoint_00.png")</f>
        <v/>
      </c>
      <c r="D2" s="22" t="str">
        <f>IMAGE("https://raw.githubusercontent.com/ltdimages/images/refs/heads/main/ClothSocksOnePoint_01.png")</f>
        <v/>
      </c>
      <c r="E2" s="22" t="str">
        <f>IMAGE("https://raw.githubusercontent.com/ltdimages/images/refs/heads/main/ClothSocksOnePoint_02.png")</f>
        <v/>
      </c>
      <c r="F2" s="22" t="str">
        <f>IMAGE("https://raw.githubusercontent.com/ltdimages/images/refs/heads/main/ClothSocksOnePoint_03.png")</f>
        <v/>
      </c>
      <c r="G2" s="22" t="s">
        <v>3095</v>
      </c>
      <c r="H2" s="22" t="s">
        <v>3095</v>
      </c>
      <c r="I2" s="22" t="s">
        <v>3095</v>
      </c>
      <c r="J2" s="22" t="s">
        <v>3095</v>
      </c>
      <c r="K2" s="63" t="s">
        <v>5982</v>
      </c>
      <c r="L2" s="23">
        <v>4.7</v>
      </c>
      <c r="M2" s="22" t="s">
        <v>3097</v>
      </c>
      <c r="N2" s="22" t="s">
        <v>3099</v>
      </c>
      <c r="O2" s="22" t="s">
        <v>45</v>
      </c>
      <c r="P2" s="22" t="s">
        <v>45</v>
      </c>
      <c r="Q2" s="22" t="s">
        <v>45</v>
      </c>
      <c r="R2" s="22" t="s">
        <v>45</v>
      </c>
      <c r="S2" s="22" t="s">
        <v>45</v>
      </c>
      <c r="T2" s="22" t="s">
        <v>2002</v>
      </c>
      <c r="U2" s="22" t="s">
        <v>45</v>
      </c>
      <c r="V2" s="22" t="s">
        <v>45</v>
      </c>
      <c r="W2" s="22" t="s">
        <v>5983</v>
      </c>
      <c r="X2" s="22" t="s">
        <v>3095</v>
      </c>
      <c r="Y2" s="22" t="s">
        <v>3095</v>
      </c>
      <c r="Z2" s="22" t="s">
        <v>3095</v>
      </c>
      <c r="AA2" s="22" t="s">
        <v>3095</v>
      </c>
      <c r="AB2" s="22" t="s">
        <v>3095</v>
      </c>
      <c r="AC2" s="22" t="s">
        <v>3095</v>
      </c>
      <c r="AD2" s="22" t="s">
        <v>3095</v>
      </c>
      <c r="AE2" s="22" t="s">
        <v>3095</v>
      </c>
      <c r="AF2" s="22" t="s">
        <v>3095</v>
      </c>
    </row>
    <row r="3" ht="45.0" customHeight="1">
      <c r="A3" s="55" t="s">
        <v>52</v>
      </c>
      <c r="B3" s="62" t="s">
        <v>3193</v>
      </c>
      <c r="C3" s="22" t="str">
        <f>IMAGE("https://raw.githubusercontent.com/ltdimages/images/refs/heads/main/ClothSocksShort_00.png")</f>
        <v/>
      </c>
      <c r="D3" s="22" t="str">
        <f>IMAGE("https://raw.githubusercontent.com/ltdimages/images/refs/heads/main/ClothSocksShort_01.png")</f>
        <v/>
      </c>
      <c r="E3" s="22" t="str">
        <f>IMAGE("https://raw.githubusercontent.com/ltdimages/images/refs/heads/main/ClothSocksShort_02.png")</f>
        <v/>
      </c>
      <c r="F3" s="22" t="str">
        <f>IMAGE("https://raw.githubusercontent.com/ltdimages/images/refs/heads/main/ClothSocksShort_03.png")</f>
        <v/>
      </c>
      <c r="G3" s="22" t="str">
        <f>IMAGE("https://raw.githubusercontent.com/ltdimages/images/refs/heads/main/ClothSocksShort_04.png")</f>
        <v/>
      </c>
      <c r="H3" s="22" t="str">
        <f>IMAGE("https://raw.githubusercontent.com/ltdimages/images/refs/heads/main/ClothSocksShort_05.png")</f>
        <v/>
      </c>
      <c r="I3" s="22" t="str">
        <f>IMAGE("https://raw.githubusercontent.com/ltdimages/images/refs/heads/main/ClothSocksShort_06.png")</f>
        <v/>
      </c>
      <c r="J3" s="22" t="str">
        <f>IMAGE("https://raw.githubusercontent.com/ltdimages/images/refs/heads/main/ClothSocksShort_07.png")</f>
        <v/>
      </c>
      <c r="K3" s="63" t="s">
        <v>5982</v>
      </c>
      <c r="L3" s="23">
        <v>4.8</v>
      </c>
      <c r="M3" s="22" t="s">
        <v>3097</v>
      </c>
      <c r="N3" s="22" t="s">
        <v>3099</v>
      </c>
      <c r="O3" s="22" t="s">
        <v>45</v>
      </c>
      <c r="P3" s="22" t="s">
        <v>45</v>
      </c>
      <c r="Q3" s="22" t="s">
        <v>45</v>
      </c>
      <c r="R3" s="22" t="s">
        <v>45</v>
      </c>
      <c r="S3" s="22" t="s">
        <v>45</v>
      </c>
      <c r="T3" s="22" t="s">
        <v>2002</v>
      </c>
      <c r="U3" s="22" t="s">
        <v>45</v>
      </c>
      <c r="V3" s="22" t="s">
        <v>45</v>
      </c>
      <c r="W3" s="22" t="s">
        <v>5984</v>
      </c>
      <c r="X3" s="22" t="s">
        <v>3095</v>
      </c>
      <c r="Y3" s="22" t="s">
        <v>3095</v>
      </c>
      <c r="Z3" s="22" t="s">
        <v>3095</v>
      </c>
      <c r="AA3" s="22" t="s">
        <v>3095</v>
      </c>
      <c r="AB3" s="22" t="s">
        <v>3095</v>
      </c>
      <c r="AC3" s="22" t="s">
        <v>3095</v>
      </c>
      <c r="AD3" s="22" t="s">
        <v>3095</v>
      </c>
      <c r="AE3" s="22" t="s">
        <v>3095</v>
      </c>
      <c r="AF3" s="22" t="s">
        <v>3095</v>
      </c>
    </row>
    <row r="4" ht="45.0" customHeight="1">
      <c r="A4" s="55" t="s">
        <v>60</v>
      </c>
      <c r="B4" s="62" t="s">
        <v>5985</v>
      </c>
      <c r="C4" s="22" t="str">
        <f>IMAGE("https://raw.githubusercontent.com/ltdimages/images/refs/heads/main/ClothSocksArgyle_00.png")</f>
        <v/>
      </c>
      <c r="D4" s="22" t="str">
        <f>IMAGE("https://raw.githubusercontent.com/ltdimages/images/refs/heads/main/ClothSocksArgyle_01.png")</f>
        <v/>
      </c>
      <c r="E4" s="22" t="str">
        <f>IMAGE("https://raw.githubusercontent.com/ltdimages/images/refs/heads/main/ClothSocksArgyle_02.png")</f>
        <v/>
      </c>
      <c r="F4" s="22" t="str">
        <f>IMAGE("https://raw.githubusercontent.com/ltdimages/images/refs/heads/main/ClothSocksArgyle_03.png")</f>
        <v/>
      </c>
      <c r="G4" s="22" t="str">
        <f>IMAGE("https://raw.githubusercontent.com/ltdimages/images/refs/heads/main/ClothSocksArgyle_04.png")</f>
        <v/>
      </c>
      <c r="H4" s="22" t="str">
        <f>IMAGE("https://raw.githubusercontent.com/ltdimages/images/refs/heads/main/ClothSocksArgyle_05.png")</f>
        <v/>
      </c>
      <c r="I4" s="22" t="s">
        <v>3095</v>
      </c>
      <c r="J4" s="22" t="s">
        <v>3095</v>
      </c>
      <c r="K4" s="63" t="s">
        <v>5982</v>
      </c>
      <c r="L4" s="23">
        <v>5.5</v>
      </c>
      <c r="M4" s="22" t="s">
        <v>3097</v>
      </c>
      <c r="N4" s="22" t="s">
        <v>3099</v>
      </c>
      <c r="O4" s="22" t="s">
        <v>45</v>
      </c>
      <c r="P4" s="22" t="s">
        <v>45</v>
      </c>
      <c r="Q4" s="22" t="s">
        <v>45</v>
      </c>
      <c r="R4" s="22" t="s">
        <v>45</v>
      </c>
      <c r="S4" s="22" t="s">
        <v>45</v>
      </c>
      <c r="T4" s="22" t="s">
        <v>2002</v>
      </c>
      <c r="U4" s="22" t="s">
        <v>45</v>
      </c>
      <c r="V4" s="22" t="s">
        <v>45</v>
      </c>
      <c r="W4" s="22" t="s">
        <v>5986</v>
      </c>
      <c r="X4" s="22" t="s">
        <v>3095</v>
      </c>
      <c r="Y4" s="22" t="s">
        <v>3095</v>
      </c>
      <c r="Z4" s="22" t="s">
        <v>3095</v>
      </c>
      <c r="AA4" s="22" t="s">
        <v>3095</v>
      </c>
      <c r="AB4" s="22" t="s">
        <v>3095</v>
      </c>
      <c r="AC4" s="22" t="s">
        <v>3095</v>
      </c>
      <c r="AD4" s="22" t="s">
        <v>3095</v>
      </c>
      <c r="AE4" s="22" t="s">
        <v>3095</v>
      </c>
      <c r="AF4" s="22" t="s">
        <v>3095</v>
      </c>
    </row>
    <row r="5" ht="45.0" customHeight="1">
      <c r="A5" s="55" t="s">
        <v>65</v>
      </c>
      <c r="B5" s="62" t="s">
        <v>3986</v>
      </c>
      <c r="C5" s="22" t="str">
        <f>IMAGE("https://raw.githubusercontent.com/ltdimages/images/refs/heads/main/ClothSocksLeggings_00.png")</f>
        <v/>
      </c>
      <c r="D5" s="22" t="str">
        <f>IMAGE("https://raw.githubusercontent.com/ltdimages/images/refs/heads/main/ClothSocksLeggings_01.png")</f>
        <v/>
      </c>
      <c r="E5" s="22" t="str">
        <f>IMAGE("https://raw.githubusercontent.com/ltdimages/images/refs/heads/main/ClothSocksLeggings_02.png")</f>
        <v/>
      </c>
      <c r="F5" s="22" t="str">
        <f>IMAGE("https://raw.githubusercontent.com/ltdimages/images/refs/heads/main/ClothSocksLeggings_03.png")</f>
        <v/>
      </c>
      <c r="G5" s="22" t="str">
        <f>IMAGE("https://raw.githubusercontent.com/ltdimages/images/refs/heads/main/ClothSocksLeggings_04.png")</f>
        <v/>
      </c>
      <c r="H5" s="22" t="str">
        <f>IMAGE("https://raw.githubusercontent.com/ltdimages/images/refs/heads/main/ClothSocksLeggings_05.png")</f>
        <v/>
      </c>
      <c r="I5" s="22" t="str">
        <f>IMAGE("https://raw.githubusercontent.com/ltdimages/images/refs/heads/main/ClothSocksLeggings_06.png")</f>
        <v/>
      </c>
      <c r="J5" s="22" t="str">
        <f>IMAGE("https://raw.githubusercontent.com/ltdimages/images/refs/heads/main/ClothSocksLeggings_07.png")</f>
        <v/>
      </c>
      <c r="K5" s="63" t="s">
        <v>5982</v>
      </c>
      <c r="L5" s="23">
        <v>5.0</v>
      </c>
      <c r="M5" s="22" t="s">
        <v>3097</v>
      </c>
      <c r="N5" s="22" t="s">
        <v>3099</v>
      </c>
      <c r="O5" s="22" t="s">
        <v>45</v>
      </c>
      <c r="P5" s="22" t="s">
        <v>45</v>
      </c>
      <c r="Q5" s="22" t="s">
        <v>45</v>
      </c>
      <c r="R5" s="22" t="s">
        <v>45</v>
      </c>
      <c r="S5" s="22" t="s">
        <v>45</v>
      </c>
      <c r="T5" s="22" t="s">
        <v>2002</v>
      </c>
      <c r="U5" s="22" t="s">
        <v>45</v>
      </c>
      <c r="V5" s="22" t="s">
        <v>45</v>
      </c>
      <c r="W5" s="22" t="s">
        <v>5987</v>
      </c>
      <c r="X5" s="22" t="s">
        <v>3095</v>
      </c>
      <c r="Y5" s="22" t="s">
        <v>3095</v>
      </c>
      <c r="Z5" s="22" t="s">
        <v>3095</v>
      </c>
      <c r="AA5" s="22" t="s">
        <v>3095</v>
      </c>
      <c r="AB5" s="22" t="s">
        <v>3095</v>
      </c>
      <c r="AC5" s="22" t="s">
        <v>3095</v>
      </c>
      <c r="AD5" s="22" t="s">
        <v>3095</v>
      </c>
      <c r="AE5" s="22" t="s">
        <v>3095</v>
      </c>
      <c r="AF5" s="22" t="s">
        <v>3095</v>
      </c>
    </row>
    <row r="6" ht="45.0" customHeight="1">
      <c r="A6" s="55" t="s">
        <v>70</v>
      </c>
      <c r="B6" s="62" t="s">
        <v>3708</v>
      </c>
      <c r="C6" s="22" t="str">
        <f>IMAGE("https://raw.githubusercontent.com/ltdimages/images/refs/heads/main/ClothSocksBlockCheck_00.png")</f>
        <v/>
      </c>
      <c r="D6" s="22" t="str">
        <f>IMAGE("https://raw.githubusercontent.com/ltdimages/images/refs/heads/main/ClothSocksBlockCheck_01.png")</f>
        <v/>
      </c>
      <c r="E6" s="22" t="str">
        <f>IMAGE("https://raw.githubusercontent.com/ltdimages/images/refs/heads/main/ClothSocksBlockCheck_02.png")</f>
        <v/>
      </c>
      <c r="F6" s="22" t="str">
        <f>IMAGE("https://raw.githubusercontent.com/ltdimages/images/refs/heads/main/ClothSocksBlockCheck_03.png")</f>
        <v/>
      </c>
      <c r="G6" s="22" t="s">
        <v>3095</v>
      </c>
      <c r="H6" s="22" t="s">
        <v>3095</v>
      </c>
      <c r="I6" s="22" t="s">
        <v>3095</v>
      </c>
      <c r="J6" s="22" t="s">
        <v>3095</v>
      </c>
      <c r="K6" s="63" t="s">
        <v>5982</v>
      </c>
      <c r="L6" s="23">
        <v>5.5</v>
      </c>
      <c r="M6" s="22" t="s">
        <v>3097</v>
      </c>
      <c r="N6" s="22" t="s">
        <v>3099</v>
      </c>
      <c r="O6" s="22" t="s">
        <v>45</v>
      </c>
      <c r="P6" s="22" t="s">
        <v>45</v>
      </c>
      <c r="Q6" s="22" t="s">
        <v>45</v>
      </c>
      <c r="R6" s="22" t="s">
        <v>45</v>
      </c>
      <c r="S6" s="22" t="s">
        <v>45</v>
      </c>
      <c r="T6" s="22" t="s">
        <v>2002</v>
      </c>
      <c r="U6" s="22" t="s">
        <v>45</v>
      </c>
      <c r="V6" s="22" t="s">
        <v>45</v>
      </c>
      <c r="W6" s="22" t="s">
        <v>5988</v>
      </c>
      <c r="X6" s="22" t="s">
        <v>3095</v>
      </c>
      <c r="Y6" s="22" t="s">
        <v>3095</v>
      </c>
      <c r="Z6" s="22" t="s">
        <v>3095</v>
      </c>
      <c r="AA6" s="22" t="s">
        <v>3095</v>
      </c>
      <c r="AB6" s="22" t="s">
        <v>3095</v>
      </c>
      <c r="AC6" s="22" t="s">
        <v>3095</v>
      </c>
      <c r="AD6" s="22" t="s">
        <v>3095</v>
      </c>
      <c r="AE6" s="22" t="s">
        <v>3095</v>
      </c>
      <c r="AF6" s="22" t="s">
        <v>3095</v>
      </c>
    </row>
    <row r="7" ht="45.0" customHeight="1">
      <c r="A7" s="55" t="s">
        <v>74</v>
      </c>
      <c r="B7" s="62" t="s">
        <v>3773</v>
      </c>
      <c r="C7" s="22" t="str">
        <f>IMAGE("https://raw.githubusercontent.com/ltdimages/images/refs/heads/main/ClothSocksCheckShort_00.png")</f>
        <v/>
      </c>
      <c r="D7" s="22" t="str">
        <f>IMAGE("https://raw.githubusercontent.com/ltdimages/images/refs/heads/main/ClothSocksCheckShort_01.png")</f>
        <v/>
      </c>
      <c r="E7" s="22" t="str">
        <f>IMAGE("https://raw.githubusercontent.com/ltdimages/images/refs/heads/main/ClothSocksCheckShort_02.png")</f>
        <v/>
      </c>
      <c r="F7" s="22" t="str">
        <f>IMAGE("https://raw.githubusercontent.com/ltdimages/images/refs/heads/main/ClothSocksCheckShort_03.png")</f>
        <v/>
      </c>
      <c r="G7" s="22" t="str">
        <f>IMAGE("https://raw.githubusercontent.com/ltdimages/images/refs/heads/main/ClothSocksCheckShort_04.png")</f>
        <v/>
      </c>
      <c r="H7" s="22" t="str">
        <f>IMAGE("https://raw.githubusercontent.com/ltdimages/images/refs/heads/main/ClothSocksCheckShort_05.png")</f>
        <v/>
      </c>
      <c r="I7" s="22" t="str">
        <f>IMAGE("https://raw.githubusercontent.com/ltdimages/images/refs/heads/main/ClothSocksCheckShort_06.png")</f>
        <v/>
      </c>
      <c r="J7" s="22" t="str">
        <f>IMAGE("https://raw.githubusercontent.com/ltdimages/images/refs/heads/main/ClothSocksCheckShort_07.png")</f>
        <v/>
      </c>
      <c r="K7" s="63" t="s">
        <v>5982</v>
      </c>
      <c r="L7" s="23">
        <v>5.2</v>
      </c>
      <c r="M7" s="22" t="s">
        <v>3097</v>
      </c>
      <c r="N7" s="22" t="s">
        <v>3099</v>
      </c>
      <c r="O7" s="22" t="s">
        <v>45</v>
      </c>
      <c r="P7" s="22" t="s">
        <v>45</v>
      </c>
      <c r="Q7" s="22" t="s">
        <v>45</v>
      </c>
      <c r="R7" s="22" t="s">
        <v>45</v>
      </c>
      <c r="S7" s="22" t="s">
        <v>45</v>
      </c>
      <c r="T7" s="22" t="s">
        <v>2002</v>
      </c>
      <c r="U7" s="22" t="s">
        <v>45</v>
      </c>
      <c r="V7" s="22" t="s">
        <v>45</v>
      </c>
      <c r="W7" s="22" t="s">
        <v>5989</v>
      </c>
      <c r="X7" s="22" t="s">
        <v>3095</v>
      </c>
      <c r="Y7" s="22" t="s">
        <v>3095</v>
      </c>
      <c r="Z7" s="22" t="s">
        <v>3095</v>
      </c>
      <c r="AA7" s="22" t="s">
        <v>3095</v>
      </c>
      <c r="AB7" s="22" t="s">
        <v>3095</v>
      </c>
      <c r="AC7" s="22" t="s">
        <v>3095</v>
      </c>
      <c r="AD7" s="22" t="s">
        <v>3095</v>
      </c>
      <c r="AE7" s="22" t="s">
        <v>3095</v>
      </c>
      <c r="AF7" s="22" t="s">
        <v>3095</v>
      </c>
    </row>
    <row r="8" ht="45.0" customHeight="1">
      <c r="A8" s="55" t="s">
        <v>78</v>
      </c>
      <c r="B8" s="62" t="s">
        <v>5990</v>
      </c>
      <c r="C8" s="22" t="str">
        <f>IMAGE("https://raw.githubusercontent.com/ltdimages/images/refs/heads/main/ClothSocksTightsColor_00.png")</f>
        <v/>
      </c>
      <c r="D8" s="22" t="str">
        <f>IMAGE("https://raw.githubusercontent.com/ltdimages/images/refs/heads/main/ClothSocksTightsColor_01.png")</f>
        <v/>
      </c>
      <c r="E8" s="22" t="str">
        <f>IMAGE("https://raw.githubusercontent.com/ltdimages/images/refs/heads/main/ClothSocksTightsColor_02.png")</f>
        <v/>
      </c>
      <c r="F8" s="22" t="str">
        <f>IMAGE("https://raw.githubusercontent.com/ltdimages/images/refs/heads/main/ClothSocksTightsColor_03.png")</f>
        <v/>
      </c>
      <c r="G8" s="22" t="str">
        <f>IMAGE("https://raw.githubusercontent.com/ltdimages/images/refs/heads/main/ClothSocksTightsColor_04.png")</f>
        <v/>
      </c>
      <c r="H8" s="22" t="str">
        <f>IMAGE("https://raw.githubusercontent.com/ltdimages/images/refs/heads/main/ClothSocksTightsColor_05.png")</f>
        <v/>
      </c>
      <c r="I8" s="22" t="str">
        <f>IMAGE("https://raw.githubusercontent.com/ltdimages/images/refs/heads/main/ClothSocksTightsColor_06.png")</f>
        <v/>
      </c>
      <c r="J8" s="22" t="str">
        <f>IMAGE("https://raw.githubusercontent.com/ltdimages/images/refs/heads/main/ClothSocksTightsColor_07.png")</f>
        <v/>
      </c>
      <c r="K8" s="63" t="s">
        <v>5982</v>
      </c>
      <c r="L8" s="23">
        <v>6.0</v>
      </c>
      <c r="M8" s="22" t="s">
        <v>3097</v>
      </c>
      <c r="N8" s="22" t="s">
        <v>3099</v>
      </c>
      <c r="O8" s="22" t="s">
        <v>45</v>
      </c>
      <c r="P8" s="22" t="s">
        <v>45</v>
      </c>
      <c r="Q8" s="22" t="s">
        <v>45</v>
      </c>
      <c r="R8" s="22" t="s">
        <v>45</v>
      </c>
      <c r="S8" s="22" t="s">
        <v>45</v>
      </c>
      <c r="T8" s="22" t="s">
        <v>2002</v>
      </c>
      <c r="U8" s="22" t="s">
        <v>45</v>
      </c>
      <c r="V8" s="22" t="s">
        <v>45</v>
      </c>
      <c r="W8" s="22" t="s">
        <v>5991</v>
      </c>
      <c r="X8" s="22" t="s">
        <v>3095</v>
      </c>
      <c r="Y8" s="22" t="s">
        <v>3095</v>
      </c>
      <c r="Z8" s="22" t="s">
        <v>3095</v>
      </c>
      <c r="AA8" s="22" t="s">
        <v>3095</v>
      </c>
      <c r="AB8" s="22" t="s">
        <v>3095</v>
      </c>
      <c r="AC8" s="22" t="s">
        <v>3095</v>
      </c>
      <c r="AD8" s="22" t="s">
        <v>3095</v>
      </c>
      <c r="AE8" s="22" t="s">
        <v>3095</v>
      </c>
      <c r="AF8" s="22" t="s">
        <v>3095</v>
      </c>
    </row>
    <row r="9" ht="45.0" customHeight="1">
      <c r="A9" s="55" t="s">
        <v>83</v>
      </c>
      <c r="B9" s="62" t="s">
        <v>5992</v>
      </c>
      <c r="C9" s="22" t="str">
        <f>IMAGE("https://raw.githubusercontent.com/ltdimages/images/refs/heads/main/ClothSocksDamage_00.png")</f>
        <v/>
      </c>
      <c r="D9" s="22" t="s">
        <v>3095</v>
      </c>
      <c r="E9" s="22" t="s">
        <v>3095</v>
      </c>
      <c r="F9" s="22" t="s">
        <v>3095</v>
      </c>
      <c r="G9" s="22" t="s">
        <v>3095</v>
      </c>
      <c r="H9" s="22" t="s">
        <v>3095</v>
      </c>
      <c r="I9" s="22" t="s">
        <v>3095</v>
      </c>
      <c r="J9" s="22" t="s">
        <v>3095</v>
      </c>
      <c r="K9" s="63" t="s">
        <v>5982</v>
      </c>
      <c r="L9" s="23">
        <v>3.2</v>
      </c>
      <c r="M9" s="22" t="s">
        <v>3097</v>
      </c>
      <c r="N9" s="22" t="s">
        <v>3099</v>
      </c>
      <c r="O9" s="22" t="s">
        <v>45</v>
      </c>
      <c r="P9" s="22" t="s">
        <v>45</v>
      </c>
      <c r="Q9" s="22" t="s">
        <v>45</v>
      </c>
      <c r="R9" s="22" t="s">
        <v>45</v>
      </c>
      <c r="S9" s="22" t="s">
        <v>45</v>
      </c>
      <c r="T9" s="22" t="s">
        <v>2002</v>
      </c>
      <c r="U9" s="22" t="s">
        <v>45</v>
      </c>
      <c r="V9" s="22" t="s">
        <v>45</v>
      </c>
      <c r="W9" s="22" t="s">
        <v>5993</v>
      </c>
      <c r="X9" s="22" t="s">
        <v>3095</v>
      </c>
      <c r="Y9" s="22" t="s">
        <v>3095</v>
      </c>
      <c r="Z9" s="22" t="s">
        <v>3095</v>
      </c>
      <c r="AA9" s="22" t="s">
        <v>3095</v>
      </c>
      <c r="AB9" s="22" t="s">
        <v>3095</v>
      </c>
      <c r="AC9" s="22" t="s">
        <v>3095</v>
      </c>
      <c r="AD9" s="22" t="s">
        <v>3095</v>
      </c>
      <c r="AE9" s="22" t="s">
        <v>3095</v>
      </c>
      <c r="AF9" s="22" t="s">
        <v>3095</v>
      </c>
    </row>
    <row r="10" ht="45.0" customHeight="1">
      <c r="A10" s="55" t="s">
        <v>89</v>
      </c>
      <c r="B10" s="62" t="s">
        <v>3200</v>
      </c>
      <c r="C10" s="22" t="str">
        <f>IMAGE("https://raw.githubusercontent.com/ltdimages/images/refs/heads/main/ClothSocksTowLine_00.png")</f>
        <v/>
      </c>
      <c r="D10" s="22" t="str">
        <f>IMAGE("https://raw.githubusercontent.com/ltdimages/images/refs/heads/main/ClothSocksTowLine_01.png")</f>
        <v/>
      </c>
      <c r="E10" s="22" t="str">
        <f>IMAGE("https://raw.githubusercontent.com/ltdimages/images/refs/heads/main/ClothSocksTowLine_02.png")</f>
        <v/>
      </c>
      <c r="F10" s="22" t="str">
        <f>IMAGE("https://raw.githubusercontent.com/ltdimages/images/refs/heads/main/ClothSocksTowLine_03.png")</f>
        <v/>
      </c>
      <c r="G10" s="22" t="str">
        <f>IMAGE("https://raw.githubusercontent.com/ltdimages/images/refs/heads/main/ClothSocksTowLine_04.png")</f>
        <v/>
      </c>
      <c r="H10" s="22" t="str">
        <f>IMAGE("https://raw.githubusercontent.com/ltdimages/images/refs/heads/main/ClothSocksTowLine_05.png")</f>
        <v/>
      </c>
      <c r="I10" s="22" t="str">
        <f>IMAGE("https://raw.githubusercontent.com/ltdimages/images/refs/heads/main/ClothSocksTowLine_06.png")</f>
        <v/>
      </c>
      <c r="J10" s="22" t="str">
        <f>IMAGE("https://raw.githubusercontent.com/ltdimages/images/refs/heads/main/ClothSocksTowLine_07.png")</f>
        <v/>
      </c>
      <c r="K10" s="63" t="s">
        <v>5982</v>
      </c>
      <c r="L10" s="23">
        <v>5.0</v>
      </c>
      <c r="M10" s="22" t="s">
        <v>3097</v>
      </c>
      <c r="N10" s="22" t="s">
        <v>3099</v>
      </c>
      <c r="O10" s="22" t="s">
        <v>45</v>
      </c>
      <c r="P10" s="22" t="s">
        <v>45</v>
      </c>
      <c r="Q10" s="22" t="s">
        <v>45</v>
      </c>
      <c r="R10" s="22" t="s">
        <v>45</v>
      </c>
      <c r="S10" s="22" t="s">
        <v>45</v>
      </c>
      <c r="T10" s="22" t="s">
        <v>2002</v>
      </c>
      <c r="U10" s="22" t="s">
        <v>45</v>
      </c>
      <c r="V10" s="22" t="s">
        <v>45</v>
      </c>
      <c r="W10" s="22" t="s">
        <v>5994</v>
      </c>
      <c r="X10" s="22" t="s">
        <v>3095</v>
      </c>
      <c r="Y10" s="22" t="s">
        <v>3095</v>
      </c>
      <c r="Z10" s="22" t="s">
        <v>3095</v>
      </c>
      <c r="AA10" s="22" t="s">
        <v>3095</v>
      </c>
      <c r="AB10" s="22" t="s">
        <v>3095</v>
      </c>
      <c r="AC10" s="22" t="s">
        <v>3095</v>
      </c>
      <c r="AD10" s="22" t="s">
        <v>3095</v>
      </c>
      <c r="AE10" s="22" t="s">
        <v>3095</v>
      </c>
      <c r="AF10" s="22" t="s">
        <v>3095</v>
      </c>
    </row>
    <row r="11" ht="45.0" customHeight="1">
      <c r="A11" s="55" t="s">
        <v>94</v>
      </c>
      <c r="B11" s="62" t="s">
        <v>3880</v>
      </c>
      <c r="C11" s="22" t="str">
        <f>IMAGE("https://raw.githubusercontent.com/ltdimages/images/refs/heads/main/ClothSocksHoled_00.png")</f>
        <v/>
      </c>
      <c r="D11" s="22" t="str">
        <f>IMAGE("https://raw.githubusercontent.com/ltdimages/images/refs/heads/main/ClothSocksHoled_01.png")</f>
        <v/>
      </c>
      <c r="E11" s="22" t="str">
        <f>IMAGE("https://raw.githubusercontent.com/ltdimages/images/refs/heads/main/ClothSocksHoled_02.png")</f>
        <v/>
      </c>
      <c r="F11" s="22" t="str">
        <f>IMAGE("https://raw.githubusercontent.com/ltdimages/images/refs/heads/main/ClothSocksHoled_03.png")</f>
        <v/>
      </c>
      <c r="G11" s="22" t="str">
        <f>IMAGE("https://raw.githubusercontent.com/ltdimages/images/refs/heads/main/ClothSocksHoled_04.png")</f>
        <v/>
      </c>
      <c r="H11" s="22" t="str">
        <f>IMAGE("https://raw.githubusercontent.com/ltdimages/images/refs/heads/main/ClothSocksHoled_05.png")</f>
        <v/>
      </c>
      <c r="I11" s="22" t="str">
        <f>IMAGE("https://raw.githubusercontent.com/ltdimages/images/refs/heads/main/ClothSocksHoled_06.png")</f>
        <v/>
      </c>
      <c r="J11" s="22" t="str">
        <f>IMAGE("https://raw.githubusercontent.com/ltdimages/images/refs/heads/main/ClothSocksHoled_07.png")</f>
        <v/>
      </c>
      <c r="K11" s="63" t="s">
        <v>5982</v>
      </c>
      <c r="L11" s="23">
        <v>0.5</v>
      </c>
      <c r="M11" s="22" t="s">
        <v>3097</v>
      </c>
      <c r="N11" s="22" t="s">
        <v>3099</v>
      </c>
      <c r="O11" s="22" t="s">
        <v>45</v>
      </c>
      <c r="P11" s="22" t="s">
        <v>49</v>
      </c>
      <c r="Q11" s="22" t="s">
        <v>45</v>
      </c>
      <c r="R11" s="22" t="s">
        <v>45</v>
      </c>
      <c r="S11" s="22" t="s">
        <v>45</v>
      </c>
      <c r="T11" s="22" t="s">
        <v>2002</v>
      </c>
      <c r="U11" s="22" t="s">
        <v>45</v>
      </c>
      <c r="V11" s="22" t="s">
        <v>45</v>
      </c>
      <c r="W11" s="22" t="s">
        <v>5995</v>
      </c>
      <c r="X11" s="22" t="s">
        <v>3095</v>
      </c>
      <c r="Y11" s="22" t="s">
        <v>3095</v>
      </c>
      <c r="Z11" s="22" t="s">
        <v>3095</v>
      </c>
      <c r="AA11" s="22" t="s">
        <v>3095</v>
      </c>
      <c r="AB11" s="22" t="s">
        <v>3095</v>
      </c>
      <c r="AC11" s="22" t="s">
        <v>3095</v>
      </c>
      <c r="AD11" s="22" t="s">
        <v>3095</v>
      </c>
      <c r="AE11" s="22" t="s">
        <v>3095</v>
      </c>
      <c r="AF11" s="22" t="s">
        <v>3095</v>
      </c>
    </row>
    <row r="12" ht="45.0" customHeight="1">
      <c r="A12" s="55" t="s">
        <v>98</v>
      </c>
      <c r="B12" s="62" t="s">
        <v>3177</v>
      </c>
      <c r="C12" s="22" t="str">
        <f>IMAGE("https://raw.githubusercontent.com/ltdimages/images/refs/heads/main/ClothSocksJacquard_00.png")</f>
        <v/>
      </c>
      <c r="D12" s="22" t="str">
        <f>IMAGE("https://raw.githubusercontent.com/ltdimages/images/refs/heads/main/ClothSocksJacquard_01.png")</f>
        <v/>
      </c>
      <c r="E12" s="22" t="str">
        <f>IMAGE("https://raw.githubusercontent.com/ltdimages/images/refs/heads/main/ClothSocksJacquard_02.png")</f>
        <v/>
      </c>
      <c r="F12" s="22" t="str">
        <f>IMAGE("https://raw.githubusercontent.com/ltdimages/images/refs/heads/main/ClothSocksJacquard_03.png")</f>
        <v/>
      </c>
      <c r="G12" s="22" t="str">
        <f>IMAGE("https://raw.githubusercontent.com/ltdimages/images/refs/heads/main/ClothSocksJacquard_04.png")</f>
        <v/>
      </c>
      <c r="H12" s="22" t="str">
        <f>IMAGE("https://raw.githubusercontent.com/ltdimages/images/refs/heads/main/ClothSocksJacquard_05.png")</f>
        <v/>
      </c>
      <c r="I12" s="22" t="s">
        <v>3095</v>
      </c>
      <c r="J12" s="22" t="s">
        <v>3095</v>
      </c>
      <c r="K12" s="63" t="s">
        <v>5982</v>
      </c>
      <c r="L12" s="23">
        <v>6.7</v>
      </c>
      <c r="M12" s="22" t="s">
        <v>3097</v>
      </c>
      <c r="N12" s="22" t="s">
        <v>3114</v>
      </c>
      <c r="O12" s="22" t="s">
        <v>45</v>
      </c>
      <c r="P12" s="22" t="s">
        <v>45</v>
      </c>
      <c r="Q12" s="22" t="s">
        <v>45</v>
      </c>
      <c r="R12" s="22" t="s">
        <v>45</v>
      </c>
      <c r="S12" s="22" t="s">
        <v>45</v>
      </c>
      <c r="T12" s="22" t="s">
        <v>2002</v>
      </c>
      <c r="U12" s="22" t="s">
        <v>45</v>
      </c>
      <c r="V12" s="22" t="s">
        <v>45</v>
      </c>
      <c r="W12" s="22" t="s">
        <v>5996</v>
      </c>
      <c r="X12" s="22" t="s">
        <v>3095</v>
      </c>
      <c r="Y12" s="22" t="s">
        <v>3095</v>
      </c>
      <c r="Z12" s="22" t="s">
        <v>3095</v>
      </c>
      <c r="AA12" s="22" t="s">
        <v>3095</v>
      </c>
      <c r="AB12" s="22" t="s">
        <v>3095</v>
      </c>
      <c r="AC12" s="22" t="s">
        <v>3095</v>
      </c>
      <c r="AD12" s="22" t="s">
        <v>3095</v>
      </c>
      <c r="AE12" s="22" t="s">
        <v>3095</v>
      </c>
      <c r="AF12" s="22" t="s">
        <v>3095</v>
      </c>
    </row>
    <row r="13" ht="45.0" customHeight="1">
      <c r="A13" s="55" t="s">
        <v>104</v>
      </c>
      <c r="B13" s="62" t="s">
        <v>5997</v>
      </c>
      <c r="C13" s="22" t="str">
        <f>IMAGE("https://raw.githubusercontent.com/ltdimages/images/refs/heads/main/ClothSocksKneeSleeve_00.png")</f>
        <v/>
      </c>
      <c r="D13" s="22" t="str">
        <f>IMAGE("https://raw.githubusercontent.com/ltdimages/images/refs/heads/main/ClothSocksKneeSleeve_01.png")</f>
        <v/>
      </c>
      <c r="E13" s="22" t="str">
        <f>IMAGE("https://raw.githubusercontent.com/ltdimages/images/refs/heads/main/ClothSocksKneeSleeve_02.png")</f>
        <v/>
      </c>
      <c r="F13" s="22" t="str">
        <f>IMAGE("https://raw.githubusercontent.com/ltdimages/images/refs/heads/main/ClothSocksKneeSleeve_03.png")</f>
        <v/>
      </c>
      <c r="G13" s="22" t="str">
        <f>IMAGE("https://raw.githubusercontent.com/ltdimages/images/refs/heads/main/ClothSocksKneeSleeve_04.png")</f>
        <v/>
      </c>
      <c r="H13" s="22" t="str">
        <f>IMAGE("https://raw.githubusercontent.com/ltdimages/images/refs/heads/main/ClothSocksKneeSleeve_05.png")</f>
        <v/>
      </c>
      <c r="I13" s="22" t="str">
        <f>IMAGE("https://raw.githubusercontent.com/ltdimages/images/refs/heads/main/ClothSocksKneeSleeve_06.png")</f>
        <v/>
      </c>
      <c r="J13" s="22" t="str">
        <f>IMAGE("https://raw.githubusercontent.com/ltdimages/images/refs/heads/main/ClothSocksKneeSleeve_07.png")</f>
        <v/>
      </c>
      <c r="K13" s="63" t="s">
        <v>5982</v>
      </c>
      <c r="L13" s="23">
        <v>3.5</v>
      </c>
      <c r="M13" s="22" t="s">
        <v>3097</v>
      </c>
      <c r="N13" s="22" t="s">
        <v>3099</v>
      </c>
      <c r="O13" s="22" t="s">
        <v>45</v>
      </c>
      <c r="P13" s="22" t="s">
        <v>45</v>
      </c>
      <c r="Q13" s="22" t="s">
        <v>45</v>
      </c>
      <c r="R13" s="22" t="s">
        <v>45</v>
      </c>
      <c r="S13" s="22" t="s">
        <v>45</v>
      </c>
      <c r="T13" s="22" t="s">
        <v>2002</v>
      </c>
      <c r="U13" s="22" t="s">
        <v>45</v>
      </c>
      <c r="V13" s="22" t="s">
        <v>45</v>
      </c>
      <c r="W13" s="22" t="s">
        <v>5998</v>
      </c>
      <c r="X13" s="22" t="s">
        <v>3095</v>
      </c>
      <c r="Y13" s="22" t="s">
        <v>3095</v>
      </c>
      <c r="Z13" s="22" t="s">
        <v>3095</v>
      </c>
      <c r="AA13" s="22" t="s">
        <v>3095</v>
      </c>
      <c r="AB13" s="22" t="s">
        <v>3095</v>
      </c>
      <c r="AC13" s="22" t="s">
        <v>3095</v>
      </c>
      <c r="AD13" s="22" t="s">
        <v>3095</v>
      </c>
      <c r="AE13" s="22" t="s">
        <v>3095</v>
      </c>
      <c r="AF13" s="22" t="s">
        <v>3095</v>
      </c>
    </row>
    <row r="14" ht="45.0" customHeight="1">
      <c r="A14" s="55" t="s">
        <v>109</v>
      </c>
      <c r="B14" s="62" t="s">
        <v>5999</v>
      </c>
      <c r="C14" s="22" t="str">
        <f>IMAGE("https://raw.githubusercontent.com/ltdimages/images/refs/heads/main/ClothSocksMonster_00.png")</f>
        <v/>
      </c>
      <c r="D14" s="22" t="str">
        <f>IMAGE("https://raw.githubusercontent.com/ltdimages/images/refs/heads/main/ClothSocksMonster_01.png")</f>
        <v/>
      </c>
      <c r="E14" s="22" t="str">
        <f>IMAGE("https://raw.githubusercontent.com/ltdimages/images/refs/heads/main/ClothSocksMonster_02.png")</f>
        <v/>
      </c>
      <c r="F14" s="22" t="str">
        <f>IMAGE("https://raw.githubusercontent.com/ltdimages/images/refs/heads/main/ClothSocksMonster_03.png")</f>
        <v/>
      </c>
      <c r="G14" s="22" t="str">
        <f>IMAGE("https://raw.githubusercontent.com/ltdimages/images/refs/heads/main/ClothSocksMonster_04.png")</f>
        <v/>
      </c>
      <c r="H14" s="22" t="str">
        <f>IMAGE("https://raw.githubusercontent.com/ltdimages/images/refs/heads/main/ClothSocksMonster_05.png")</f>
        <v/>
      </c>
      <c r="I14" s="22" t="s">
        <v>3095</v>
      </c>
      <c r="J14" s="22" t="s">
        <v>3095</v>
      </c>
      <c r="K14" s="63" t="s">
        <v>5982</v>
      </c>
      <c r="L14" s="23">
        <v>7.9</v>
      </c>
      <c r="M14" s="22" t="s">
        <v>3097</v>
      </c>
      <c r="N14" s="22" t="s">
        <v>3099</v>
      </c>
      <c r="O14" s="22" t="s">
        <v>45</v>
      </c>
      <c r="P14" s="22" t="s">
        <v>45</v>
      </c>
      <c r="Q14" s="22" t="s">
        <v>45</v>
      </c>
      <c r="R14" s="22" t="s">
        <v>45</v>
      </c>
      <c r="S14" s="22" t="s">
        <v>45</v>
      </c>
      <c r="T14" s="22" t="s">
        <v>2002</v>
      </c>
      <c r="U14" s="22" t="s">
        <v>45</v>
      </c>
      <c r="V14" s="22" t="s">
        <v>45</v>
      </c>
      <c r="W14" s="22" t="s">
        <v>6000</v>
      </c>
      <c r="X14" s="22" t="s">
        <v>3095</v>
      </c>
      <c r="Y14" s="22" t="s">
        <v>3095</v>
      </c>
      <c r="Z14" s="22" t="s">
        <v>3095</v>
      </c>
      <c r="AA14" s="22" t="s">
        <v>3095</v>
      </c>
      <c r="AB14" s="22" t="s">
        <v>3095</v>
      </c>
      <c r="AC14" s="22" t="s">
        <v>3095</v>
      </c>
      <c r="AD14" s="22" t="s">
        <v>3095</v>
      </c>
      <c r="AE14" s="22" t="s">
        <v>3095</v>
      </c>
      <c r="AF14" s="22" t="s">
        <v>3095</v>
      </c>
    </row>
    <row r="15" ht="45.0" customHeight="1">
      <c r="A15" s="55" t="s">
        <v>115</v>
      </c>
      <c r="B15" s="62" t="s">
        <v>3142</v>
      </c>
      <c r="C15" s="22" t="str">
        <f>IMAGE("https://raw.githubusercontent.com/ltdimages/images/refs/heads/main/ClothSocksMultiBorder_00.png")</f>
        <v/>
      </c>
      <c r="D15" s="22" t="str">
        <f>IMAGE("https://raw.githubusercontent.com/ltdimages/images/refs/heads/main/ClothSocksMultiBorder_01.png")</f>
        <v/>
      </c>
      <c r="E15" s="22" t="str">
        <f>IMAGE("https://raw.githubusercontent.com/ltdimages/images/refs/heads/main/ClothSocksMultiBorder_02.png")</f>
        <v/>
      </c>
      <c r="F15" s="22" t="str">
        <f>IMAGE("https://raw.githubusercontent.com/ltdimages/images/refs/heads/main/ClothSocksMultiBorder_03.png")</f>
        <v/>
      </c>
      <c r="G15" s="22" t="str">
        <f>IMAGE("https://raw.githubusercontent.com/ltdimages/images/refs/heads/main/ClothSocksMultiBorder_04.png")</f>
        <v/>
      </c>
      <c r="H15" s="22" t="str">
        <f>IMAGE("https://raw.githubusercontent.com/ltdimages/images/refs/heads/main/ClothSocksMultiBorder_05.png")</f>
        <v/>
      </c>
      <c r="I15" s="22" t="str">
        <f>IMAGE("https://raw.githubusercontent.com/ltdimages/images/refs/heads/main/ClothSocksMultiBorder_06.png")</f>
        <v/>
      </c>
      <c r="J15" s="22" t="str">
        <f>IMAGE("https://raw.githubusercontent.com/ltdimages/images/refs/heads/main/ClothSocksMultiBorder_07.png")</f>
        <v/>
      </c>
      <c r="K15" s="63" t="s">
        <v>5982</v>
      </c>
      <c r="L15" s="23">
        <v>5.5</v>
      </c>
      <c r="M15" s="22" t="s">
        <v>3097</v>
      </c>
      <c r="N15" s="22" t="s">
        <v>3099</v>
      </c>
      <c r="O15" s="22" t="s">
        <v>45</v>
      </c>
      <c r="P15" s="22" t="s">
        <v>45</v>
      </c>
      <c r="Q15" s="22" t="s">
        <v>45</v>
      </c>
      <c r="R15" s="22" t="s">
        <v>45</v>
      </c>
      <c r="S15" s="22" t="s">
        <v>45</v>
      </c>
      <c r="T15" s="22" t="s">
        <v>2002</v>
      </c>
      <c r="U15" s="22" t="s">
        <v>45</v>
      </c>
      <c r="V15" s="22" t="s">
        <v>45</v>
      </c>
      <c r="W15" s="22" t="s">
        <v>6001</v>
      </c>
      <c r="X15" s="22" t="s">
        <v>3095</v>
      </c>
      <c r="Y15" s="22" t="s">
        <v>3095</v>
      </c>
      <c r="Z15" s="22" t="s">
        <v>3095</v>
      </c>
      <c r="AA15" s="22" t="s">
        <v>3095</v>
      </c>
      <c r="AB15" s="22" t="s">
        <v>3095</v>
      </c>
      <c r="AC15" s="22" t="s">
        <v>3095</v>
      </c>
      <c r="AD15" s="22" t="s">
        <v>3095</v>
      </c>
      <c r="AE15" s="22" t="s">
        <v>3095</v>
      </c>
      <c r="AF15" s="22" t="s">
        <v>3095</v>
      </c>
    </row>
    <row r="16" ht="45.0" customHeight="1">
      <c r="A16" s="55" t="s">
        <v>119</v>
      </c>
      <c r="B16" s="62" t="s">
        <v>4546</v>
      </c>
      <c r="C16" s="22" t="str">
        <f>IMAGE("https://raw.githubusercontent.com/ltdimages/images/refs/heads/main/ClothSocksNordic_00.png")</f>
        <v/>
      </c>
      <c r="D16" s="22" t="str">
        <f>IMAGE("https://raw.githubusercontent.com/ltdimages/images/refs/heads/main/ClothSocksNordic_01.png")</f>
        <v/>
      </c>
      <c r="E16" s="22" t="str">
        <f>IMAGE("https://raw.githubusercontent.com/ltdimages/images/refs/heads/main/ClothSocksNordic_02.png")</f>
        <v/>
      </c>
      <c r="F16" s="22" t="str">
        <f>IMAGE("https://raw.githubusercontent.com/ltdimages/images/refs/heads/main/ClothSocksNordic_03.png")</f>
        <v/>
      </c>
      <c r="G16" s="22" t="str">
        <f>IMAGE("https://raw.githubusercontent.com/ltdimages/images/refs/heads/main/ClothSocksNordic_04.png")</f>
        <v/>
      </c>
      <c r="H16" s="22" t="str">
        <f>IMAGE("https://raw.githubusercontent.com/ltdimages/images/refs/heads/main/ClothSocksNordic_05.png")</f>
        <v/>
      </c>
      <c r="I16" s="22" t="str">
        <f>IMAGE("https://raw.githubusercontent.com/ltdimages/images/refs/heads/main/ClothSocksNordic_06.png")</f>
        <v/>
      </c>
      <c r="J16" s="22" t="str">
        <f>IMAGE("https://raw.githubusercontent.com/ltdimages/images/refs/heads/main/ClothSocksNordic_07.png")</f>
        <v/>
      </c>
      <c r="K16" s="63" t="s">
        <v>5982</v>
      </c>
      <c r="L16" s="23">
        <v>6.0</v>
      </c>
      <c r="M16" s="22" t="s">
        <v>3097</v>
      </c>
      <c r="N16" s="22" t="s">
        <v>3099</v>
      </c>
      <c r="O16" s="22" t="s">
        <v>45</v>
      </c>
      <c r="P16" s="22" t="s">
        <v>45</v>
      </c>
      <c r="Q16" s="22" t="s">
        <v>45</v>
      </c>
      <c r="R16" s="22" t="s">
        <v>45</v>
      </c>
      <c r="S16" s="22" t="s">
        <v>45</v>
      </c>
      <c r="T16" s="22" t="s">
        <v>2002</v>
      </c>
      <c r="U16" s="22" t="s">
        <v>45</v>
      </c>
      <c r="V16" s="22" t="s">
        <v>45</v>
      </c>
      <c r="W16" s="22" t="s">
        <v>6002</v>
      </c>
      <c r="X16" s="22" t="s">
        <v>3095</v>
      </c>
      <c r="Y16" s="22" t="s">
        <v>3095</v>
      </c>
      <c r="Z16" s="22" t="s">
        <v>3095</v>
      </c>
      <c r="AA16" s="22" t="s">
        <v>3095</v>
      </c>
      <c r="AB16" s="22" t="s">
        <v>3095</v>
      </c>
      <c r="AC16" s="22" t="s">
        <v>3095</v>
      </c>
      <c r="AD16" s="22" t="s">
        <v>3095</v>
      </c>
      <c r="AE16" s="22" t="s">
        <v>3095</v>
      </c>
      <c r="AF16" s="22" t="s">
        <v>3095</v>
      </c>
    </row>
    <row r="17" ht="45.0" customHeight="1">
      <c r="A17" s="55" t="s">
        <v>124</v>
      </c>
      <c r="B17" s="62" t="s">
        <v>3108</v>
      </c>
      <c r="C17" s="22" t="str">
        <f>IMAGE("https://raw.githubusercontent.com/ltdimages/images/refs/heads/main/ClothSocksAnkle_00.png")</f>
        <v/>
      </c>
      <c r="D17" s="22" t="str">
        <f>IMAGE("https://raw.githubusercontent.com/ltdimages/images/refs/heads/main/ClothSocksAnkle_01.png")</f>
        <v/>
      </c>
      <c r="E17" s="22" t="str">
        <f>IMAGE("https://raw.githubusercontent.com/ltdimages/images/refs/heads/main/ClothSocksAnkle_02.png")</f>
        <v/>
      </c>
      <c r="F17" s="22" t="str">
        <f>IMAGE("https://raw.githubusercontent.com/ltdimages/images/refs/heads/main/ClothSocksAnkle_03.png")</f>
        <v/>
      </c>
      <c r="G17" s="22" t="str">
        <f>IMAGE("https://raw.githubusercontent.com/ltdimages/images/refs/heads/main/ClothSocksAnkle_04.png")</f>
        <v/>
      </c>
      <c r="H17" s="22" t="str">
        <f>IMAGE("https://raw.githubusercontent.com/ltdimages/images/refs/heads/main/ClothSocksAnkle_05.png")</f>
        <v/>
      </c>
      <c r="I17" s="22" t="str">
        <f>IMAGE("https://raw.githubusercontent.com/ltdimages/images/refs/heads/main/ClothSocksAnkle_06.png")</f>
        <v/>
      </c>
      <c r="J17" s="22" t="str">
        <f>IMAGE("https://raw.githubusercontent.com/ltdimages/images/refs/heads/main/ClothSocksAnkle_07.png")</f>
        <v/>
      </c>
      <c r="K17" s="63" t="s">
        <v>5982</v>
      </c>
      <c r="L17" s="23">
        <v>4.5</v>
      </c>
      <c r="M17" s="22" t="s">
        <v>3097</v>
      </c>
      <c r="N17" s="22" t="s">
        <v>3099</v>
      </c>
      <c r="O17" s="22" t="s">
        <v>45</v>
      </c>
      <c r="P17" s="22" t="s">
        <v>45</v>
      </c>
      <c r="Q17" s="22" t="s">
        <v>45</v>
      </c>
      <c r="R17" s="22" t="s">
        <v>45</v>
      </c>
      <c r="S17" s="22" t="s">
        <v>45</v>
      </c>
      <c r="T17" s="22" t="s">
        <v>2002</v>
      </c>
      <c r="U17" s="22" t="s">
        <v>45</v>
      </c>
      <c r="V17" s="22" t="s">
        <v>45</v>
      </c>
      <c r="W17" s="22" t="s">
        <v>6003</v>
      </c>
      <c r="X17" s="22" t="s">
        <v>3095</v>
      </c>
      <c r="Y17" s="22" t="s">
        <v>3095</v>
      </c>
      <c r="Z17" s="22" t="s">
        <v>3095</v>
      </c>
      <c r="AA17" s="22" t="s">
        <v>3095</v>
      </c>
      <c r="AB17" s="22" t="s">
        <v>3095</v>
      </c>
      <c r="AC17" s="22" t="s">
        <v>3095</v>
      </c>
      <c r="AD17" s="22" t="s">
        <v>3095</v>
      </c>
      <c r="AE17" s="22" t="s">
        <v>3095</v>
      </c>
      <c r="AF17" s="22" t="s">
        <v>3095</v>
      </c>
    </row>
    <row r="18" ht="45.0" customHeight="1">
      <c r="A18" s="55" t="s">
        <v>129</v>
      </c>
      <c r="B18" s="62" t="s">
        <v>3118</v>
      </c>
      <c r="C18" s="22" t="str">
        <f>IMAGE("https://raw.githubusercontent.com/ltdimages/images/refs/heads/main/ClothSocksSocks_00.png")</f>
        <v/>
      </c>
      <c r="D18" s="22" t="str">
        <f>IMAGE("https://raw.githubusercontent.com/ltdimages/images/refs/heads/main/ClothSocksSocks_01.png")</f>
        <v/>
      </c>
      <c r="E18" s="22" t="str">
        <f>IMAGE("https://raw.githubusercontent.com/ltdimages/images/refs/heads/main/ClothSocksSocks_02.png")</f>
        <v/>
      </c>
      <c r="F18" s="22" t="str">
        <f>IMAGE("https://raw.githubusercontent.com/ltdimages/images/refs/heads/main/ClothSocksSocks_03.png")</f>
        <v/>
      </c>
      <c r="G18" s="22" t="str">
        <f>IMAGE("https://raw.githubusercontent.com/ltdimages/images/refs/heads/main/ClothSocksSocks_04.png")</f>
        <v/>
      </c>
      <c r="H18" s="22" t="str">
        <f>IMAGE("https://raw.githubusercontent.com/ltdimages/images/refs/heads/main/ClothSocksSocks_05.png")</f>
        <v/>
      </c>
      <c r="I18" s="22" t="str">
        <f>IMAGE("https://raw.githubusercontent.com/ltdimages/images/refs/heads/main/ClothSocksSocks_06.png")</f>
        <v/>
      </c>
      <c r="J18" s="22" t="str">
        <f>IMAGE("https://raw.githubusercontent.com/ltdimages/images/refs/heads/main/ClothSocksSocks_07.png")</f>
        <v/>
      </c>
      <c r="K18" s="63" t="s">
        <v>5982</v>
      </c>
      <c r="L18" s="23">
        <v>4.5</v>
      </c>
      <c r="M18" s="22" t="s">
        <v>3097</v>
      </c>
      <c r="N18" s="22" t="s">
        <v>3099</v>
      </c>
      <c r="O18" s="22" t="s">
        <v>45</v>
      </c>
      <c r="P18" s="22" t="s">
        <v>45</v>
      </c>
      <c r="Q18" s="22" t="s">
        <v>45</v>
      </c>
      <c r="R18" s="22" t="s">
        <v>45</v>
      </c>
      <c r="S18" s="22" t="s">
        <v>45</v>
      </c>
      <c r="T18" s="22" t="s">
        <v>2002</v>
      </c>
      <c r="U18" s="22" t="s">
        <v>45</v>
      </c>
      <c r="V18" s="22" t="s">
        <v>45</v>
      </c>
      <c r="W18" s="22" t="s">
        <v>6004</v>
      </c>
      <c r="X18" s="22" t="s">
        <v>3095</v>
      </c>
      <c r="Y18" s="22" t="s">
        <v>3095</v>
      </c>
      <c r="Z18" s="22" t="s">
        <v>3095</v>
      </c>
      <c r="AA18" s="22" t="s">
        <v>3095</v>
      </c>
      <c r="AB18" s="22" t="s">
        <v>3095</v>
      </c>
      <c r="AC18" s="22" t="s">
        <v>3095</v>
      </c>
      <c r="AD18" s="22" t="s">
        <v>3095</v>
      </c>
      <c r="AE18" s="22" t="s">
        <v>3095</v>
      </c>
      <c r="AF18" s="22" t="s">
        <v>3095</v>
      </c>
    </row>
    <row r="19" ht="45.0" customHeight="1">
      <c r="A19" s="55" t="s">
        <v>134</v>
      </c>
      <c r="B19" s="62" t="s">
        <v>4432</v>
      </c>
      <c r="C19" s="22" t="str">
        <f>IMAGE("https://raw.githubusercontent.com/ltdimages/images/refs/heads/main/ClothSocksLeggingsDot_00.png")</f>
        <v/>
      </c>
      <c r="D19" s="22" t="str">
        <f>IMAGE("https://raw.githubusercontent.com/ltdimages/images/refs/heads/main/ClothSocksLeggingsDot_01.png")</f>
        <v/>
      </c>
      <c r="E19" s="22" t="str">
        <f>IMAGE("https://raw.githubusercontent.com/ltdimages/images/refs/heads/main/ClothSocksLeggingsDot_02.png")</f>
        <v/>
      </c>
      <c r="F19" s="22" t="str">
        <f>IMAGE("https://raw.githubusercontent.com/ltdimages/images/refs/heads/main/ClothSocksLeggingsDot_03.png")</f>
        <v/>
      </c>
      <c r="G19" s="22" t="str">
        <f>IMAGE("https://raw.githubusercontent.com/ltdimages/images/refs/heads/main/ClothSocksLeggingsDot_04.png")</f>
        <v/>
      </c>
      <c r="H19" s="22" t="str">
        <f>IMAGE("https://raw.githubusercontent.com/ltdimages/images/refs/heads/main/ClothSocksLeggingsDot_05.png")</f>
        <v/>
      </c>
      <c r="I19" s="22" t="str">
        <f>IMAGE("https://raw.githubusercontent.com/ltdimages/images/refs/heads/main/ClothSocksLeggingsDot_06.png")</f>
        <v/>
      </c>
      <c r="J19" s="22" t="str">
        <f>IMAGE("https://raw.githubusercontent.com/ltdimages/images/refs/heads/main/ClothSocksLeggingsDot_07.png")</f>
        <v/>
      </c>
      <c r="K19" s="63" t="s">
        <v>5982</v>
      </c>
      <c r="L19" s="23">
        <v>5.2</v>
      </c>
      <c r="M19" s="22" t="s">
        <v>3097</v>
      </c>
      <c r="N19" s="22" t="s">
        <v>3099</v>
      </c>
      <c r="O19" s="22" t="s">
        <v>45</v>
      </c>
      <c r="P19" s="22" t="s">
        <v>45</v>
      </c>
      <c r="Q19" s="22" t="s">
        <v>45</v>
      </c>
      <c r="R19" s="22" t="s">
        <v>45</v>
      </c>
      <c r="S19" s="22" t="s">
        <v>45</v>
      </c>
      <c r="T19" s="22" t="s">
        <v>2002</v>
      </c>
      <c r="U19" s="22" t="s">
        <v>45</v>
      </c>
      <c r="V19" s="22" t="s">
        <v>45</v>
      </c>
      <c r="W19" s="22" t="s">
        <v>6005</v>
      </c>
      <c r="X19" s="22" t="s">
        <v>3095</v>
      </c>
      <c r="Y19" s="22" t="s">
        <v>3095</v>
      </c>
      <c r="Z19" s="22" t="s">
        <v>3095</v>
      </c>
      <c r="AA19" s="22" t="s">
        <v>3095</v>
      </c>
      <c r="AB19" s="22" t="s">
        <v>3095</v>
      </c>
      <c r="AC19" s="22" t="s">
        <v>3095</v>
      </c>
      <c r="AD19" s="22" t="s">
        <v>3095</v>
      </c>
      <c r="AE19" s="22" t="s">
        <v>3095</v>
      </c>
      <c r="AF19" s="22" t="s">
        <v>3095</v>
      </c>
    </row>
    <row r="20" ht="45.0" customHeight="1">
      <c r="A20" s="55" t="s">
        <v>138</v>
      </c>
      <c r="B20" s="62" t="s">
        <v>3352</v>
      </c>
      <c r="C20" s="22" t="str">
        <f>IMAGE("https://raw.githubusercontent.com/ltdimages/images/refs/heads/main/ClothSocksRetroCheck_00.png")</f>
        <v/>
      </c>
      <c r="D20" s="22" t="str">
        <f>IMAGE("https://raw.githubusercontent.com/ltdimages/images/refs/heads/main/ClothSocksRetroCheck_01.png")</f>
        <v/>
      </c>
      <c r="E20" s="22" t="str">
        <f>IMAGE("https://raw.githubusercontent.com/ltdimages/images/refs/heads/main/ClothSocksRetroCheck_02.png")</f>
        <v/>
      </c>
      <c r="F20" s="22" t="str">
        <f>IMAGE("https://raw.githubusercontent.com/ltdimages/images/refs/heads/main/ClothSocksRetroCheck_03.png")</f>
        <v/>
      </c>
      <c r="G20" s="22" t="str">
        <f>IMAGE("https://raw.githubusercontent.com/ltdimages/images/refs/heads/main/ClothSocksRetroCheck_04.png")</f>
        <v/>
      </c>
      <c r="H20" s="22" t="str">
        <f>IMAGE("https://raw.githubusercontent.com/ltdimages/images/refs/heads/main/ClothSocksRetroCheck_05.png")</f>
        <v/>
      </c>
      <c r="I20" s="22" t="s">
        <v>3095</v>
      </c>
      <c r="J20" s="22" t="s">
        <v>3095</v>
      </c>
      <c r="K20" s="63" t="s">
        <v>5982</v>
      </c>
      <c r="L20" s="23">
        <v>5.3</v>
      </c>
      <c r="M20" s="22" t="s">
        <v>3097</v>
      </c>
      <c r="N20" s="22" t="s">
        <v>3099</v>
      </c>
      <c r="O20" s="22" t="s">
        <v>45</v>
      </c>
      <c r="P20" s="22" t="s">
        <v>45</v>
      </c>
      <c r="Q20" s="22" t="s">
        <v>45</v>
      </c>
      <c r="R20" s="22" t="s">
        <v>45</v>
      </c>
      <c r="S20" s="22" t="s">
        <v>45</v>
      </c>
      <c r="T20" s="22" t="s">
        <v>2002</v>
      </c>
      <c r="U20" s="22" t="s">
        <v>45</v>
      </c>
      <c r="V20" s="22" t="s">
        <v>45</v>
      </c>
      <c r="W20" s="22" t="s">
        <v>6006</v>
      </c>
      <c r="X20" s="22" t="s">
        <v>3095</v>
      </c>
      <c r="Y20" s="22" t="s">
        <v>3095</v>
      </c>
      <c r="Z20" s="22" t="s">
        <v>3095</v>
      </c>
      <c r="AA20" s="22" t="s">
        <v>3095</v>
      </c>
      <c r="AB20" s="22" t="s">
        <v>3095</v>
      </c>
      <c r="AC20" s="22" t="s">
        <v>3095</v>
      </c>
      <c r="AD20" s="22" t="s">
        <v>3095</v>
      </c>
      <c r="AE20" s="22" t="s">
        <v>3095</v>
      </c>
      <c r="AF20" s="22" t="s">
        <v>3095</v>
      </c>
    </row>
    <row r="21" ht="45.0" customHeight="1">
      <c r="A21" s="55" t="s">
        <v>142</v>
      </c>
      <c r="B21" s="62" t="s">
        <v>4335</v>
      </c>
      <c r="C21" s="22" t="str">
        <f>IMAGE("https://raw.githubusercontent.com/ltdimages/images/refs/heads/main/ClothSocksRib_00.png")</f>
        <v/>
      </c>
      <c r="D21" s="22" t="str">
        <f>IMAGE("https://raw.githubusercontent.com/ltdimages/images/refs/heads/main/ClothSocksRib_01.png")</f>
        <v/>
      </c>
      <c r="E21" s="22" t="str">
        <f>IMAGE("https://raw.githubusercontent.com/ltdimages/images/refs/heads/main/ClothSocksRib_02.png")</f>
        <v/>
      </c>
      <c r="F21" s="22" t="str">
        <f>IMAGE("https://raw.githubusercontent.com/ltdimages/images/refs/heads/main/ClothSocksRib_03.png")</f>
        <v/>
      </c>
      <c r="G21" s="22" t="str">
        <f>IMAGE("https://raw.githubusercontent.com/ltdimages/images/refs/heads/main/ClothSocksRib_04.png")</f>
        <v/>
      </c>
      <c r="H21" s="22" t="str">
        <f>IMAGE("https://raw.githubusercontent.com/ltdimages/images/refs/heads/main/ClothSocksRib_05.png")</f>
        <v/>
      </c>
      <c r="I21" s="22" t="str">
        <f>IMAGE("https://raw.githubusercontent.com/ltdimages/images/refs/heads/main/ClothSocksRib_06.png")</f>
        <v/>
      </c>
      <c r="J21" s="22" t="str">
        <f>IMAGE("https://raw.githubusercontent.com/ltdimages/images/refs/heads/main/ClothSocksRib_07.png")</f>
        <v/>
      </c>
      <c r="K21" s="63" t="s">
        <v>5982</v>
      </c>
      <c r="L21" s="23">
        <v>5.2</v>
      </c>
      <c r="M21" s="22" t="s">
        <v>3097</v>
      </c>
      <c r="N21" s="22" t="s">
        <v>3099</v>
      </c>
      <c r="O21" s="22" t="s">
        <v>45</v>
      </c>
      <c r="P21" s="22" t="s">
        <v>45</v>
      </c>
      <c r="Q21" s="22" t="s">
        <v>45</v>
      </c>
      <c r="R21" s="22" t="s">
        <v>45</v>
      </c>
      <c r="S21" s="22" t="s">
        <v>45</v>
      </c>
      <c r="T21" s="22" t="s">
        <v>2002</v>
      </c>
      <c r="U21" s="22" t="s">
        <v>45</v>
      </c>
      <c r="V21" s="22" t="s">
        <v>45</v>
      </c>
      <c r="W21" s="22" t="s">
        <v>6007</v>
      </c>
      <c r="X21" s="22" t="s">
        <v>3095</v>
      </c>
      <c r="Y21" s="22" t="s">
        <v>3095</v>
      </c>
      <c r="Z21" s="22" t="s">
        <v>3095</v>
      </c>
      <c r="AA21" s="22" t="s">
        <v>3095</v>
      </c>
      <c r="AB21" s="22" t="s">
        <v>3095</v>
      </c>
      <c r="AC21" s="22" t="s">
        <v>3095</v>
      </c>
      <c r="AD21" s="22" t="s">
        <v>3095</v>
      </c>
      <c r="AE21" s="22" t="s">
        <v>3095</v>
      </c>
      <c r="AF21" s="22" t="s">
        <v>3095</v>
      </c>
    </row>
    <row r="22" ht="45.0" customHeight="1">
      <c r="A22" s="55" t="s">
        <v>147</v>
      </c>
      <c r="B22" s="62" t="s">
        <v>3383</v>
      </c>
      <c r="C22" s="22" t="str">
        <f>IMAGE("https://raw.githubusercontent.com/ltdimages/images/refs/heads/main/ClothSocksSpaceTights_00.png")</f>
        <v/>
      </c>
      <c r="D22" s="22" t="str">
        <f>IMAGE("https://raw.githubusercontent.com/ltdimages/images/refs/heads/main/ClothSocksSpaceTights_01.png")</f>
        <v/>
      </c>
      <c r="E22" s="22" t="str">
        <f>IMAGE("https://raw.githubusercontent.com/ltdimages/images/refs/heads/main/ClothSocksSpaceTights_02.png")</f>
        <v/>
      </c>
      <c r="F22" s="22" t="str">
        <f>IMAGE("https://raw.githubusercontent.com/ltdimages/images/refs/heads/main/ClothSocksSpaceTights_03.png")</f>
        <v/>
      </c>
      <c r="G22" s="22" t="str">
        <f>IMAGE("https://raw.githubusercontent.com/ltdimages/images/refs/heads/main/ClothSocksSpaceTights_04.png")</f>
        <v/>
      </c>
      <c r="H22" s="22" t="str">
        <f>IMAGE("https://raw.githubusercontent.com/ltdimages/images/refs/heads/main/ClothSocksSpaceTights_05.png")</f>
        <v/>
      </c>
      <c r="I22" s="22" t="s">
        <v>3095</v>
      </c>
      <c r="J22" s="22" t="s">
        <v>3095</v>
      </c>
      <c r="K22" s="63" t="s">
        <v>5982</v>
      </c>
      <c r="L22" s="23">
        <v>7.7</v>
      </c>
      <c r="M22" s="22" t="s">
        <v>3097</v>
      </c>
      <c r="N22" s="22" t="s">
        <v>3099</v>
      </c>
      <c r="O22" s="22" t="s">
        <v>45</v>
      </c>
      <c r="P22" s="22" t="s">
        <v>45</v>
      </c>
      <c r="Q22" s="22" t="s">
        <v>45</v>
      </c>
      <c r="R22" s="22" t="s">
        <v>45</v>
      </c>
      <c r="S22" s="22" t="s">
        <v>45</v>
      </c>
      <c r="T22" s="22" t="s">
        <v>2002</v>
      </c>
      <c r="U22" s="22" t="s">
        <v>45</v>
      </c>
      <c r="V22" s="22" t="s">
        <v>45</v>
      </c>
      <c r="W22" s="22" t="s">
        <v>6008</v>
      </c>
      <c r="X22" s="22" t="s">
        <v>3095</v>
      </c>
      <c r="Y22" s="22" t="s">
        <v>3095</v>
      </c>
      <c r="Z22" s="22" t="s">
        <v>3095</v>
      </c>
      <c r="AA22" s="22" t="s">
        <v>3095</v>
      </c>
      <c r="AB22" s="22" t="s">
        <v>3095</v>
      </c>
      <c r="AC22" s="22" t="s">
        <v>3095</v>
      </c>
      <c r="AD22" s="22" t="s">
        <v>3095</v>
      </c>
      <c r="AE22" s="22" t="s">
        <v>3095</v>
      </c>
      <c r="AF22" s="22" t="s">
        <v>3095</v>
      </c>
    </row>
    <row r="23" ht="45.0" customHeight="1">
      <c r="A23" s="55" t="s">
        <v>152</v>
      </c>
      <c r="B23" s="62" t="s">
        <v>3477</v>
      </c>
      <c r="C23" s="22" t="str">
        <f>IMAGE("https://raw.githubusercontent.com/ltdimages/images/refs/heads/main/ClothSocksShortLeggings_00.png")</f>
        <v/>
      </c>
      <c r="D23" s="22" t="str">
        <f>IMAGE("https://raw.githubusercontent.com/ltdimages/images/refs/heads/main/ClothSocksShortLeggings_01.png")</f>
        <v/>
      </c>
      <c r="E23" s="22" t="str">
        <f>IMAGE("https://raw.githubusercontent.com/ltdimages/images/refs/heads/main/ClothSocksShortLeggings_02.png")</f>
        <v/>
      </c>
      <c r="F23" s="22" t="str">
        <f>IMAGE("https://raw.githubusercontent.com/ltdimages/images/refs/heads/main/ClothSocksShortLeggings_03.png")</f>
        <v/>
      </c>
      <c r="G23" s="22" t="str">
        <f>IMAGE("https://raw.githubusercontent.com/ltdimages/images/refs/heads/main/ClothSocksShortLeggings_04.png")</f>
        <v/>
      </c>
      <c r="H23" s="22" t="str">
        <f>IMAGE("https://raw.githubusercontent.com/ltdimages/images/refs/heads/main/ClothSocksShortLeggings_05.png")</f>
        <v/>
      </c>
      <c r="I23" s="22" t="str">
        <f>IMAGE("https://raw.githubusercontent.com/ltdimages/images/refs/heads/main/ClothSocksShortLeggings_06.png")</f>
        <v/>
      </c>
      <c r="J23" s="22" t="str">
        <f>IMAGE("https://raw.githubusercontent.com/ltdimages/images/refs/heads/main/ClothSocksShortLeggings_07.png")</f>
        <v/>
      </c>
      <c r="K23" s="63" t="s">
        <v>5982</v>
      </c>
      <c r="L23" s="23">
        <v>4.0</v>
      </c>
      <c r="M23" s="22" t="s">
        <v>3097</v>
      </c>
      <c r="N23" s="22" t="s">
        <v>3123</v>
      </c>
      <c r="O23" s="22" t="s">
        <v>45</v>
      </c>
      <c r="P23" s="22" t="s">
        <v>45</v>
      </c>
      <c r="Q23" s="22" t="s">
        <v>45</v>
      </c>
      <c r="R23" s="22" t="s">
        <v>45</v>
      </c>
      <c r="S23" s="22" t="s">
        <v>45</v>
      </c>
      <c r="T23" s="22" t="s">
        <v>2002</v>
      </c>
      <c r="U23" s="22" t="s">
        <v>45</v>
      </c>
      <c r="V23" s="22" t="s">
        <v>45</v>
      </c>
      <c r="W23" s="22" t="s">
        <v>6009</v>
      </c>
      <c r="X23" s="22" t="s">
        <v>3095</v>
      </c>
      <c r="Y23" s="22" t="s">
        <v>3095</v>
      </c>
      <c r="Z23" s="22" t="s">
        <v>3095</v>
      </c>
      <c r="AA23" s="22" t="s">
        <v>3095</v>
      </c>
      <c r="AB23" s="22" t="s">
        <v>3095</v>
      </c>
      <c r="AC23" s="22" t="s">
        <v>3095</v>
      </c>
      <c r="AD23" s="22" t="s">
        <v>3095</v>
      </c>
      <c r="AE23" s="22" t="s">
        <v>3095</v>
      </c>
      <c r="AF23" s="22" t="s">
        <v>3095</v>
      </c>
    </row>
    <row r="24" ht="45.0" customHeight="1">
      <c r="A24" s="55" t="s">
        <v>156</v>
      </c>
      <c r="B24" s="62" t="s">
        <v>4731</v>
      </c>
      <c r="C24" s="22" t="str">
        <f>IMAGE("https://raw.githubusercontent.com/ltdimages/images/refs/heads/main/ClothSocksSpider_00.png")</f>
        <v/>
      </c>
      <c r="D24" s="22" t="str">
        <f>IMAGE("https://raw.githubusercontent.com/ltdimages/images/refs/heads/main/ClothSocksSpider_01.png")</f>
        <v/>
      </c>
      <c r="E24" s="22" t="str">
        <f>IMAGE("https://raw.githubusercontent.com/ltdimages/images/refs/heads/main/ClothSocksSpider_02.png")</f>
        <v/>
      </c>
      <c r="F24" s="22" t="str">
        <f>IMAGE("https://raw.githubusercontent.com/ltdimages/images/refs/heads/main/ClothSocksSpider_03.png")</f>
        <v/>
      </c>
      <c r="G24" s="22" t="str">
        <f>IMAGE("https://raw.githubusercontent.com/ltdimages/images/refs/heads/main/ClothSocksSpider_04.png")</f>
        <v/>
      </c>
      <c r="H24" s="22" t="str">
        <f>IMAGE("https://raw.githubusercontent.com/ltdimages/images/refs/heads/main/ClothSocksSpider_05.png")</f>
        <v/>
      </c>
      <c r="I24" s="22" t="str">
        <f>IMAGE("https://raw.githubusercontent.com/ltdimages/images/refs/heads/main/ClothSocksSpider_06.png")</f>
        <v/>
      </c>
      <c r="J24" s="22" t="str">
        <f>IMAGE("https://raw.githubusercontent.com/ltdimages/images/refs/heads/main/ClothSocksSpider_07.png")</f>
        <v/>
      </c>
      <c r="K24" s="63" t="s">
        <v>5982</v>
      </c>
      <c r="L24" s="23">
        <v>7.8</v>
      </c>
      <c r="M24" s="22" t="s">
        <v>3097</v>
      </c>
      <c r="N24" s="22" t="s">
        <v>3099</v>
      </c>
      <c r="O24" s="22" t="s">
        <v>45</v>
      </c>
      <c r="P24" s="22" t="s">
        <v>45</v>
      </c>
      <c r="Q24" s="22" t="s">
        <v>45</v>
      </c>
      <c r="R24" s="22" t="s">
        <v>45</v>
      </c>
      <c r="S24" s="22" t="s">
        <v>45</v>
      </c>
      <c r="T24" s="22" t="s">
        <v>2002</v>
      </c>
      <c r="U24" s="22" t="s">
        <v>45</v>
      </c>
      <c r="V24" s="22" t="s">
        <v>45</v>
      </c>
      <c r="W24" s="22" t="s">
        <v>6010</v>
      </c>
      <c r="X24" s="22" t="s">
        <v>3095</v>
      </c>
      <c r="Y24" s="22" t="s">
        <v>3095</v>
      </c>
      <c r="Z24" s="22" t="s">
        <v>3095</v>
      </c>
      <c r="AA24" s="22" t="s">
        <v>3095</v>
      </c>
      <c r="AB24" s="22" t="s">
        <v>3095</v>
      </c>
      <c r="AC24" s="22" t="s">
        <v>3095</v>
      </c>
      <c r="AD24" s="22" t="s">
        <v>3095</v>
      </c>
      <c r="AE24" s="22" t="s">
        <v>3095</v>
      </c>
      <c r="AF24" s="22" t="s">
        <v>3095</v>
      </c>
    </row>
    <row r="25" ht="45.0" customHeight="1">
      <c r="A25" s="55" t="s">
        <v>161</v>
      </c>
      <c r="B25" s="62" t="s">
        <v>6011</v>
      </c>
      <c r="C25" s="22" t="str">
        <f>IMAGE("https://raw.githubusercontent.com/ltdimages/images/refs/heads/main/ClothSocksStarLeggings_00.png")</f>
        <v/>
      </c>
      <c r="D25" s="22" t="str">
        <f>IMAGE("https://raw.githubusercontent.com/ltdimages/images/refs/heads/main/ClothSocksStarLeggings_01.png")</f>
        <v/>
      </c>
      <c r="E25" s="22" t="str">
        <f>IMAGE("https://raw.githubusercontent.com/ltdimages/images/refs/heads/main/ClothSocksStarLeggings_02.png")</f>
        <v/>
      </c>
      <c r="F25" s="22" t="str">
        <f>IMAGE("https://raw.githubusercontent.com/ltdimages/images/refs/heads/main/ClothSocksStarLeggings_03.png")</f>
        <v/>
      </c>
      <c r="G25" s="22" t="str">
        <f>IMAGE("https://raw.githubusercontent.com/ltdimages/images/refs/heads/main/ClothSocksStarLeggings_04.png")</f>
        <v/>
      </c>
      <c r="H25" s="22" t="str">
        <f>IMAGE("https://raw.githubusercontent.com/ltdimages/images/refs/heads/main/ClothSocksStarLeggings_05.png")</f>
        <v/>
      </c>
      <c r="I25" s="22" t="s">
        <v>3095</v>
      </c>
      <c r="J25" s="22" t="s">
        <v>3095</v>
      </c>
      <c r="K25" s="63" t="s">
        <v>5982</v>
      </c>
      <c r="L25" s="23">
        <v>6.5</v>
      </c>
      <c r="M25" s="22" t="s">
        <v>3097</v>
      </c>
      <c r="N25" s="22" t="s">
        <v>3099</v>
      </c>
      <c r="O25" s="22" t="s">
        <v>45</v>
      </c>
      <c r="P25" s="22" t="s">
        <v>45</v>
      </c>
      <c r="Q25" s="22" t="s">
        <v>45</v>
      </c>
      <c r="R25" s="22" t="s">
        <v>45</v>
      </c>
      <c r="S25" s="22" t="s">
        <v>45</v>
      </c>
      <c r="T25" s="22" t="s">
        <v>2002</v>
      </c>
      <c r="U25" s="22" t="s">
        <v>45</v>
      </c>
      <c r="V25" s="22" t="s">
        <v>45</v>
      </c>
      <c r="W25" s="22" t="s">
        <v>6012</v>
      </c>
      <c r="X25" s="22" t="s">
        <v>3095</v>
      </c>
      <c r="Y25" s="22" t="s">
        <v>3095</v>
      </c>
      <c r="Z25" s="22" t="s">
        <v>3095</v>
      </c>
      <c r="AA25" s="22" t="s">
        <v>3095</v>
      </c>
      <c r="AB25" s="22" t="s">
        <v>3095</v>
      </c>
      <c r="AC25" s="22" t="s">
        <v>3095</v>
      </c>
      <c r="AD25" s="22" t="s">
        <v>3095</v>
      </c>
      <c r="AE25" s="22" t="s">
        <v>3095</v>
      </c>
      <c r="AF25" s="22" t="s">
        <v>3095</v>
      </c>
    </row>
    <row r="26" ht="45.0" customHeight="1">
      <c r="A26" s="55" t="s">
        <v>165</v>
      </c>
      <c r="B26" s="62" t="s">
        <v>6013</v>
      </c>
      <c r="C26" s="22" t="str">
        <f>IMAGE("https://raw.githubusercontent.com/ltdimages/images/refs/heads/main/ClothSocksStar_00.png")</f>
        <v/>
      </c>
      <c r="D26" s="22" t="str">
        <f>IMAGE("https://raw.githubusercontent.com/ltdimages/images/refs/heads/main/ClothSocksStar_01.png")</f>
        <v/>
      </c>
      <c r="E26" s="22" t="str">
        <f>IMAGE("https://raw.githubusercontent.com/ltdimages/images/refs/heads/main/ClothSocksStar_02.png")</f>
        <v/>
      </c>
      <c r="F26" s="22" t="str">
        <f>IMAGE("https://raw.githubusercontent.com/ltdimages/images/refs/heads/main/ClothSocksStar_03.png")</f>
        <v/>
      </c>
      <c r="G26" s="22" t="str">
        <f>IMAGE("https://raw.githubusercontent.com/ltdimages/images/refs/heads/main/ClothSocksStar_04.png")</f>
        <v/>
      </c>
      <c r="H26" s="22" t="str">
        <f>IMAGE("https://raw.githubusercontent.com/ltdimages/images/refs/heads/main/ClothSocksStar_05.png")</f>
        <v/>
      </c>
      <c r="I26" s="22" t="s">
        <v>3095</v>
      </c>
      <c r="J26" s="22" t="s">
        <v>3095</v>
      </c>
      <c r="K26" s="63" t="s">
        <v>5982</v>
      </c>
      <c r="L26" s="23">
        <v>6.4</v>
      </c>
      <c r="M26" s="22" t="s">
        <v>3097</v>
      </c>
      <c r="N26" s="22" t="s">
        <v>3099</v>
      </c>
      <c r="O26" s="22" t="s">
        <v>45</v>
      </c>
      <c r="P26" s="22" t="s">
        <v>45</v>
      </c>
      <c r="Q26" s="22" t="s">
        <v>45</v>
      </c>
      <c r="R26" s="22" t="s">
        <v>45</v>
      </c>
      <c r="S26" s="22" t="s">
        <v>45</v>
      </c>
      <c r="T26" s="22" t="s">
        <v>2002</v>
      </c>
      <c r="U26" s="22" t="s">
        <v>45</v>
      </c>
      <c r="V26" s="22" t="s">
        <v>45</v>
      </c>
      <c r="W26" s="22" t="s">
        <v>6014</v>
      </c>
      <c r="X26" s="22" t="s">
        <v>3095</v>
      </c>
      <c r="Y26" s="22" t="s">
        <v>3095</v>
      </c>
      <c r="Z26" s="22" t="s">
        <v>3095</v>
      </c>
      <c r="AA26" s="22" t="s">
        <v>3095</v>
      </c>
      <c r="AB26" s="22" t="s">
        <v>3095</v>
      </c>
      <c r="AC26" s="22" t="s">
        <v>3095</v>
      </c>
      <c r="AD26" s="22" t="s">
        <v>3095</v>
      </c>
      <c r="AE26" s="22" t="s">
        <v>3095</v>
      </c>
      <c r="AF26" s="22" t="s">
        <v>3095</v>
      </c>
    </row>
    <row r="27" ht="45.0" customHeight="1">
      <c r="A27" s="55" t="s">
        <v>170</v>
      </c>
      <c r="B27" s="62" t="s">
        <v>3296</v>
      </c>
      <c r="C27" s="22" t="str">
        <f>IMAGE("https://raw.githubusercontent.com/ltdimages/images/refs/heads/main/ClothSocksTwoLineShort_00.png")</f>
        <v/>
      </c>
      <c r="D27" s="22" t="str">
        <f>IMAGE("https://raw.githubusercontent.com/ltdimages/images/refs/heads/main/ClothSocksTwoLineShort_01.png")</f>
        <v/>
      </c>
      <c r="E27" s="22" t="str">
        <f>IMAGE("https://raw.githubusercontent.com/ltdimages/images/refs/heads/main/ClothSocksTwoLineShort_02.png")</f>
        <v/>
      </c>
      <c r="F27" s="22" t="str">
        <f>IMAGE("https://raw.githubusercontent.com/ltdimages/images/refs/heads/main/ClothSocksTwoLineShort_03.png")</f>
        <v/>
      </c>
      <c r="G27" s="22" t="str">
        <f>IMAGE("https://raw.githubusercontent.com/ltdimages/images/refs/heads/main/ClothSocksTwoLineShort_04.png")</f>
        <v/>
      </c>
      <c r="H27" s="22" t="str">
        <f>IMAGE("https://raw.githubusercontent.com/ltdimages/images/refs/heads/main/ClothSocksTwoLineShort_05.png")</f>
        <v/>
      </c>
      <c r="I27" s="22" t="str">
        <f>IMAGE("https://raw.githubusercontent.com/ltdimages/images/refs/heads/main/ClothSocksTwoLineShort_06.png")</f>
        <v/>
      </c>
      <c r="J27" s="22" t="str">
        <f>IMAGE("https://raw.githubusercontent.com/ltdimages/images/refs/heads/main/ClothSocksTwoLineShort_07.png")</f>
        <v/>
      </c>
      <c r="K27" s="63" t="s">
        <v>5982</v>
      </c>
      <c r="L27" s="23">
        <v>4.6</v>
      </c>
      <c r="M27" s="22" t="s">
        <v>3097</v>
      </c>
      <c r="N27" s="22" t="s">
        <v>3099</v>
      </c>
      <c r="O27" s="22" t="s">
        <v>45</v>
      </c>
      <c r="P27" s="22" t="s">
        <v>45</v>
      </c>
      <c r="Q27" s="22" t="s">
        <v>45</v>
      </c>
      <c r="R27" s="22" t="s">
        <v>45</v>
      </c>
      <c r="S27" s="22" t="s">
        <v>45</v>
      </c>
      <c r="T27" s="22" t="s">
        <v>2002</v>
      </c>
      <c r="U27" s="22" t="s">
        <v>45</v>
      </c>
      <c r="V27" s="22" t="s">
        <v>45</v>
      </c>
      <c r="W27" s="22" t="s">
        <v>6015</v>
      </c>
      <c r="X27" s="22" t="s">
        <v>3095</v>
      </c>
      <c r="Y27" s="22" t="s">
        <v>3095</v>
      </c>
      <c r="Z27" s="22" t="s">
        <v>3095</v>
      </c>
      <c r="AA27" s="22" t="s">
        <v>3095</v>
      </c>
      <c r="AB27" s="22" t="s">
        <v>3095</v>
      </c>
      <c r="AC27" s="22" t="s">
        <v>3095</v>
      </c>
      <c r="AD27" s="22" t="s">
        <v>3095</v>
      </c>
      <c r="AE27" s="22" t="s">
        <v>3095</v>
      </c>
      <c r="AF27" s="22" t="s">
        <v>3095</v>
      </c>
    </row>
    <row r="28" ht="45.0" customHeight="1">
      <c r="A28" s="55" t="s">
        <v>175</v>
      </c>
      <c r="B28" s="62" t="s">
        <v>6016</v>
      </c>
      <c r="C28" s="22" t="str">
        <f>IMAGE("https://raw.githubusercontent.com/ltdimages/images/refs/heads/main/ClothSocksLeggingsBorder_00.png")</f>
        <v/>
      </c>
      <c r="D28" s="22" t="str">
        <f>IMAGE("https://raw.githubusercontent.com/ltdimages/images/refs/heads/main/ClothSocksLeggingsBorder_01.png")</f>
        <v/>
      </c>
      <c r="E28" s="22" t="str">
        <f>IMAGE("https://raw.githubusercontent.com/ltdimages/images/refs/heads/main/ClothSocksLeggingsBorder_02.png")</f>
        <v/>
      </c>
      <c r="F28" s="22" t="str">
        <f>IMAGE("https://raw.githubusercontent.com/ltdimages/images/refs/heads/main/ClothSocksLeggingsBorder_03.png")</f>
        <v/>
      </c>
      <c r="G28" s="22" t="str">
        <f>IMAGE("https://raw.githubusercontent.com/ltdimages/images/refs/heads/main/ClothSocksLeggingsBorder_04.png")</f>
        <v/>
      </c>
      <c r="H28" s="22" t="str">
        <f>IMAGE("https://raw.githubusercontent.com/ltdimages/images/refs/heads/main/ClothSocksLeggingsBorder_05.png")</f>
        <v/>
      </c>
      <c r="I28" s="22" t="str">
        <f>IMAGE("https://raw.githubusercontent.com/ltdimages/images/refs/heads/main/ClothSocksLeggingsBorder_06.png")</f>
        <v/>
      </c>
      <c r="J28" s="22" t="str">
        <f>IMAGE("https://raw.githubusercontent.com/ltdimages/images/refs/heads/main/ClothSocksLeggingsBorder_07.png")</f>
        <v/>
      </c>
      <c r="K28" s="63" t="s">
        <v>5982</v>
      </c>
      <c r="L28" s="23">
        <v>5.1</v>
      </c>
      <c r="M28" s="22" t="s">
        <v>3097</v>
      </c>
      <c r="N28" s="22" t="s">
        <v>3099</v>
      </c>
      <c r="O28" s="22" t="s">
        <v>45</v>
      </c>
      <c r="P28" s="22" t="s">
        <v>45</v>
      </c>
      <c r="Q28" s="22" t="s">
        <v>45</v>
      </c>
      <c r="R28" s="22" t="s">
        <v>45</v>
      </c>
      <c r="S28" s="22" t="s">
        <v>45</v>
      </c>
      <c r="T28" s="22" t="s">
        <v>2002</v>
      </c>
      <c r="U28" s="22" t="s">
        <v>45</v>
      </c>
      <c r="V28" s="22" t="s">
        <v>45</v>
      </c>
      <c r="W28" s="22" t="s">
        <v>6017</v>
      </c>
      <c r="X28" s="22" t="s">
        <v>3095</v>
      </c>
      <c r="Y28" s="22" t="s">
        <v>3095</v>
      </c>
      <c r="Z28" s="22" t="s">
        <v>3095</v>
      </c>
      <c r="AA28" s="22" t="s">
        <v>3095</v>
      </c>
      <c r="AB28" s="22" t="s">
        <v>3095</v>
      </c>
      <c r="AC28" s="22" t="s">
        <v>3095</v>
      </c>
      <c r="AD28" s="22" t="s">
        <v>3095</v>
      </c>
      <c r="AE28" s="22" t="s">
        <v>3095</v>
      </c>
      <c r="AF28" s="22" t="s">
        <v>3095</v>
      </c>
    </row>
    <row r="29" ht="45.0" customHeight="1">
      <c r="A29" s="55" t="s">
        <v>180</v>
      </c>
      <c r="B29" s="62" t="s">
        <v>3862</v>
      </c>
      <c r="C29" s="22" t="str">
        <f>IMAGE("https://raw.githubusercontent.com/ltdimages/images/refs/heads/main/ClothSocksBorder_00.png")</f>
        <v/>
      </c>
      <c r="D29" s="22" t="str">
        <f>IMAGE("https://raw.githubusercontent.com/ltdimages/images/refs/heads/main/ClothSocksBorder_01.png")</f>
        <v/>
      </c>
      <c r="E29" s="22" t="str">
        <f>IMAGE("https://raw.githubusercontent.com/ltdimages/images/refs/heads/main/ClothSocksBorder_02.png")</f>
        <v/>
      </c>
      <c r="F29" s="22" t="str">
        <f>IMAGE("https://raw.githubusercontent.com/ltdimages/images/refs/heads/main/ClothSocksBorder_03.png")</f>
        <v/>
      </c>
      <c r="G29" s="22" t="str">
        <f>IMAGE("https://raw.githubusercontent.com/ltdimages/images/refs/heads/main/ClothSocksBorder_04.png")</f>
        <v/>
      </c>
      <c r="H29" s="22" t="str">
        <f>IMAGE("https://raw.githubusercontent.com/ltdimages/images/refs/heads/main/ClothSocksBorder_05.png")</f>
        <v/>
      </c>
      <c r="I29" s="22" t="str">
        <f>IMAGE("https://raw.githubusercontent.com/ltdimages/images/refs/heads/main/ClothSocksBorder_06.png")</f>
        <v/>
      </c>
      <c r="J29" s="22" t="str">
        <f>IMAGE("https://raw.githubusercontent.com/ltdimages/images/refs/heads/main/ClothSocksBorder_07.png")</f>
        <v/>
      </c>
      <c r="K29" s="63" t="s">
        <v>5982</v>
      </c>
      <c r="L29" s="23">
        <v>5.2</v>
      </c>
      <c r="M29" s="22" t="s">
        <v>3097</v>
      </c>
      <c r="N29" s="22" t="s">
        <v>3099</v>
      </c>
      <c r="O29" s="22" t="s">
        <v>45</v>
      </c>
      <c r="P29" s="22" t="s">
        <v>45</v>
      </c>
      <c r="Q29" s="22" t="s">
        <v>45</v>
      </c>
      <c r="R29" s="22" t="s">
        <v>45</v>
      </c>
      <c r="S29" s="22" t="s">
        <v>45</v>
      </c>
      <c r="T29" s="22" t="s">
        <v>2002</v>
      </c>
      <c r="U29" s="22" t="s">
        <v>45</v>
      </c>
      <c r="V29" s="22" t="s">
        <v>45</v>
      </c>
      <c r="W29" s="22" t="s">
        <v>6018</v>
      </c>
      <c r="X29" s="22" t="s">
        <v>3095</v>
      </c>
      <c r="Y29" s="22" t="s">
        <v>3095</v>
      </c>
      <c r="Z29" s="22" t="s">
        <v>3095</v>
      </c>
      <c r="AA29" s="22" t="s">
        <v>3095</v>
      </c>
      <c r="AB29" s="22" t="s">
        <v>3095</v>
      </c>
      <c r="AC29" s="22" t="s">
        <v>3095</v>
      </c>
      <c r="AD29" s="22" t="s">
        <v>3095</v>
      </c>
      <c r="AE29" s="22" t="s">
        <v>3095</v>
      </c>
      <c r="AF29" s="22" t="s">
        <v>3095</v>
      </c>
    </row>
    <row r="30" ht="45.0" customHeight="1">
      <c r="A30" s="55" t="s">
        <v>185</v>
      </c>
      <c r="B30" s="62" t="s">
        <v>6019</v>
      </c>
      <c r="C30" s="22" t="str">
        <f>IMAGE("https://raw.githubusercontent.com/ltdimages/images/refs/heads/main/ClothSocksSushi_00.png")</f>
        <v/>
      </c>
      <c r="D30" s="22" t="str">
        <f>IMAGE("https://raw.githubusercontent.com/ltdimages/images/refs/heads/main/ClothSocksSushi_01.png")</f>
        <v/>
      </c>
      <c r="E30" s="22" t="str">
        <f>IMAGE("https://raw.githubusercontent.com/ltdimages/images/refs/heads/main/ClothSocksSushi_02.png")</f>
        <v/>
      </c>
      <c r="F30" s="22" t="str">
        <f>IMAGE("https://raw.githubusercontent.com/ltdimages/images/refs/heads/main/ClothSocksSushi_03.png")</f>
        <v/>
      </c>
      <c r="G30" s="22" t="str">
        <f>IMAGE("https://raw.githubusercontent.com/ltdimages/images/refs/heads/main/ClothSocksSushi_04.png")</f>
        <v/>
      </c>
      <c r="H30" s="22" t="str">
        <f>IMAGE("https://raw.githubusercontent.com/ltdimages/images/refs/heads/main/ClothSocksSushi_05.png")</f>
        <v/>
      </c>
      <c r="I30" s="22" t="s">
        <v>3095</v>
      </c>
      <c r="J30" s="22" t="s">
        <v>3095</v>
      </c>
      <c r="K30" s="63" t="s">
        <v>5982</v>
      </c>
      <c r="L30" s="23">
        <v>10.0</v>
      </c>
      <c r="M30" s="22" t="s">
        <v>3097</v>
      </c>
      <c r="N30" s="22" t="s">
        <v>3099</v>
      </c>
      <c r="O30" s="22" t="s">
        <v>45</v>
      </c>
      <c r="P30" s="22" t="s">
        <v>45</v>
      </c>
      <c r="Q30" s="22" t="s">
        <v>45</v>
      </c>
      <c r="R30" s="22" t="s">
        <v>45</v>
      </c>
      <c r="S30" s="22" t="s">
        <v>45</v>
      </c>
      <c r="T30" s="22" t="s">
        <v>2002</v>
      </c>
      <c r="U30" s="22" t="s">
        <v>45</v>
      </c>
      <c r="V30" s="22" t="s">
        <v>45</v>
      </c>
      <c r="W30" s="22" t="s">
        <v>6020</v>
      </c>
      <c r="X30" s="22" t="s">
        <v>3095</v>
      </c>
      <c r="Y30" s="22" t="s">
        <v>3095</v>
      </c>
      <c r="Z30" s="22" t="s">
        <v>3095</v>
      </c>
      <c r="AA30" s="22" t="s">
        <v>3095</v>
      </c>
      <c r="AB30" s="22" t="s">
        <v>3095</v>
      </c>
      <c r="AC30" s="22" t="s">
        <v>3095</v>
      </c>
      <c r="AD30" s="22" t="s">
        <v>3095</v>
      </c>
      <c r="AE30" s="22" t="s">
        <v>3095</v>
      </c>
      <c r="AF30" s="22" t="s">
        <v>3095</v>
      </c>
    </row>
    <row r="31" ht="45.0" customHeight="1">
      <c r="A31" s="55" t="s">
        <v>189</v>
      </c>
      <c r="B31" s="62" t="s">
        <v>3304</v>
      </c>
      <c r="C31" s="22" t="str">
        <f>IMAGE("https://raw.githubusercontent.com/ltdimages/images/refs/heads/main/ClothSocksTabi_00.png")</f>
        <v/>
      </c>
      <c r="D31" s="22" t="str">
        <f>IMAGE("https://raw.githubusercontent.com/ltdimages/images/refs/heads/main/ClothSocksTabi_01.png")</f>
        <v/>
      </c>
      <c r="E31" s="22" t="str">
        <f>IMAGE("https://raw.githubusercontent.com/ltdimages/images/refs/heads/main/ClothSocksTabi_02.png")</f>
        <v/>
      </c>
      <c r="F31" s="22" t="str">
        <f>IMAGE("https://raw.githubusercontent.com/ltdimages/images/refs/heads/main/ClothSocksTabi_03.png")</f>
        <v/>
      </c>
      <c r="G31" s="22" t="str">
        <f>IMAGE("https://raw.githubusercontent.com/ltdimages/images/refs/heads/main/ClothSocksTabi_04.png")</f>
        <v/>
      </c>
      <c r="H31" s="22" t="str">
        <f>IMAGE("https://raw.githubusercontent.com/ltdimages/images/refs/heads/main/ClothSocksTabi_05.png")</f>
        <v/>
      </c>
      <c r="I31" s="22" t="s">
        <v>3095</v>
      </c>
      <c r="J31" s="22" t="s">
        <v>3095</v>
      </c>
      <c r="K31" s="63" t="s">
        <v>5982</v>
      </c>
      <c r="L31" s="23">
        <v>4.5</v>
      </c>
      <c r="M31" s="22" t="s">
        <v>3097</v>
      </c>
      <c r="N31" s="22" t="s">
        <v>3099</v>
      </c>
      <c r="O31" s="22" t="s">
        <v>45</v>
      </c>
      <c r="P31" s="22" t="s">
        <v>45</v>
      </c>
      <c r="Q31" s="22" t="s">
        <v>45</v>
      </c>
      <c r="R31" s="22" t="s">
        <v>45</v>
      </c>
      <c r="S31" s="22" t="s">
        <v>45</v>
      </c>
      <c r="T31" s="22" t="s">
        <v>2002</v>
      </c>
      <c r="U31" s="22" t="s">
        <v>45</v>
      </c>
      <c r="V31" s="22" t="s">
        <v>45</v>
      </c>
      <c r="W31" s="22" t="s">
        <v>6021</v>
      </c>
      <c r="X31" s="22" t="s">
        <v>3095</v>
      </c>
      <c r="Y31" s="22" t="s">
        <v>3095</v>
      </c>
      <c r="Z31" s="22" t="s">
        <v>3095</v>
      </c>
      <c r="AA31" s="22" t="s">
        <v>3095</v>
      </c>
      <c r="AB31" s="22" t="s">
        <v>3095</v>
      </c>
      <c r="AC31" s="22" t="s">
        <v>3095</v>
      </c>
      <c r="AD31" s="22" t="s">
        <v>3095</v>
      </c>
      <c r="AE31" s="22" t="s">
        <v>3095</v>
      </c>
      <c r="AF31" s="22" t="s">
        <v>3095</v>
      </c>
    </row>
    <row r="32" ht="45.0" customHeight="1">
      <c r="A32" s="55" t="s">
        <v>194</v>
      </c>
      <c r="B32" s="62" t="s">
        <v>6022</v>
      </c>
      <c r="C32" s="22" t="str">
        <f>IMAGE("https://raw.githubusercontent.com/ltdimages/images/refs/heads/main/ClothSocksTiedye_00.png")</f>
        <v/>
      </c>
      <c r="D32" s="22" t="str">
        <f>IMAGE("https://raw.githubusercontent.com/ltdimages/images/refs/heads/main/ClothSocksTiedye_01.png")</f>
        <v/>
      </c>
      <c r="E32" s="22" t="str">
        <f>IMAGE("https://raw.githubusercontent.com/ltdimages/images/refs/heads/main/ClothSocksTiedye_02.png")</f>
        <v/>
      </c>
      <c r="F32" s="22" t="str">
        <f>IMAGE("https://raw.githubusercontent.com/ltdimages/images/refs/heads/main/ClothSocksTiedye_03.png")</f>
        <v/>
      </c>
      <c r="G32" s="22" t="str">
        <f>IMAGE("https://raw.githubusercontent.com/ltdimages/images/refs/heads/main/ClothSocksTiedye_04.png")</f>
        <v/>
      </c>
      <c r="H32" s="22" t="str">
        <f>IMAGE("https://raw.githubusercontent.com/ltdimages/images/refs/heads/main/ClothSocksTiedye_05.png")</f>
        <v/>
      </c>
      <c r="I32" s="22" t="str">
        <f>IMAGE("https://raw.githubusercontent.com/ltdimages/images/refs/heads/main/ClothSocksTiedye_06.png")</f>
        <v/>
      </c>
      <c r="J32" s="22" t="str">
        <f>IMAGE("https://raw.githubusercontent.com/ltdimages/images/refs/heads/main/ClothSocksTiedye_07.png")</f>
        <v/>
      </c>
      <c r="K32" s="63" t="s">
        <v>5982</v>
      </c>
      <c r="L32" s="23">
        <v>6.0</v>
      </c>
      <c r="M32" s="22" t="s">
        <v>3097</v>
      </c>
      <c r="N32" s="22" t="s">
        <v>3099</v>
      </c>
      <c r="O32" s="22" t="s">
        <v>45</v>
      </c>
      <c r="P32" s="22" t="s">
        <v>45</v>
      </c>
      <c r="Q32" s="22" t="s">
        <v>45</v>
      </c>
      <c r="R32" s="22" t="s">
        <v>45</v>
      </c>
      <c r="S32" s="22" t="s">
        <v>45</v>
      </c>
      <c r="T32" s="22" t="s">
        <v>2002</v>
      </c>
      <c r="U32" s="22" t="s">
        <v>45</v>
      </c>
      <c r="V32" s="22" t="s">
        <v>45</v>
      </c>
      <c r="W32" s="22" t="s">
        <v>6023</v>
      </c>
      <c r="X32" s="22" t="s">
        <v>3095</v>
      </c>
      <c r="Y32" s="22" t="s">
        <v>3095</v>
      </c>
      <c r="Z32" s="22" t="s">
        <v>3095</v>
      </c>
      <c r="AA32" s="22" t="s">
        <v>3095</v>
      </c>
      <c r="AB32" s="22" t="s">
        <v>3095</v>
      </c>
      <c r="AC32" s="22" t="s">
        <v>3095</v>
      </c>
      <c r="AD32" s="22" t="s">
        <v>3095</v>
      </c>
      <c r="AE32" s="22" t="s">
        <v>3095</v>
      </c>
      <c r="AF32" s="22" t="s">
        <v>3095</v>
      </c>
    </row>
    <row r="33" ht="45.0" customHeight="1">
      <c r="A33" s="55" t="s">
        <v>198</v>
      </c>
      <c r="B33" s="62" t="s">
        <v>3164</v>
      </c>
      <c r="C33" s="22" t="str">
        <f>IMAGE("https://raw.githubusercontent.com/ltdimages/images/refs/heads/main/ClothSocksTights_00.png")</f>
        <v/>
      </c>
      <c r="D33" s="22" t="str">
        <f>IMAGE("https://raw.githubusercontent.com/ltdimages/images/refs/heads/main/ClothSocksTights_01.png")</f>
        <v/>
      </c>
      <c r="E33" s="22" t="str">
        <f>IMAGE("https://raw.githubusercontent.com/ltdimages/images/refs/heads/main/ClothSocksTights_02.png")</f>
        <v/>
      </c>
      <c r="F33" s="22" t="str">
        <f>IMAGE("https://raw.githubusercontent.com/ltdimages/images/refs/heads/main/ClothSocksTights_03.png")</f>
        <v/>
      </c>
      <c r="G33" s="22" t="str">
        <f>IMAGE("https://raw.githubusercontent.com/ltdimages/images/refs/heads/main/ClothSocksTights_04.png")</f>
        <v/>
      </c>
      <c r="H33" s="22" t="str">
        <f>IMAGE("https://raw.githubusercontent.com/ltdimages/images/refs/heads/main/ClothSocksTights_05.png")</f>
        <v/>
      </c>
      <c r="I33" s="22" t="str">
        <f>IMAGE("https://raw.githubusercontent.com/ltdimages/images/refs/heads/main/ClothSocksTights_06.png")</f>
        <v/>
      </c>
      <c r="J33" s="22" t="str">
        <f>IMAGE("https://raw.githubusercontent.com/ltdimages/images/refs/heads/main/ClothSocksTights_07.png")</f>
        <v/>
      </c>
      <c r="K33" s="63" t="s">
        <v>5982</v>
      </c>
      <c r="L33" s="23">
        <v>5.0</v>
      </c>
      <c r="M33" s="22" t="s">
        <v>3097</v>
      </c>
      <c r="N33" s="22" t="s">
        <v>3099</v>
      </c>
      <c r="O33" s="22" t="s">
        <v>45</v>
      </c>
      <c r="P33" s="22" t="s">
        <v>45</v>
      </c>
      <c r="Q33" s="22" t="s">
        <v>45</v>
      </c>
      <c r="R33" s="22" t="s">
        <v>45</v>
      </c>
      <c r="S33" s="22" t="s">
        <v>45</v>
      </c>
      <c r="T33" s="22" t="s">
        <v>2002</v>
      </c>
      <c r="U33" s="22" t="s">
        <v>45</v>
      </c>
      <c r="V33" s="22" t="s">
        <v>45</v>
      </c>
      <c r="W33" s="22" t="s">
        <v>6024</v>
      </c>
      <c r="X33" s="22" t="s">
        <v>3095</v>
      </c>
      <c r="Y33" s="22" t="s">
        <v>3095</v>
      </c>
      <c r="Z33" s="22" t="s">
        <v>3095</v>
      </c>
      <c r="AA33" s="22" t="s">
        <v>3095</v>
      </c>
      <c r="AB33" s="22" t="s">
        <v>3095</v>
      </c>
      <c r="AC33" s="22" t="s">
        <v>3095</v>
      </c>
      <c r="AD33" s="22" t="s">
        <v>3095</v>
      </c>
      <c r="AE33" s="22" t="s">
        <v>3095</v>
      </c>
      <c r="AF33" s="22" t="s">
        <v>3095</v>
      </c>
    </row>
    <row r="34" ht="45.0" customHeight="1">
      <c r="A34" s="55" t="s">
        <v>202</v>
      </c>
      <c r="B34" s="62" t="s">
        <v>6025</v>
      </c>
      <c r="C34" s="22" t="str">
        <f>IMAGE("https://raw.githubusercontent.com/ltdimages/images/refs/heads/main/ClothSocksBicolor_00.png")</f>
        <v/>
      </c>
      <c r="D34" s="22" t="str">
        <f>IMAGE("https://raw.githubusercontent.com/ltdimages/images/refs/heads/main/ClothSocksBicolor_01.png")</f>
        <v/>
      </c>
      <c r="E34" s="22" t="str">
        <f>IMAGE("https://raw.githubusercontent.com/ltdimages/images/refs/heads/main/ClothSocksBicolor_02.png")</f>
        <v/>
      </c>
      <c r="F34" s="22" t="str">
        <f>IMAGE("https://raw.githubusercontent.com/ltdimages/images/refs/heads/main/ClothSocksBicolor_03.png")</f>
        <v/>
      </c>
      <c r="G34" s="22" t="str">
        <f>IMAGE("https://raw.githubusercontent.com/ltdimages/images/refs/heads/main/ClothSocksBicolor_04.png")</f>
        <v/>
      </c>
      <c r="H34" s="22" t="str">
        <f>IMAGE("https://raw.githubusercontent.com/ltdimages/images/refs/heads/main/ClothSocksBicolor_05.png")</f>
        <v/>
      </c>
      <c r="I34" s="22" t="str">
        <f>IMAGE("https://raw.githubusercontent.com/ltdimages/images/refs/heads/main/ClothSocksBicolor_06.png")</f>
        <v/>
      </c>
      <c r="J34" s="22" t="str">
        <f>IMAGE("https://raw.githubusercontent.com/ltdimages/images/refs/heads/main/ClothSocksBicolor_07.png")</f>
        <v/>
      </c>
      <c r="K34" s="63" t="s">
        <v>5982</v>
      </c>
      <c r="L34" s="23">
        <v>7.5</v>
      </c>
      <c r="M34" s="22" t="s">
        <v>3097</v>
      </c>
      <c r="N34" s="22" t="s">
        <v>3099</v>
      </c>
      <c r="O34" s="22" t="s">
        <v>45</v>
      </c>
      <c r="P34" s="22" t="s">
        <v>45</v>
      </c>
      <c r="Q34" s="22" t="s">
        <v>45</v>
      </c>
      <c r="R34" s="22" t="s">
        <v>45</v>
      </c>
      <c r="S34" s="22" t="s">
        <v>45</v>
      </c>
      <c r="T34" s="22" t="s">
        <v>2002</v>
      </c>
      <c r="U34" s="22" t="s">
        <v>45</v>
      </c>
      <c r="V34" s="22" t="s">
        <v>45</v>
      </c>
      <c r="W34" s="22" t="s">
        <v>6026</v>
      </c>
      <c r="X34" s="22" t="s">
        <v>3095</v>
      </c>
      <c r="Y34" s="22" t="s">
        <v>3095</v>
      </c>
      <c r="Z34" s="22" t="s">
        <v>3095</v>
      </c>
      <c r="AA34" s="22" t="s">
        <v>3095</v>
      </c>
      <c r="AB34" s="22" t="s">
        <v>3095</v>
      </c>
      <c r="AC34" s="22" t="s">
        <v>3095</v>
      </c>
      <c r="AD34" s="22" t="s">
        <v>3095</v>
      </c>
      <c r="AE34" s="22" t="s">
        <v>3095</v>
      </c>
      <c r="AF34" s="22" t="s">
        <v>3095</v>
      </c>
    </row>
    <row r="35" ht="45.0" customHeight="1">
      <c r="A35" s="55" t="s">
        <v>207</v>
      </c>
      <c r="B35" s="62" t="s">
        <v>3365</v>
      </c>
      <c r="C35" s="22" t="str">
        <f>IMAGE("https://raw.githubusercontent.com/ltdimages/images/refs/heads/main/ClothSocksRunning_00.png")</f>
        <v/>
      </c>
      <c r="D35" s="22" t="str">
        <f>IMAGE("https://raw.githubusercontent.com/ltdimages/images/refs/heads/main/ClothSocksRunning_01.png")</f>
        <v/>
      </c>
      <c r="E35" s="22" t="str">
        <f>IMAGE("https://raw.githubusercontent.com/ltdimages/images/refs/heads/main/ClothSocksRunning_02.png")</f>
        <v/>
      </c>
      <c r="F35" s="22" t="str">
        <f>IMAGE("https://raw.githubusercontent.com/ltdimages/images/refs/heads/main/ClothSocksRunning_03.png")</f>
        <v/>
      </c>
      <c r="G35" s="22" t="str">
        <f>IMAGE("https://raw.githubusercontent.com/ltdimages/images/refs/heads/main/ClothSocksRunning_04.png")</f>
        <v/>
      </c>
      <c r="H35" s="22" t="str">
        <f>IMAGE("https://raw.githubusercontent.com/ltdimages/images/refs/heads/main/ClothSocksRunning_05.png")</f>
        <v/>
      </c>
      <c r="I35" s="22" t="str">
        <f>IMAGE("https://raw.githubusercontent.com/ltdimages/images/refs/heads/main/ClothSocksRunning_06.png")</f>
        <v/>
      </c>
      <c r="J35" s="22" t="str">
        <f>IMAGE("https://raw.githubusercontent.com/ltdimages/images/refs/heads/main/ClothSocksRunning_07.png")</f>
        <v/>
      </c>
      <c r="K35" s="63" t="s">
        <v>5982</v>
      </c>
      <c r="L35" s="23">
        <v>8.2</v>
      </c>
      <c r="M35" s="22" t="s">
        <v>3097</v>
      </c>
      <c r="N35" s="22" t="s">
        <v>3099</v>
      </c>
      <c r="O35" s="22" t="s">
        <v>45</v>
      </c>
      <c r="P35" s="22" t="s">
        <v>45</v>
      </c>
      <c r="Q35" s="22" t="s">
        <v>45</v>
      </c>
      <c r="R35" s="22" t="s">
        <v>45</v>
      </c>
      <c r="S35" s="22" t="s">
        <v>45</v>
      </c>
      <c r="T35" s="22" t="s">
        <v>2002</v>
      </c>
      <c r="U35" s="22" t="s">
        <v>45</v>
      </c>
      <c r="V35" s="22" t="s">
        <v>45</v>
      </c>
      <c r="W35" s="22" t="s">
        <v>6027</v>
      </c>
      <c r="X35" s="22" t="s">
        <v>3095</v>
      </c>
      <c r="Y35" s="22" t="s">
        <v>3095</v>
      </c>
      <c r="Z35" s="22" t="s">
        <v>3095</v>
      </c>
      <c r="AA35" s="22" t="s">
        <v>3095</v>
      </c>
      <c r="AB35" s="22" t="s">
        <v>3095</v>
      </c>
      <c r="AC35" s="22" t="s">
        <v>3095</v>
      </c>
      <c r="AD35" s="22" t="s">
        <v>3095</v>
      </c>
      <c r="AE35" s="22" t="s">
        <v>3095</v>
      </c>
      <c r="AF35" s="22" t="s">
        <v>3095</v>
      </c>
    </row>
    <row r="36" ht="45.0" customHeight="1">
      <c r="A36" s="55" t="s">
        <v>211</v>
      </c>
      <c r="B36" s="62" t="s">
        <v>4355</v>
      </c>
      <c r="C36" s="22" t="str">
        <f>IMAGE("https://raw.githubusercontent.com/ltdimages/images/refs/heads/main/ClothSocksBackRibbon_00.png")</f>
        <v/>
      </c>
      <c r="D36" s="22" t="str">
        <f>IMAGE("https://raw.githubusercontent.com/ltdimages/images/refs/heads/main/ClothSocksBackRibbon_01.png")</f>
        <v/>
      </c>
      <c r="E36" s="22" t="str">
        <f>IMAGE("https://raw.githubusercontent.com/ltdimages/images/refs/heads/main/ClothSocksBackRibbon_02.png")</f>
        <v/>
      </c>
      <c r="F36" s="22" t="str">
        <f>IMAGE("https://raw.githubusercontent.com/ltdimages/images/refs/heads/main/ClothSocksBackRibbon_03.png")</f>
        <v/>
      </c>
      <c r="G36" s="22" t="str">
        <f>IMAGE("https://raw.githubusercontent.com/ltdimages/images/refs/heads/main/ClothSocksBackRibbon_04.png")</f>
        <v/>
      </c>
      <c r="H36" s="22" t="str">
        <f>IMAGE("https://raw.githubusercontent.com/ltdimages/images/refs/heads/main/ClothSocksBackRibbon_05.png")</f>
        <v/>
      </c>
      <c r="I36" s="22" t="s">
        <v>3095</v>
      </c>
      <c r="J36" s="22" t="s">
        <v>3095</v>
      </c>
      <c r="K36" s="63" t="s">
        <v>5982</v>
      </c>
      <c r="L36" s="23">
        <v>5.2</v>
      </c>
      <c r="M36" s="22" t="s">
        <v>4231</v>
      </c>
      <c r="N36" s="22" t="s">
        <v>3099</v>
      </c>
      <c r="O36" s="22" t="s">
        <v>45</v>
      </c>
      <c r="P36" s="22" t="s">
        <v>45</v>
      </c>
      <c r="Q36" s="22" t="s">
        <v>45</v>
      </c>
      <c r="R36" s="22" t="s">
        <v>45</v>
      </c>
      <c r="S36" s="22" t="s">
        <v>45</v>
      </c>
      <c r="T36" s="22" t="s">
        <v>2002</v>
      </c>
      <c r="U36" s="22" t="s">
        <v>45</v>
      </c>
      <c r="V36" s="22" t="s">
        <v>45</v>
      </c>
      <c r="W36" s="22" t="s">
        <v>6028</v>
      </c>
      <c r="X36" s="22" t="s">
        <v>3095</v>
      </c>
      <c r="Y36" s="22" t="s">
        <v>3095</v>
      </c>
      <c r="Z36" s="22" t="s">
        <v>3095</v>
      </c>
      <c r="AA36" s="22" t="s">
        <v>3095</v>
      </c>
      <c r="AB36" s="22" t="s">
        <v>3095</v>
      </c>
      <c r="AC36" s="22" t="s">
        <v>3095</v>
      </c>
      <c r="AD36" s="22" t="s">
        <v>3095</v>
      </c>
      <c r="AE36" s="22" t="s">
        <v>3095</v>
      </c>
      <c r="AF36" s="22" t="s">
        <v>3095</v>
      </c>
    </row>
    <row r="37" ht="45.0" customHeight="1">
      <c r="A37" s="55" t="s">
        <v>215</v>
      </c>
      <c r="B37" s="62" t="s">
        <v>4381</v>
      </c>
      <c r="C37" s="22" t="str">
        <f>IMAGE("https://raw.githubusercontent.com/ltdimages/images/refs/heads/main/ClothSocksKneeSocks_00.png")</f>
        <v/>
      </c>
      <c r="D37" s="22" t="str">
        <f>IMAGE("https://raw.githubusercontent.com/ltdimages/images/refs/heads/main/ClothSocksKneeSocks_01.png")</f>
        <v/>
      </c>
      <c r="E37" s="22" t="str">
        <f>IMAGE("https://raw.githubusercontent.com/ltdimages/images/refs/heads/main/ClothSocksKneeSocks_02.png")</f>
        <v/>
      </c>
      <c r="F37" s="22" t="str">
        <f>IMAGE("https://raw.githubusercontent.com/ltdimages/images/refs/heads/main/ClothSocksKneeSocks_03.png")</f>
        <v/>
      </c>
      <c r="G37" s="22" t="str">
        <f>IMAGE("https://raw.githubusercontent.com/ltdimages/images/refs/heads/main/ClothSocksKneeSocks_04.png")</f>
        <v/>
      </c>
      <c r="H37" s="22" t="str">
        <f>IMAGE("https://raw.githubusercontent.com/ltdimages/images/refs/heads/main/ClothSocksKneeSocks_05.png")</f>
        <v/>
      </c>
      <c r="I37" s="22" t="str">
        <f>IMAGE("https://raw.githubusercontent.com/ltdimages/images/refs/heads/main/ClothSocksKneeSocks_06.png")</f>
        <v/>
      </c>
      <c r="J37" s="22" t="str">
        <f>IMAGE("https://raw.githubusercontent.com/ltdimages/images/refs/heads/main/ClothSocksKneeSocks_07.png")</f>
        <v/>
      </c>
      <c r="K37" s="63" t="s">
        <v>5982</v>
      </c>
      <c r="L37" s="23">
        <v>5.1</v>
      </c>
      <c r="M37" s="22" t="s">
        <v>4231</v>
      </c>
      <c r="N37" s="22" t="s">
        <v>3099</v>
      </c>
      <c r="O37" s="22" t="s">
        <v>45</v>
      </c>
      <c r="P37" s="22" t="s">
        <v>45</v>
      </c>
      <c r="Q37" s="22" t="s">
        <v>45</v>
      </c>
      <c r="R37" s="22" t="s">
        <v>45</v>
      </c>
      <c r="S37" s="22" t="s">
        <v>45</v>
      </c>
      <c r="T37" s="22" t="s">
        <v>2002</v>
      </c>
      <c r="U37" s="22" t="s">
        <v>45</v>
      </c>
      <c r="V37" s="22" t="s">
        <v>45</v>
      </c>
      <c r="W37" s="22" t="s">
        <v>6029</v>
      </c>
      <c r="X37" s="22" t="s">
        <v>3095</v>
      </c>
      <c r="Y37" s="22" t="s">
        <v>3095</v>
      </c>
      <c r="Z37" s="22" t="s">
        <v>3095</v>
      </c>
      <c r="AA37" s="22" t="s">
        <v>3095</v>
      </c>
      <c r="AB37" s="22" t="s">
        <v>3095</v>
      </c>
      <c r="AC37" s="22" t="s">
        <v>3095</v>
      </c>
      <c r="AD37" s="22" t="s">
        <v>3095</v>
      </c>
      <c r="AE37" s="22" t="s">
        <v>3095</v>
      </c>
      <c r="AF37" s="22" t="s">
        <v>3095</v>
      </c>
    </row>
    <row r="38" ht="45.0" customHeight="1">
      <c r="A38" s="55" t="s">
        <v>220</v>
      </c>
      <c r="B38" s="62" t="s">
        <v>6030</v>
      </c>
      <c r="C38" s="22" t="str">
        <f>IMAGE("https://raw.githubusercontent.com/ltdimages/images/refs/heads/main/ClothSocksCat_00.png")</f>
        <v/>
      </c>
      <c r="D38" s="22" t="str">
        <f>IMAGE("https://raw.githubusercontent.com/ltdimages/images/refs/heads/main/ClothSocksCat_01.png")</f>
        <v/>
      </c>
      <c r="E38" s="22" t="str">
        <f>IMAGE("https://raw.githubusercontent.com/ltdimages/images/refs/heads/main/ClothSocksCat_02.png")</f>
        <v/>
      </c>
      <c r="F38" s="22" t="str">
        <f>IMAGE("https://raw.githubusercontent.com/ltdimages/images/refs/heads/main/ClothSocksCat_03.png")</f>
        <v/>
      </c>
      <c r="G38" s="22" t="str">
        <f>IMAGE("https://raw.githubusercontent.com/ltdimages/images/refs/heads/main/ClothSocksCat_04.png")</f>
        <v/>
      </c>
      <c r="H38" s="22" t="str">
        <f>IMAGE("https://raw.githubusercontent.com/ltdimages/images/refs/heads/main/ClothSocksCat_05.png")</f>
        <v/>
      </c>
      <c r="I38" s="22" t="str">
        <f>IMAGE("https://raw.githubusercontent.com/ltdimages/images/refs/heads/main/ClothSocksCat_06.png")</f>
        <v/>
      </c>
      <c r="J38" s="22" t="str">
        <f>IMAGE("https://raw.githubusercontent.com/ltdimages/images/refs/heads/main/ClothSocksCat_07.png")</f>
        <v/>
      </c>
      <c r="K38" s="63" t="s">
        <v>5982</v>
      </c>
      <c r="L38" s="23">
        <v>6.6</v>
      </c>
      <c r="M38" s="22" t="s">
        <v>4231</v>
      </c>
      <c r="N38" s="22" t="s">
        <v>3099</v>
      </c>
      <c r="O38" s="22" t="s">
        <v>45</v>
      </c>
      <c r="P38" s="22" t="s">
        <v>45</v>
      </c>
      <c r="Q38" s="22" t="s">
        <v>45</v>
      </c>
      <c r="R38" s="22" t="s">
        <v>45</v>
      </c>
      <c r="S38" s="22" t="s">
        <v>45</v>
      </c>
      <c r="T38" s="22" t="s">
        <v>2002</v>
      </c>
      <c r="U38" s="22" t="s">
        <v>45</v>
      </c>
      <c r="V38" s="22" t="s">
        <v>45</v>
      </c>
      <c r="W38" s="22" t="s">
        <v>6031</v>
      </c>
      <c r="X38" s="22" t="s">
        <v>3095</v>
      </c>
      <c r="Y38" s="22" t="s">
        <v>3095</v>
      </c>
      <c r="Z38" s="22" t="s">
        <v>3095</v>
      </c>
      <c r="AA38" s="22" t="s">
        <v>3095</v>
      </c>
      <c r="AB38" s="22" t="s">
        <v>3095</v>
      </c>
      <c r="AC38" s="22" t="s">
        <v>3095</v>
      </c>
      <c r="AD38" s="22" t="s">
        <v>3095</v>
      </c>
      <c r="AE38" s="22" t="s">
        <v>3095</v>
      </c>
      <c r="AF38" s="22" t="s">
        <v>3095</v>
      </c>
    </row>
    <row r="39" ht="45.0" customHeight="1">
      <c r="A39" s="55" t="s">
        <v>224</v>
      </c>
      <c r="B39" s="62" t="s">
        <v>4442</v>
      </c>
      <c r="C39" s="22" t="str">
        <f>IMAGE("https://raw.githubusercontent.com/ltdimages/images/refs/heads/main/ClothSocksFishnet_00.png")</f>
        <v/>
      </c>
      <c r="D39" s="22" t="str">
        <f>IMAGE("https://raw.githubusercontent.com/ltdimages/images/refs/heads/main/ClothSocksFishnet_01.png")</f>
        <v/>
      </c>
      <c r="E39" s="22" t="str">
        <f>IMAGE("https://raw.githubusercontent.com/ltdimages/images/refs/heads/main/ClothSocksFishnet_02.png")</f>
        <v/>
      </c>
      <c r="F39" s="22" t="s">
        <v>3095</v>
      </c>
      <c r="G39" s="22" t="s">
        <v>3095</v>
      </c>
      <c r="H39" s="22" t="s">
        <v>3095</v>
      </c>
      <c r="I39" s="22" t="s">
        <v>3095</v>
      </c>
      <c r="J39" s="22" t="s">
        <v>3095</v>
      </c>
      <c r="K39" s="63" t="s">
        <v>5982</v>
      </c>
      <c r="L39" s="23">
        <v>4.5</v>
      </c>
      <c r="M39" s="22" t="s">
        <v>4231</v>
      </c>
      <c r="N39" s="22" t="s">
        <v>3099</v>
      </c>
      <c r="O39" s="22" t="s">
        <v>45</v>
      </c>
      <c r="P39" s="22" t="s">
        <v>45</v>
      </c>
      <c r="Q39" s="22" t="s">
        <v>45</v>
      </c>
      <c r="R39" s="22" t="s">
        <v>45</v>
      </c>
      <c r="S39" s="22" t="s">
        <v>45</v>
      </c>
      <c r="T39" s="22" t="s">
        <v>2002</v>
      </c>
      <c r="U39" s="22" t="s">
        <v>45</v>
      </c>
      <c r="V39" s="22" t="s">
        <v>45</v>
      </c>
      <c r="W39" s="22" t="s">
        <v>6032</v>
      </c>
      <c r="X39" s="22" t="s">
        <v>3095</v>
      </c>
      <c r="Y39" s="22" t="s">
        <v>3095</v>
      </c>
      <c r="Z39" s="22" t="s">
        <v>3095</v>
      </c>
      <c r="AA39" s="22" t="s">
        <v>3095</v>
      </c>
      <c r="AB39" s="22" t="s">
        <v>3095</v>
      </c>
      <c r="AC39" s="22" t="s">
        <v>3095</v>
      </c>
      <c r="AD39" s="22" t="s">
        <v>3095</v>
      </c>
      <c r="AE39" s="22" t="s">
        <v>3095</v>
      </c>
      <c r="AF39" s="22" t="s">
        <v>3095</v>
      </c>
    </row>
    <row r="40" ht="45.0" customHeight="1">
      <c r="A40" s="55" t="s">
        <v>229</v>
      </c>
      <c r="B40" s="62" t="s">
        <v>4244</v>
      </c>
      <c r="C40" s="22" t="str">
        <f>IMAGE("https://raw.githubusercontent.com/ltdimages/images/refs/heads/main/ClothSocksEmbroidery_00.png")</f>
        <v/>
      </c>
      <c r="D40" s="22" t="str">
        <f>IMAGE("https://raw.githubusercontent.com/ltdimages/images/refs/heads/main/ClothSocksEmbroidery_01.png")</f>
        <v/>
      </c>
      <c r="E40" s="22" t="str">
        <f>IMAGE("https://raw.githubusercontent.com/ltdimages/images/refs/heads/main/ClothSocksEmbroidery_02.png")</f>
        <v/>
      </c>
      <c r="F40" s="22" t="str">
        <f>IMAGE("https://raw.githubusercontent.com/ltdimages/images/refs/heads/main/ClothSocksEmbroidery_03.png")</f>
        <v/>
      </c>
      <c r="G40" s="22" t="str">
        <f>IMAGE("https://raw.githubusercontent.com/ltdimages/images/refs/heads/main/ClothSocksEmbroidery_04.png")</f>
        <v/>
      </c>
      <c r="H40" s="22" t="str">
        <f>IMAGE("https://raw.githubusercontent.com/ltdimages/images/refs/heads/main/ClothSocksEmbroidery_05.png")</f>
        <v/>
      </c>
      <c r="I40" s="22" t="s">
        <v>3095</v>
      </c>
      <c r="J40" s="22" t="s">
        <v>3095</v>
      </c>
      <c r="K40" s="63" t="s">
        <v>5982</v>
      </c>
      <c r="L40" s="23">
        <v>6.2</v>
      </c>
      <c r="M40" s="22" t="s">
        <v>4231</v>
      </c>
      <c r="N40" s="22" t="s">
        <v>3099</v>
      </c>
      <c r="O40" s="22" t="s">
        <v>45</v>
      </c>
      <c r="P40" s="22" t="s">
        <v>45</v>
      </c>
      <c r="Q40" s="22" t="s">
        <v>45</v>
      </c>
      <c r="R40" s="22" t="s">
        <v>45</v>
      </c>
      <c r="S40" s="22" t="s">
        <v>45</v>
      </c>
      <c r="T40" s="22" t="s">
        <v>2002</v>
      </c>
      <c r="U40" s="22" t="s">
        <v>45</v>
      </c>
      <c r="V40" s="22" t="s">
        <v>45</v>
      </c>
      <c r="W40" s="22" t="s">
        <v>6033</v>
      </c>
      <c r="X40" s="22" t="s">
        <v>3095</v>
      </c>
      <c r="Y40" s="22" t="s">
        <v>3095</v>
      </c>
      <c r="Z40" s="22" t="s">
        <v>3095</v>
      </c>
      <c r="AA40" s="22" t="s">
        <v>3095</v>
      </c>
      <c r="AB40" s="22" t="s">
        <v>3095</v>
      </c>
      <c r="AC40" s="22" t="s">
        <v>3095</v>
      </c>
      <c r="AD40" s="22" t="s">
        <v>3095</v>
      </c>
      <c r="AE40" s="22" t="s">
        <v>3095</v>
      </c>
      <c r="AF40" s="22" t="s">
        <v>3095</v>
      </c>
    </row>
    <row r="41" ht="45.0" customHeight="1">
      <c r="A41" s="55" t="s">
        <v>233</v>
      </c>
      <c r="B41" s="62" t="s">
        <v>6034</v>
      </c>
      <c r="C41" s="22" t="str">
        <f>IMAGE("https://raw.githubusercontent.com/ltdimages/images/refs/heads/main/ClothSocksFlower_00.png")</f>
        <v/>
      </c>
      <c r="D41" s="22" t="str">
        <f>IMAGE("https://raw.githubusercontent.com/ltdimages/images/refs/heads/main/ClothSocksFlower_01.png")</f>
        <v/>
      </c>
      <c r="E41" s="22" t="str">
        <f>IMAGE("https://raw.githubusercontent.com/ltdimages/images/refs/heads/main/ClothSocksFlower_02.png")</f>
        <v/>
      </c>
      <c r="F41" s="22" t="str">
        <f>IMAGE("https://raw.githubusercontent.com/ltdimages/images/refs/heads/main/ClothSocksFlower_03.png")</f>
        <v/>
      </c>
      <c r="G41" s="22" t="str">
        <f>IMAGE("https://raw.githubusercontent.com/ltdimages/images/refs/heads/main/ClothSocksFlower_04.png")</f>
        <v/>
      </c>
      <c r="H41" s="22" t="str">
        <f>IMAGE("https://raw.githubusercontent.com/ltdimages/images/refs/heads/main/ClothSocksFlower_05.png")</f>
        <v/>
      </c>
      <c r="I41" s="22" t="s">
        <v>3095</v>
      </c>
      <c r="J41" s="22" t="s">
        <v>3095</v>
      </c>
      <c r="K41" s="63" t="s">
        <v>5982</v>
      </c>
      <c r="L41" s="23">
        <v>6.2</v>
      </c>
      <c r="M41" s="22" t="s">
        <v>4231</v>
      </c>
      <c r="N41" s="22" t="s">
        <v>3099</v>
      </c>
      <c r="O41" s="22" t="s">
        <v>45</v>
      </c>
      <c r="P41" s="22" t="s">
        <v>45</v>
      </c>
      <c r="Q41" s="22" t="s">
        <v>45</v>
      </c>
      <c r="R41" s="22" t="s">
        <v>45</v>
      </c>
      <c r="S41" s="22" t="s">
        <v>45</v>
      </c>
      <c r="T41" s="22" t="s">
        <v>2002</v>
      </c>
      <c r="U41" s="22" t="s">
        <v>45</v>
      </c>
      <c r="V41" s="22" t="s">
        <v>45</v>
      </c>
      <c r="W41" s="22" t="s">
        <v>6035</v>
      </c>
      <c r="X41" s="22" t="s">
        <v>3095</v>
      </c>
      <c r="Y41" s="22" t="s">
        <v>3095</v>
      </c>
      <c r="Z41" s="22" t="s">
        <v>3095</v>
      </c>
      <c r="AA41" s="22" t="s">
        <v>3095</v>
      </c>
      <c r="AB41" s="22" t="s">
        <v>3095</v>
      </c>
      <c r="AC41" s="22" t="s">
        <v>3095</v>
      </c>
      <c r="AD41" s="22" t="s">
        <v>3095</v>
      </c>
      <c r="AE41" s="22" t="s">
        <v>3095</v>
      </c>
      <c r="AF41" s="22" t="s">
        <v>3095</v>
      </c>
    </row>
    <row r="42" ht="45.0" customHeight="1">
      <c r="A42" s="55" t="s">
        <v>237</v>
      </c>
      <c r="B42" s="62" t="s">
        <v>4362</v>
      </c>
      <c r="C42" s="22" t="str">
        <f>IMAGE("https://raw.githubusercontent.com/ltdimages/images/refs/heads/main/ClothSocksHeart_00.png")</f>
        <v/>
      </c>
      <c r="D42" s="22" t="str">
        <f>IMAGE("https://raw.githubusercontent.com/ltdimages/images/refs/heads/main/ClothSocksHeart_01.png")</f>
        <v/>
      </c>
      <c r="E42" s="22" t="str">
        <f>IMAGE("https://raw.githubusercontent.com/ltdimages/images/refs/heads/main/ClothSocksHeart_02.png")</f>
        <v/>
      </c>
      <c r="F42" s="22" t="str">
        <f>IMAGE("https://raw.githubusercontent.com/ltdimages/images/refs/heads/main/ClothSocksHeart_03.png")</f>
        <v/>
      </c>
      <c r="G42" s="22" t="str">
        <f>IMAGE("https://raw.githubusercontent.com/ltdimages/images/refs/heads/main/ClothSocksHeart_04.png")</f>
        <v/>
      </c>
      <c r="H42" s="22" t="str">
        <f>IMAGE("https://raw.githubusercontent.com/ltdimages/images/refs/heads/main/ClothSocksHeart_05.png")</f>
        <v/>
      </c>
      <c r="I42" s="22" t="str">
        <f>IMAGE("https://raw.githubusercontent.com/ltdimages/images/refs/heads/main/ClothSocksHeart_06.png")</f>
        <v/>
      </c>
      <c r="J42" s="22" t="s">
        <v>3095</v>
      </c>
      <c r="K42" s="63" t="s">
        <v>5982</v>
      </c>
      <c r="L42" s="23">
        <v>6.5</v>
      </c>
      <c r="M42" s="22" t="s">
        <v>4231</v>
      </c>
      <c r="N42" s="22" t="s">
        <v>3099</v>
      </c>
      <c r="O42" s="22" t="s">
        <v>45</v>
      </c>
      <c r="P42" s="22" t="s">
        <v>45</v>
      </c>
      <c r="Q42" s="22" t="s">
        <v>45</v>
      </c>
      <c r="R42" s="22" t="s">
        <v>45</v>
      </c>
      <c r="S42" s="22" t="s">
        <v>45</v>
      </c>
      <c r="T42" s="22" t="s">
        <v>2002</v>
      </c>
      <c r="U42" s="22" t="s">
        <v>45</v>
      </c>
      <c r="V42" s="22" t="s">
        <v>45</v>
      </c>
      <c r="W42" s="22" t="s">
        <v>6036</v>
      </c>
      <c r="X42" s="22" t="s">
        <v>3095</v>
      </c>
      <c r="Y42" s="22" t="s">
        <v>3095</v>
      </c>
      <c r="Z42" s="22" t="s">
        <v>3095</v>
      </c>
      <c r="AA42" s="22" t="s">
        <v>3095</v>
      </c>
      <c r="AB42" s="22" t="s">
        <v>3095</v>
      </c>
      <c r="AC42" s="22" t="s">
        <v>3095</v>
      </c>
      <c r="AD42" s="22" t="s">
        <v>3095</v>
      </c>
      <c r="AE42" s="22" t="s">
        <v>3095</v>
      </c>
      <c r="AF42" s="22" t="s">
        <v>3095</v>
      </c>
    </row>
    <row r="43" ht="45.0" customHeight="1">
      <c r="A43" s="55" t="s">
        <v>241</v>
      </c>
      <c r="B43" s="62" t="s">
        <v>6037</v>
      </c>
      <c r="C43" s="22" t="str">
        <f>IMAGE("https://raw.githubusercontent.com/ltdimages/images/refs/heads/main/ClothSocksWholeLace_00.png")</f>
        <v/>
      </c>
      <c r="D43" s="22" t="str">
        <f>IMAGE("https://raw.githubusercontent.com/ltdimages/images/refs/heads/main/ClothSocksWholeLace_01.png")</f>
        <v/>
      </c>
      <c r="E43" s="22" t="str">
        <f>IMAGE("https://raw.githubusercontent.com/ltdimages/images/refs/heads/main/ClothSocksWholeLace_02.png")</f>
        <v/>
      </c>
      <c r="F43" s="22" t="str">
        <f>IMAGE("https://raw.githubusercontent.com/ltdimages/images/refs/heads/main/ClothSocksWholeLace_03.png")</f>
        <v/>
      </c>
      <c r="G43" s="22" t="str">
        <f>IMAGE("https://raw.githubusercontent.com/ltdimages/images/refs/heads/main/ClothSocksWholeLace_04.png")</f>
        <v/>
      </c>
      <c r="H43" s="22" t="str">
        <f>IMAGE("https://raw.githubusercontent.com/ltdimages/images/refs/heads/main/ClothSocksWholeLace_05.png")</f>
        <v/>
      </c>
      <c r="I43" s="22" t="s">
        <v>3095</v>
      </c>
      <c r="J43" s="22" t="s">
        <v>3095</v>
      </c>
      <c r="K43" s="63" t="s">
        <v>5982</v>
      </c>
      <c r="L43" s="23">
        <v>5.3</v>
      </c>
      <c r="M43" s="22" t="s">
        <v>4231</v>
      </c>
      <c r="N43" s="22" t="s">
        <v>3099</v>
      </c>
      <c r="O43" s="22" t="s">
        <v>45</v>
      </c>
      <c r="P43" s="22" t="s">
        <v>45</v>
      </c>
      <c r="Q43" s="22" t="s">
        <v>45</v>
      </c>
      <c r="R43" s="22" t="s">
        <v>45</v>
      </c>
      <c r="S43" s="22" t="s">
        <v>45</v>
      </c>
      <c r="T43" s="22" t="s">
        <v>2002</v>
      </c>
      <c r="U43" s="22" t="s">
        <v>45</v>
      </c>
      <c r="V43" s="22" t="s">
        <v>45</v>
      </c>
      <c r="W43" s="22" t="s">
        <v>6038</v>
      </c>
      <c r="X43" s="22" t="s">
        <v>3095</v>
      </c>
      <c r="Y43" s="22" t="s">
        <v>3095</v>
      </c>
      <c r="Z43" s="22" t="s">
        <v>3095</v>
      </c>
      <c r="AA43" s="22" t="s">
        <v>3095</v>
      </c>
      <c r="AB43" s="22" t="s">
        <v>3095</v>
      </c>
      <c r="AC43" s="22" t="s">
        <v>3095</v>
      </c>
      <c r="AD43" s="22" t="s">
        <v>3095</v>
      </c>
      <c r="AE43" s="22" t="s">
        <v>3095</v>
      </c>
      <c r="AF43" s="22" t="s">
        <v>3095</v>
      </c>
    </row>
    <row r="44" ht="45.0" customHeight="1">
      <c r="A44" s="55" t="s">
        <v>245</v>
      </c>
      <c r="B44" s="62" t="s">
        <v>6039</v>
      </c>
      <c r="C44" s="22" t="str">
        <f>IMAGE("https://raw.githubusercontent.com/ltdimages/images/refs/heads/main/ClothSocksLaceStocking_00.png")</f>
        <v/>
      </c>
      <c r="D44" s="22" t="str">
        <f>IMAGE("https://raw.githubusercontent.com/ltdimages/images/refs/heads/main/ClothSocksLaceStocking_01.png")</f>
        <v/>
      </c>
      <c r="E44" s="22" t="str">
        <f>IMAGE("https://raw.githubusercontent.com/ltdimages/images/refs/heads/main/ClothSocksLaceStocking_02.png")</f>
        <v/>
      </c>
      <c r="F44" s="22" t="s">
        <v>3095</v>
      </c>
      <c r="G44" s="22" t="s">
        <v>3095</v>
      </c>
      <c r="H44" s="22" t="s">
        <v>3095</v>
      </c>
      <c r="I44" s="22" t="s">
        <v>3095</v>
      </c>
      <c r="J44" s="22" t="s">
        <v>3095</v>
      </c>
      <c r="K44" s="63" t="s">
        <v>5982</v>
      </c>
      <c r="L44" s="23">
        <v>5.7</v>
      </c>
      <c r="M44" s="22" t="s">
        <v>4231</v>
      </c>
      <c r="N44" s="22" t="s">
        <v>3099</v>
      </c>
      <c r="O44" s="22" t="s">
        <v>45</v>
      </c>
      <c r="P44" s="22" t="s">
        <v>45</v>
      </c>
      <c r="Q44" s="22" t="s">
        <v>45</v>
      </c>
      <c r="R44" s="22" t="s">
        <v>45</v>
      </c>
      <c r="S44" s="22" t="s">
        <v>45</v>
      </c>
      <c r="T44" s="22" t="s">
        <v>2002</v>
      </c>
      <c r="U44" s="22" t="s">
        <v>45</v>
      </c>
      <c r="V44" s="22" t="s">
        <v>45</v>
      </c>
      <c r="W44" s="22" t="s">
        <v>6040</v>
      </c>
      <c r="X44" s="22" t="s">
        <v>3095</v>
      </c>
      <c r="Y44" s="22" t="s">
        <v>3095</v>
      </c>
      <c r="Z44" s="22" t="s">
        <v>3095</v>
      </c>
      <c r="AA44" s="22" t="s">
        <v>3095</v>
      </c>
      <c r="AB44" s="22" t="s">
        <v>3095</v>
      </c>
      <c r="AC44" s="22" t="s">
        <v>3095</v>
      </c>
      <c r="AD44" s="22" t="s">
        <v>3095</v>
      </c>
      <c r="AE44" s="22" t="s">
        <v>3095</v>
      </c>
      <c r="AF44" s="22" t="s">
        <v>3095</v>
      </c>
    </row>
    <row r="45" ht="45.0" customHeight="1">
      <c r="A45" s="55" t="s">
        <v>249</v>
      </c>
      <c r="B45" s="62" t="s">
        <v>4375</v>
      </c>
      <c r="C45" s="22" t="str">
        <f>IMAGE("https://raw.githubusercontent.com/ltdimages/images/refs/heads/main/ClothSocksKneeSocksRainbow_00.png")</f>
        <v/>
      </c>
      <c r="D45" s="22" t="str">
        <f>IMAGE("https://raw.githubusercontent.com/ltdimages/images/refs/heads/main/ClothSocksKneeSocksRainbow_01.png")</f>
        <v/>
      </c>
      <c r="E45" s="22" t="str">
        <f>IMAGE("https://raw.githubusercontent.com/ltdimages/images/refs/heads/main/ClothSocksKneeSocksRainbow_02.png")</f>
        <v/>
      </c>
      <c r="F45" s="22" t="str">
        <f>IMAGE("https://raw.githubusercontent.com/ltdimages/images/refs/heads/main/ClothSocksKneeSocksRainbow_03.png")</f>
        <v/>
      </c>
      <c r="G45" s="22" t="s">
        <v>3095</v>
      </c>
      <c r="H45" s="22" t="s">
        <v>3095</v>
      </c>
      <c r="I45" s="22" t="s">
        <v>3095</v>
      </c>
      <c r="J45" s="22" t="s">
        <v>3095</v>
      </c>
      <c r="K45" s="63" t="s">
        <v>5982</v>
      </c>
      <c r="L45" s="23">
        <v>5.3</v>
      </c>
      <c r="M45" s="22" t="s">
        <v>4231</v>
      </c>
      <c r="N45" s="22" t="s">
        <v>3099</v>
      </c>
      <c r="O45" s="22" t="s">
        <v>45</v>
      </c>
      <c r="P45" s="22" t="s">
        <v>45</v>
      </c>
      <c r="Q45" s="22" t="s">
        <v>45</v>
      </c>
      <c r="R45" s="22" t="s">
        <v>45</v>
      </c>
      <c r="S45" s="22" t="s">
        <v>45</v>
      </c>
      <c r="T45" s="22" t="s">
        <v>2002</v>
      </c>
      <c r="U45" s="22" t="s">
        <v>45</v>
      </c>
      <c r="V45" s="22" t="s">
        <v>45</v>
      </c>
      <c r="W45" s="22" t="s">
        <v>6041</v>
      </c>
      <c r="X45" s="22" t="s">
        <v>3095</v>
      </c>
      <c r="Y45" s="22" t="s">
        <v>3095</v>
      </c>
      <c r="Z45" s="22" t="s">
        <v>3095</v>
      </c>
      <c r="AA45" s="22" t="s">
        <v>3095</v>
      </c>
      <c r="AB45" s="22" t="s">
        <v>3095</v>
      </c>
      <c r="AC45" s="22" t="s">
        <v>3095</v>
      </c>
      <c r="AD45" s="22" t="s">
        <v>3095</v>
      </c>
      <c r="AE45" s="22" t="s">
        <v>3095</v>
      </c>
      <c r="AF45" s="22" t="s">
        <v>3095</v>
      </c>
    </row>
    <row r="46" ht="45.0" customHeight="1">
      <c r="A46" s="55" t="s">
        <v>253</v>
      </c>
      <c r="B46" s="62" t="s">
        <v>4669</v>
      </c>
      <c r="C46" s="22" t="str">
        <f>IMAGE("https://raw.githubusercontent.com/ltdimages/images/refs/heads/main/ClothSocksRibbon_00.png")</f>
        <v/>
      </c>
      <c r="D46" s="22" t="str">
        <f>IMAGE("https://raw.githubusercontent.com/ltdimages/images/refs/heads/main/ClothSocksRibbon_01.png")</f>
        <v/>
      </c>
      <c r="E46" s="22" t="str">
        <f>IMAGE("https://raw.githubusercontent.com/ltdimages/images/refs/heads/main/ClothSocksRibbon_02.png")</f>
        <v/>
      </c>
      <c r="F46" s="22" t="str">
        <f>IMAGE("https://raw.githubusercontent.com/ltdimages/images/refs/heads/main/ClothSocksRibbon_03.png")</f>
        <v/>
      </c>
      <c r="G46" s="22" t="str">
        <f>IMAGE("https://raw.githubusercontent.com/ltdimages/images/refs/heads/main/ClothSocksRibbon_04.png")</f>
        <v/>
      </c>
      <c r="H46" s="22" t="str">
        <f>IMAGE("https://raw.githubusercontent.com/ltdimages/images/refs/heads/main/ClothSocksRibbon_05.png")</f>
        <v/>
      </c>
      <c r="I46" s="22" t="str">
        <f>IMAGE("https://raw.githubusercontent.com/ltdimages/images/refs/heads/main/ClothSocksRibbon_06.png")</f>
        <v/>
      </c>
      <c r="J46" s="22" t="str">
        <f>IMAGE("https://raw.githubusercontent.com/ltdimages/images/refs/heads/main/ClothSocksRibbon_07.png")</f>
        <v/>
      </c>
      <c r="K46" s="63" t="s">
        <v>5982</v>
      </c>
      <c r="L46" s="23">
        <v>8.0</v>
      </c>
      <c r="M46" s="22" t="s">
        <v>4231</v>
      </c>
      <c r="N46" s="22" t="s">
        <v>3099</v>
      </c>
      <c r="O46" s="22" t="s">
        <v>45</v>
      </c>
      <c r="P46" s="22" t="s">
        <v>45</v>
      </c>
      <c r="Q46" s="22" t="s">
        <v>45</v>
      </c>
      <c r="R46" s="22" t="s">
        <v>45</v>
      </c>
      <c r="S46" s="22" t="s">
        <v>45</v>
      </c>
      <c r="T46" s="22" t="s">
        <v>2002</v>
      </c>
      <c r="U46" s="22" t="s">
        <v>45</v>
      </c>
      <c r="V46" s="22" t="s">
        <v>45</v>
      </c>
      <c r="W46" s="22" t="s">
        <v>6042</v>
      </c>
      <c r="X46" s="22" t="s">
        <v>3095</v>
      </c>
      <c r="Y46" s="22" t="s">
        <v>3095</v>
      </c>
      <c r="Z46" s="22" t="s">
        <v>3095</v>
      </c>
      <c r="AA46" s="22" t="s">
        <v>3095</v>
      </c>
      <c r="AB46" s="22" t="s">
        <v>3095</v>
      </c>
      <c r="AC46" s="22" t="s">
        <v>3095</v>
      </c>
      <c r="AD46" s="22" t="s">
        <v>3095</v>
      </c>
      <c r="AE46" s="22" t="s">
        <v>3095</v>
      </c>
      <c r="AF46" s="22" t="s">
        <v>3095</v>
      </c>
    </row>
    <row r="47" ht="45.0" customHeight="1">
      <c r="A47" s="55" t="s">
        <v>257</v>
      </c>
      <c r="B47" s="62" t="s">
        <v>3583</v>
      </c>
      <c r="C47" s="22" t="str">
        <f>IMAGE("https://raw.githubusercontent.com/ltdimages/images/refs/heads/main/ClothSocksFrilled_00.png")</f>
        <v/>
      </c>
      <c r="D47" s="22" t="str">
        <f>IMAGE("https://raw.githubusercontent.com/ltdimages/images/refs/heads/main/ClothSocksFrilled_01.png")</f>
        <v/>
      </c>
      <c r="E47" s="22" t="str">
        <f>IMAGE("https://raw.githubusercontent.com/ltdimages/images/refs/heads/main/ClothSocksFrilled_02.png")</f>
        <v/>
      </c>
      <c r="F47" s="22" t="str">
        <f>IMAGE("https://raw.githubusercontent.com/ltdimages/images/refs/heads/main/ClothSocksFrilled_03.png")</f>
        <v/>
      </c>
      <c r="G47" s="22" t="s">
        <v>3095</v>
      </c>
      <c r="H47" s="22" t="s">
        <v>3095</v>
      </c>
      <c r="I47" s="22" t="s">
        <v>3095</v>
      </c>
      <c r="J47" s="22" t="s">
        <v>3095</v>
      </c>
      <c r="K47" s="63" t="s">
        <v>5982</v>
      </c>
      <c r="L47" s="23">
        <v>5.8</v>
      </c>
      <c r="M47" s="22" t="s">
        <v>4231</v>
      </c>
      <c r="N47" s="22" t="s">
        <v>3099</v>
      </c>
      <c r="O47" s="22" t="s">
        <v>45</v>
      </c>
      <c r="P47" s="22" t="s">
        <v>45</v>
      </c>
      <c r="Q47" s="22" t="s">
        <v>45</v>
      </c>
      <c r="R47" s="22" t="s">
        <v>45</v>
      </c>
      <c r="S47" s="22" t="s">
        <v>45</v>
      </c>
      <c r="T47" s="22" t="s">
        <v>2002</v>
      </c>
      <c r="U47" s="22" t="s">
        <v>45</v>
      </c>
      <c r="V47" s="22" t="s">
        <v>45</v>
      </c>
      <c r="W47" s="22" t="s">
        <v>6043</v>
      </c>
      <c r="X47" s="22" t="s">
        <v>3095</v>
      </c>
      <c r="Y47" s="22" t="s">
        <v>3095</v>
      </c>
      <c r="Z47" s="22" t="s">
        <v>3095</v>
      </c>
      <c r="AA47" s="22" t="s">
        <v>3095</v>
      </c>
      <c r="AB47" s="22" t="s">
        <v>3095</v>
      </c>
      <c r="AC47" s="22" t="s">
        <v>3095</v>
      </c>
      <c r="AD47" s="22" t="s">
        <v>3095</v>
      </c>
      <c r="AE47" s="22" t="s">
        <v>3095</v>
      </c>
      <c r="AF47" s="22" t="s">
        <v>3095</v>
      </c>
    </row>
    <row r="48" ht="45.0" customHeight="1">
      <c r="A48" s="55" t="s">
        <v>261</v>
      </c>
      <c r="B48" s="62" t="s">
        <v>4459</v>
      </c>
      <c r="C48" s="22" t="str">
        <f>IMAGE("https://raw.githubusercontent.com/ltdimages/images/refs/heads/main/ClothSocksSeethroughDot_00.png")</f>
        <v/>
      </c>
      <c r="D48" s="22" t="str">
        <f>IMAGE("https://raw.githubusercontent.com/ltdimages/images/refs/heads/main/ClothSocksSeethroughDot_01.png")</f>
        <v/>
      </c>
      <c r="E48" s="22" t="str">
        <f>IMAGE("https://raw.githubusercontent.com/ltdimages/images/refs/heads/main/ClothSocksSeethroughDot_02.png")</f>
        <v/>
      </c>
      <c r="F48" s="22" t="str">
        <f>IMAGE("https://raw.githubusercontent.com/ltdimages/images/refs/heads/main/ClothSocksSeethroughDot_03.png")</f>
        <v/>
      </c>
      <c r="G48" s="22" t="str">
        <f>IMAGE("https://raw.githubusercontent.com/ltdimages/images/refs/heads/main/ClothSocksSeethroughDot_04.png")</f>
        <v/>
      </c>
      <c r="H48" s="22" t="str">
        <f>IMAGE("https://raw.githubusercontent.com/ltdimages/images/refs/heads/main/ClothSocksSeethroughDot_05.png")</f>
        <v/>
      </c>
      <c r="I48" s="22" t="s">
        <v>3095</v>
      </c>
      <c r="J48" s="22" t="s">
        <v>3095</v>
      </c>
      <c r="K48" s="63" t="s">
        <v>5982</v>
      </c>
      <c r="L48" s="23">
        <v>5.1</v>
      </c>
      <c r="M48" s="22" t="s">
        <v>4231</v>
      </c>
      <c r="N48" s="22" t="s">
        <v>3099</v>
      </c>
      <c r="O48" s="22" t="s">
        <v>45</v>
      </c>
      <c r="P48" s="22" t="s">
        <v>45</v>
      </c>
      <c r="Q48" s="22" t="s">
        <v>45</v>
      </c>
      <c r="R48" s="22" t="s">
        <v>45</v>
      </c>
      <c r="S48" s="22" t="s">
        <v>45</v>
      </c>
      <c r="T48" s="22" t="s">
        <v>2002</v>
      </c>
      <c r="U48" s="22" t="s">
        <v>45</v>
      </c>
      <c r="V48" s="22" t="s">
        <v>45</v>
      </c>
      <c r="W48" s="22" t="s">
        <v>6044</v>
      </c>
      <c r="X48" s="22" t="s">
        <v>3095</v>
      </c>
      <c r="Y48" s="22" t="s">
        <v>3095</v>
      </c>
      <c r="Z48" s="22" t="s">
        <v>3095</v>
      </c>
      <c r="AA48" s="22" t="s">
        <v>3095</v>
      </c>
      <c r="AB48" s="22" t="s">
        <v>3095</v>
      </c>
      <c r="AC48" s="22" t="s">
        <v>3095</v>
      </c>
      <c r="AD48" s="22" t="s">
        <v>3095</v>
      </c>
      <c r="AE48" s="22" t="s">
        <v>3095</v>
      </c>
      <c r="AF48" s="22" t="s">
        <v>3095</v>
      </c>
    </row>
    <row r="49" ht="45.0" customHeight="1">
      <c r="A49" s="55" t="s">
        <v>265</v>
      </c>
      <c r="B49" s="62" t="s">
        <v>4250</v>
      </c>
      <c r="C49" s="22" t="str">
        <f>IMAGE("https://raw.githubusercontent.com/ltdimages/images/refs/heads/main/ClothSocksStocking_00.png")</f>
        <v/>
      </c>
      <c r="D49" s="22" t="str">
        <f>IMAGE("https://raw.githubusercontent.com/ltdimages/images/refs/heads/main/ClothSocksStocking_01.png")</f>
        <v/>
      </c>
      <c r="E49" s="22" t="str">
        <f>IMAGE("https://raw.githubusercontent.com/ltdimages/images/refs/heads/main/ClothSocksStocking_02.png")</f>
        <v/>
      </c>
      <c r="F49" s="22" t="str">
        <f>IMAGE("https://raw.githubusercontent.com/ltdimages/images/refs/heads/main/ClothSocksStocking_03.png")</f>
        <v/>
      </c>
      <c r="G49" s="22" t="s">
        <v>3095</v>
      </c>
      <c r="H49" s="22" t="s">
        <v>3095</v>
      </c>
      <c r="I49" s="22" t="s">
        <v>3095</v>
      </c>
      <c r="J49" s="22" t="s">
        <v>3095</v>
      </c>
      <c r="K49" s="63" t="s">
        <v>5982</v>
      </c>
      <c r="L49" s="23">
        <v>5.1</v>
      </c>
      <c r="M49" s="22" t="s">
        <v>4231</v>
      </c>
      <c r="N49" s="22" t="s">
        <v>3099</v>
      </c>
      <c r="O49" s="22" t="s">
        <v>45</v>
      </c>
      <c r="P49" s="22" t="s">
        <v>45</v>
      </c>
      <c r="Q49" s="22" t="s">
        <v>45</v>
      </c>
      <c r="R49" s="22" t="s">
        <v>45</v>
      </c>
      <c r="S49" s="22" t="s">
        <v>45</v>
      </c>
      <c r="T49" s="22" t="s">
        <v>2002</v>
      </c>
      <c r="U49" s="22" t="s">
        <v>45</v>
      </c>
      <c r="V49" s="22" t="s">
        <v>45</v>
      </c>
      <c r="W49" s="22" t="s">
        <v>6045</v>
      </c>
      <c r="X49" s="22" t="s">
        <v>3095</v>
      </c>
      <c r="Y49" s="22" t="s">
        <v>3095</v>
      </c>
      <c r="Z49" s="22" t="s">
        <v>3095</v>
      </c>
      <c r="AA49" s="22" t="s">
        <v>3095</v>
      </c>
      <c r="AB49" s="22" t="s">
        <v>3095</v>
      </c>
      <c r="AC49" s="22" t="s">
        <v>3095</v>
      </c>
      <c r="AD49" s="22" t="s">
        <v>3095</v>
      </c>
      <c r="AE49" s="22" t="s">
        <v>3095</v>
      </c>
      <c r="AF49" s="22" t="s">
        <v>3095</v>
      </c>
    </row>
    <row r="50" ht="45.0" customHeight="1">
      <c r="A50" s="55" t="s">
        <v>269</v>
      </c>
      <c r="B50" s="62" t="s">
        <v>6046</v>
      </c>
      <c r="C50" s="22" t="str">
        <f>IMAGE("https://raw.githubusercontent.com/ltdimages/images/refs/heads/main/ClothSocksKneeSocksBorder_00.png")</f>
        <v/>
      </c>
      <c r="D50" s="22" t="str">
        <f>IMAGE("https://raw.githubusercontent.com/ltdimages/images/refs/heads/main/ClothSocksKneeSocksBorder_01.png")</f>
        <v/>
      </c>
      <c r="E50" s="22" t="str">
        <f>IMAGE("https://raw.githubusercontent.com/ltdimages/images/refs/heads/main/ClothSocksKneeSocksBorder_02.png")</f>
        <v/>
      </c>
      <c r="F50" s="22" t="str">
        <f>IMAGE("https://raw.githubusercontent.com/ltdimages/images/refs/heads/main/ClothSocksKneeSocksBorder_03.png")</f>
        <v/>
      </c>
      <c r="G50" s="22" t="str">
        <f>IMAGE("https://raw.githubusercontent.com/ltdimages/images/refs/heads/main/ClothSocksKneeSocksBorder_04.png")</f>
        <v/>
      </c>
      <c r="H50" s="22" t="str">
        <f>IMAGE("https://raw.githubusercontent.com/ltdimages/images/refs/heads/main/ClothSocksKneeSocksBorder_05.png")</f>
        <v/>
      </c>
      <c r="I50" s="22" t="str">
        <f>IMAGE("https://raw.githubusercontent.com/ltdimages/images/refs/heads/main/ClothSocksKneeSocksBorder_06.png")</f>
        <v/>
      </c>
      <c r="J50" s="22" t="str">
        <f>IMAGE("https://raw.githubusercontent.com/ltdimages/images/refs/heads/main/ClothSocksKneeSocksBorder_07.png")</f>
        <v/>
      </c>
      <c r="K50" s="63" t="s">
        <v>5982</v>
      </c>
      <c r="L50" s="23">
        <v>5.4</v>
      </c>
      <c r="M50" s="22" t="s">
        <v>4231</v>
      </c>
      <c r="N50" s="22" t="s">
        <v>3099</v>
      </c>
      <c r="O50" s="22" t="s">
        <v>45</v>
      </c>
      <c r="P50" s="22" t="s">
        <v>45</v>
      </c>
      <c r="Q50" s="22" t="s">
        <v>45</v>
      </c>
      <c r="R50" s="22" t="s">
        <v>45</v>
      </c>
      <c r="S50" s="22" t="s">
        <v>45</v>
      </c>
      <c r="T50" s="22" t="s">
        <v>2002</v>
      </c>
      <c r="U50" s="22" t="s">
        <v>45</v>
      </c>
      <c r="V50" s="22" t="s">
        <v>45</v>
      </c>
      <c r="W50" s="22" t="s">
        <v>6047</v>
      </c>
      <c r="X50" s="22" t="s">
        <v>3095</v>
      </c>
      <c r="Y50" s="22" t="s">
        <v>3095</v>
      </c>
      <c r="Z50" s="22" t="s">
        <v>3095</v>
      </c>
      <c r="AA50" s="22" t="s">
        <v>3095</v>
      </c>
      <c r="AB50" s="22" t="s">
        <v>3095</v>
      </c>
      <c r="AC50" s="22" t="s">
        <v>3095</v>
      </c>
      <c r="AD50" s="22" t="s">
        <v>3095</v>
      </c>
      <c r="AE50" s="22" t="s">
        <v>3095</v>
      </c>
      <c r="AF50" s="22" t="s">
        <v>3095</v>
      </c>
    </row>
    <row r="51" ht="45.0" customHeight="1">
      <c r="A51" s="55" t="s">
        <v>273</v>
      </c>
      <c r="B51" s="62" t="s">
        <v>4325</v>
      </c>
      <c r="C51" s="22" t="str">
        <f>IMAGE("https://raw.githubusercontent.com/ltdimages/images/refs/heads/main/ClothSocksPedicel_00.png")</f>
        <v/>
      </c>
      <c r="D51" s="22" t="str">
        <f>IMAGE("https://raw.githubusercontent.com/ltdimages/images/refs/heads/main/ClothSocksPedicel_01.png")</f>
        <v/>
      </c>
      <c r="E51" s="22" t="str">
        <f>IMAGE("https://raw.githubusercontent.com/ltdimages/images/refs/heads/main/ClothSocksPedicel_02.png")</f>
        <v/>
      </c>
      <c r="F51" s="22" t="str">
        <f>IMAGE("https://raw.githubusercontent.com/ltdimages/images/refs/heads/main/ClothSocksPedicel_03.png")</f>
        <v/>
      </c>
      <c r="G51" s="22" t="str">
        <f>IMAGE("https://raw.githubusercontent.com/ltdimages/images/refs/heads/main/ClothSocksPedicel_04.png")</f>
        <v/>
      </c>
      <c r="H51" s="22" t="str">
        <f>IMAGE("https://raw.githubusercontent.com/ltdimages/images/refs/heads/main/ClothSocksPedicel_05.png")</f>
        <v/>
      </c>
      <c r="I51" s="22" t="str">
        <f>IMAGE("https://raw.githubusercontent.com/ltdimages/images/refs/heads/main/ClothSocksPedicel_06.png")</f>
        <v/>
      </c>
      <c r="J51" s="22" t="str">
        <f>IMAGE("https://raw.githubusercontent.com/ltdimages/images/refs/heads/main/ClothSocksPedicel_07.png")</f>
        <v/>
      </c>
      <c r="K51" s="63" t="s">
        <v>5982</v>
      </c>
      <c r="L51" s="23">
        <v>6.0</v>
      </c>
      <c r="M51" s="22" t="s">
        <v>4231</v>
      </c>
      <c r="N51" s="22" t="s">
        <v>3099</v>
      </c>
      <c r="O51" s="22" t="s">
        <v>45</v>
      </c>
      <c r="P51" s="22" t="s">
        <v>45</v>
      </c>
      <c r="Q51" s="22" t="s">
        <v>45</v>
      </c>
      <c r="R51" s="22" t="s">
        <v>45</v>
      </c>
      <c r="S51" s="22" t="s">
        <v>45</v>
      </c>
      <c r="T51" s="22" t="s">
        <v>2002</v>
      </c>
      <c r="U51" s="22" t="s">
        <v>45</v>
      </c>
      <c r="V51" s="22" t="s">
        <v>45</v>
      </c>
      <c r="W51" s="22" t="s">
        <v>6048</v>
      </c>
      <c r="X51" s="22" t="s">
        <v>3095</v>
      </c>
      <c r="Y51" s="22" t="s">
        <v>3095</v>
      </c>
      <c r="Z51" s="22" t="s">
        <v>3095</v>
      </c>
      <c r="AA51" s="22" t="s">
        <v>3095</v>
      </c>
      <c r="AB51" s="22" t="s">
        <v>3095</v>
      </c>
      <c r="AC51" s="22" t="s">
        <v>3095</v>
      </c>
      <c r="AD51" s="22" t="s">
        <v>3095</v>
      </c>
      <c r="AE51" s="22" t="s">
        <v>3095</v>
      </c>
      <c r="AF51" s="22" t="s">
        <v>3095</v>
      </c>
    </row>
    <row r="52" ht="45.0" customHeight="1">
      <c r="A52" s="55" t="s">
        <v>3095</v>
      </c>
      <c r="B52" s="62" t="s">
        <v>4746</v>
      </c>
      <c r="C52" s="22" t="str">
        <f>IMAGE("https://raw.githubusercontent.com/ltdimages/images/refs/heads/main/ClothSocksDefault_00.png")</f>
        <v/>
      </c>
      <c r="D52" s="22" t="str">
        <f>IMAGE("https://raw.githubusercontent.com/ltdimages/images/refs/heads/main/ClothSocksDefault_01.png")</f>
        <v/>
      </c>
      <c r="E52" s="22" t="str">
        <f>IMAGE("https://raw.githubusercontent.com/ltdimages/images/refs/heads/main/ClothSocksDefault_02.png")</f>
        <v/>
      </c>
      <c r="F52" s="22" t="str">
        <f>IMAGE("https://raw.githubusercontent.com/ltdimages/images/refs/heads/main/ClothSocksDefault_03.png")</f>
        <v/>
      </c>
      <c r="G52" s="22" t="str">
        <f>IMAGE("https://raw.githubusercontent.com/ltdimages/images/refs/heads/main/ClothSocksDefault_04.png")</f>
        <v/>
      </c>
      <c r="H52" s="22" t="str">
        <f>IMAGE("https://raw.githubusercontent.com/ltdimages/images/refs/heads/main/ClothSocksDefault_05.png")</f>
        <v/>
      </c>
      <c r="I52" s="22" t="str">
        <f>IMAGE("https://raw.githubusercontent.com/ltdimages/images/refs/heads/main/ClothSocksDefault_06.png")</f>
        <v/>
      </c>
      <c r="J52" s="22" t="str">
        <f>IMAGE("https://raw.githubusercontent.com/ltdimages/images/refs/heads/main/ClothSocksDefault_07.png")</f>
        <v/>
      </c>
      <c r="K52" s="63" t="s">
        <v>5982</v>
      </c>
      <c r="L52" s="23">
        <v>0.0</v>
      </c>
      <c r="M52" s="22" t="s">
        <v>3097</v>
      </c>
      <c r="N52" s="22" t="s">
        <v>3099</v>
      </c>
      <c r="O52" s="22" t="s">
        <v>45</v>
      </c>
      <c r="P52" s="22" t="s">
        <v>45</v>
      </c>
      <c r="Q52" s="22" t="s">
        <v>45</v>
      </c>
      <c r="R52" s="22" t="s">
        <v>45</v>
      </c>
      <c r="S52" s="22" t="s">
        <v>49</v>
      </c>
      <c r="T52" s="22" t="s">
        <v>2002</v>
      </c>
      <c r="U52" s="22" t="s">
        <v>45</v>
      </c>
      <c r="V52" s="22" t="s">
        <v>45</v>
      </c>
      <c r="W52" s="22" t="s">
        <v>6049</v>
      </c>
      <c r="X52" s="22" t="str">
        <f>IMAGE("https://raw.githubusercontent.com/ltdimages/images/refs/heads/main/ClothSocksDefault_08.png")</f>
        <v/>
      </c>
      <c r="Y52" s="22" t="str">
        <f>IMAGE("https://raw.githubusercontent.com/ltdimages/images/refs/heads/main/ClothSocksDefault_09.png")</f>
        <v/>
      </c>
      <c r="Z52" s="22" t="str">
        <f>IMAGE("https://raw.githubusercontent.com/ltdimages/images/refs/heads/main/ClothSocksDefault_10.png")</f>
        <v/>
      </c>
      <c r="AA52" s="22" t="str">
        <f>IMAGE("https://raw.githubusercontent.com/ltdimages/images/refs/heads/main/ClothSocksDefault_11.png")</f>
        <v/>
      </c>
      <c r="AB52" s="22" t="str">
        <f>IMAGE("https://raw.githubusercontent.com/ltdimages/images/refs/heads/main/ClothSocksDefault_12.png")</f>
        <v/>
      </c>
      <c r="AC52" s="22" t="str">
        <f>IMAGE("https://raw.githubusercontent.com/ltdimages/images/refs/heads/main/ClothSocksDefault_13.png")</f>
        <v/>
      </c>
      <c r="AD52" s="22" t="str">
        <f>IMAGE("https://raw.githubusercontent.com/ltdimages/images/refs/heads/main/ClothSocksDefault_14.png")</f>
        <v/>
      </c>
      <c r="AE52" s="22" t="str">
        <f>IMAGE("https://raw.githubusercontent.com/ltdimages/images/refs/heads/main/ClothSocksDefault_15.png")</f>
        <v/>
      </c>
      <c r="AF52" s="22" t="str">
        <f>IMAGE("https://raw.githubusercontent.com/ltdimages/images/refs/heads/main/ClothSocksDefault_16.png")</f>
        <v/>
      </c>
    </row>
  </sheetData>
  <autoFilter ref="$A$1:$AF$5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88"/>
    <col customWidth="1" min="2" max="2" width="18.0"/>
    <col customWidth="1" min="3" max="10" width="7.63"/>
    <col customWidth="1" min="11" max="11" width="15.13"/>
    <col customWidth="1" min="12" max="12" width="13.63"/>
    <col customWidth="1" min="13" max="13" width="9.5"/>
    <col customWidth="1" min="14" max="14" width="13.63"/>
    <col customWidth="1" min="15" max="15" width="8.63"/>
    <col customWidth="1" min="16" max="16" width="8.5"/>
    <col customWidth="1" min="17" max="17" width="12.63"/>
    <col customWidth="1" min="18" max="18" width="9.75"/>
    <col customWidth="1" min="19" max="19" width="15.13"/>
    <col customWidth="1" min="20" max="20" width="11.38"/>
    <col customWidth="1" min="21" max="21" width="8.38"/>
    <col customWidth="1" min="22" max="22" width="9.38"/>
    <col customWidth="1" min="23" max="23" width="31.0"/>
    <col customWidth="1" min="24" max="32" width="7.63"/>
  </cols>
  <sheetData>
    <row r="1" ht="31.5" customHeight="1">
      <c r="A1" s="58" t="s">
        <v>23</v>
      </c>
      <c r="B1" s="59" t="s">
        <v>25</v>
      </c>
      <c r="C1" s="60" t="s">
        <v>3059</v>
      </c>
      <c r="D1" s="60" t="s">
        <v>3060</v>
      </c>
      <c r="E1" s="60" t="s">
        <v>3061</v>
      </c>
      <c r="F1" s="60" t="s">
        <v>3062</v>
      </c>
      <c r="G1" s="60" t="s">
        <v>3063</v>
      </c>
      <c r="H1" s="60" t="s">
        <v>3064</v>
      </c>
      <c r="I1" s="60" t="s">
        <v>3065</v>
      </c>
      <c r="J1" s="60" t="s">
        <v>3066</v>
      </c>
      <c r="K1" s="19" t="s">
        <v>1993</v>
      </c>
      <c r="L1" s="19" t="s">
        <v>29</v>
      </c>
      <c r="M1" s="19" t="s">
        <v>3067</v>
      </c>
      <c r="N1" s="19" t="s">
        <v>3069</v>
      </c>
      <c r="O1" s="19" t="s">
        <v>3070</v>
      </c>
      <c r="P1" s="19" t="s">
        <v>3071</v>
      </c>
      <c r="Q1" s="19" t="s">
        <v>3072</v>
      </c>
      <c r="R1" s="19" t="s">
        <v>3073</v>
      </c>
      <c r="S1" s="19" t="s">
        <v>3075</v>
      </c>
      <c r="T1" s="19" t="s">
        <v>4749</v>
      </c>
      <c r="U1" s="19" t="s">
        <v>4750</v>
      </c>
      <c r="V1" s="19" t="s">
        <v>4751</v>
      </c>
      <c r="W1" s="19" t="s">
        <v>40</v>
      </c>
      <c r="X1" s="60" t="s">
        <v>3085</v>
      </c>
      <c r="Y1" s="61" t="s">
        <v>3086</v>
      </c>
      <c r="Z1" s="61" t="s">
        <v>3087</v>
      </c>
      <c r="AA1" s="61" t="s">
        <v>3088</v>
      </c>
      <c r="AB1" s="61" t="s">
        <v>3089</v>
      </c>
      <c r="AC1" s="61" t="s">
        <v>3090</v>
      </c>
      <c r="AD1" s="61" t="s">
        <v>3091</v>
      </c>
      <c r="AE1" s="61" t="s">
        <v>3092</v>
      </c>
      <c r="AF1" s="61" t="s">
        <v>3093</v>
      </c>
    </row>
    <row r="2" ht="45.0" customHeight="1">
      <c r="A2" s="55" t="s">
        <v>41</v>
      </c>
      <c r="B2" s="62" t="s">
        <v>6050</v>
      </c>
      <c r="C2" s="22" t="str">
        <f>IMAGE("https://raw.githubusercontent.com/ltdimages/images/refs/heads/main/ClothShoesAnimalAnimalSlipper_00.png")</f>
        <v/>
      </c>
      <c r="D2" s="22" t="str">
        <f>IMAGE("https://raw.githubusercontent.com/ltdimages/images/refs/heads/main/ClothShoesAnimalAnimalSlipper_01.png")</f>
        <v/>
      </c>
      <c r="E2" s="22" t="str">
        <f>IMAGE("https://raw.githubusercontent.com/ltdimages/images/refs/heads/main/ClothShoesAnimalAnimalSlipper_02.png")</f>
        <v/>
      </c>
      <c r="F2" s="22" t="str">
        <f>IMAGE("https://raw.githubusercontent.com/ltdimages/images/refs/heads/main/ClothShoesAnimalAnimalSlipper_03.png")</f>
        <v/>
      </c>
      <c r="G2" s="22" t="str">
        <f>IMAGE("https://raw.githubusercontent.com/ltdimages/images/refs/heads/main/ClothShoesAnimalAnimalSlipper_04.png")</f>
        <v/>
      </c>
      <c r="H2" s="22" t="str">
        <f>IMAGE("https://raw.githubusercontent.com/ltdimages/images/refs/heads/main/ClothShoesAnimalAnimalSlipper_05.png")</f>
        <v/>
      </c>
      <c r="I2" s="22" t="str">
        <f>IMAGE("https://raw.githubusercontent.com/ltdimages/images/refs/heads/main/ClothShoesAnimalAnimalSlipper_06.png")</f>
        <v/>
      </c>
      <c r="J2" s="22" t="str">
        <f>IMAGE("https://raw.githubusercontent.com/ltdimages/images/refs/heads/main/ClothShoesAnimalAnimalSlipper_07.png")</f>
        <v/>
      </c>
      <c r="K2" s="63" t="s">
        <v>6051</v>
      </c>
      <c r="L2" s="23">
        <v>9.0</v>
      </c>
      <c r="M2" s="22" t="s">
        <v>3097</v>
      </c>
      <c r="N2" s="22" t="s">
        <v>3099</v>
      </c>
      <c r="O2" s="22" t="s">
        <v>45</v>
      </c>
      <c r="P2" s="22" t="s">
        <v>45</v>
      </c>
      <c r="Q2" s="22" t="s">
        <v>45</v>
      </c>
      <c r="R2" s="22" t="s">
        <v>49</v>
      </c>
      <c r="S2" s="22" t="s">
        <v>45</v>
      </c>
      <c r="T2" s="22" t="s">
        <v>2002</v>
      </c>
      <c r="U2" s="22" t="s">
        <v>45</v>
      </c>
      <c r="V2" s="22" t="s">
        <v>45</v>
      </c>
      <c r="W2" s="22" t="s">
        <v>6052</v>
      </c>
      <c r="X2" s="22" t="s">
        <v>3095</v>
      </c>
      <c r="Y2" s="22" t="s">
        <v>3095</v>
      </c>
      <c r="Z2" s="22" t="s">
        <v>3095</v>
      </c>
      <c r="AA2" s="22" t="s">
        <v>3095</v>
      </c>
      <c r="AB2" s="22" t="s">
        <v>3095</v>
      </c>
      <c r="AC2" s="22" t="s">
        <v>3095</v>
      </c>
      <c r="AD2" s="22" t="s">
        <v>3095</v>
      </c>
      <c r="AE2" s="22" t="s">
        <v>3095</v>
      </c>
      <c r="AF2" s="22" t="s">
        <v>3095</v>
      </c>
    </row>
    <row r="3" ht="45.0" customHeight="1">
      <c r="A3" s="55" t="s">
        <v>52</v>
      </c>
      <c r="B3" s="62" t="s">
        <v>3550</v>
      </c>
      <c r="C3" s="22" t="str">
        <f>IMAGE("https://raw.githubusercontent.com/ltdimages/images/refs/heads/main/ClothShoesBootsLongAntique_00.png")</f>
        <v/>
      </c>
      <c r="D3" s="22" t="str">
        <f>IMAGE("https://raw.githubusercontent.com/ltdimages/images/refs/heads/main/ClothShoesBootsLongAntique_01.png")</f>
        <v/>
      </c>
      <c r="E3" s="22" t="s">
        <v>3095</v>
      </c>
      <c r="F3" s="22" t="s">
        <v>3095</v>
      </c>
      <c r="G3" s="22" t="s">
        <v>3095</v>
      </c>
      <c r="H3" s="22" t="s">
        <v>3095</v>
      </c>
      <c r="I3" s="22" t="s">
        <v>3095</v>
      </c>
      <c r="J3" s="22" t="s">
        <v>3095</v>
      </c>
      <c r="K3" s="63" t="s">
        <v>6051</v>
      </c>
      <c r="L3" s="23">
        <v>8.0</v>
      </c>
      <c r="M3" s="22" t="s">
        <v>3097</v>
      </c>
      <c r="N3" s="22" t="s">
        <v>3099</v>
      </c>
      <c r="O3" s="22" t="s">
        <v>45</v>
      </c>
      <c r="P3" s="22" t="s">
        <v>45</v>
      </c>
      <c r="Q3" s="22" t="s">
        <v>45</v>
      </c>
      <c r="R3" s="22" t="s">
        <v>49</v>
      </c>
      <c r="S3" s="22" t="s">
        <v>45</v>
      </c>
      <c r="T3" s="22" t="s">
        <v>2002</v>
      </c>
      <c r="U3" s="22" t="s">
        <v>45</v>
      </c>
      <c r="V3" s="22" t="s">
        <v>45</v>
      </c>
      <c r="W3" s="22" t="s">
        <v>6053</v>
      </c>
      <c r="X3" s="22" t="s">
        <v>3095</v>
      </c>
      <c r="Y3" s="22" t="s">
        <v>3095</v>
      </c>
      <c r="Z3" s="22" t="s">
        <v>3095</v>
      </c>
      <c r="AA3" s="22" t="s">
        <v>3095</v>
      </c>
      <c r="AB3" s="22" t="s">
        <v>3095</v>
      </c>
      <c r="AC3" s="22" t="s">
        <v>3095</v>
      </c>
      <c r="AD3" s="22" t="s">
        <v>3095</v>
      </c>
      <c r="AE3" s="22" t="s">
        <v>3095</v>
      </c>
      <c r="AF3" s="22" t="s">
        <v>3095</v>
      </c>
    </row>
    <row r="4" ht="45.0" customHeight="1">
      <c r="A4" s="55" t="s">
        <v>60</v>
      </c>
      <c r="B4" s="62" t="s">
        <v>3217</v>
      </c>
      <c r="C4" s="22" t="str">
        <f>IMAGE("https://raw.githubusercontent.com/ltdimages/images/refs/heads/main/ClothShoesSneakerSimple_00.png")</f>
        <v/>
      </c>
      <c r="D4" s="22" t="str">
        <f>IMAGE("https://raw.githubusercontent.com/ltdimages/images/refs/heads/main/ClothShoesSneakerSimple_01.png")</f>
        <v/>
      </c>
      <c r="E4" s="22" t="str">
        <f>IMAGE("https://raw.githubusercontent.com/ltdimages/images/refs/heads/main/ClothShoesSneakerSimple_02.png")</f>
        <v/>
      </c>
      <c r="F4" s="22" t="str">
        <f>IMAGE("https://raw.githubusercontent.com/ltdimages/images/refs/heads/main/ClothShoesSneakerSimple_03.png")</f>
        <v/>
      </c>
      <c r="G4" s="22" t="str">
        <f>IMAGE("https://raw.githubusercontent.com/ltdimages/images/refs/heads/main/ClothShoesSneakerSimple_04.png")</f>
        <v/>
      </c>
      <c r="H4" s="22" t="str">
        <f>IMAGE("https://raw.githubusercontent.com/ltdimages/images/refs/heads/main/ClothShoesSneakerSimple_05.png")</f>
        <v/>
      </c>
      <c r="I4" s="22" t="str">
        <f>IMAGE("https://raw.githubusercontent.com/ltdimages/images/refs/heads/main/ClothShoesSneakerSimple_06.png")</f>
        <v/>
      </c>
      <c r="J4" s="22" t="str">
        <f>IMAGE("https://raw.githubusercontent.com/ltdimages/images/refs/heads/main/ClothShoesSneakerSimple_07.png")</f>
        <v/>
      </c>
      <c r="K4" s="63" t="s">
        <v>6051</v>
      </c>
      <c r="L4" s="23">
        <v>7.0</v>
      </c>
      <c r="M4" s="22" t="s">
        <v>3097</v>
      </c>
      <c r="N4" s="22" t="s">
        <v>3099</v>
      </c>
      <c r="O4" s="22" t="s">
        <v>45</v>
      </c>
      <c r="P4" s="22" t="s">
        <v>45</v>
      </c>
      <c r="Q4" s="22" t="s">
        <v>45</v>
      </c>
      <c r="R4" s="22" t="s">
        <v>45</v>
      </c>
      <c r="S4" s="22" t="s">
        <v>45</v>
      </c>
      <c r="T4" s="22" t="s">
        <v>2002</v>
      </c>
      <c r="U4" s="22" t="s">
        <v>45</v>
      </c>
      <c r="V4" s="22" t="s">
        <v>45</v>
      </c>
      <c r="W4" s="22" t="s">
        <v>6054</v>
      </c>
      <c r="X4" s="22" t="s">
        <v>3095</v>
      </c>
      <c r="Y4" s="22" t="s">
        <v>3095</v>
      </c>
      <c r="Z4" s="22" t="s">
        <v>3095</v>
      </c>
      <c r="AA4" s="22" t="s">
        <v>3095</v>
      </c>
      <c r="AB4" s="22" t="s">
        <v>3095</v>
      </c>
      <c r="AC4" s="22" t="s">
        <v>3095</v>
      </c>
      <c r="AD4" s="22" t="s">
        <v>3095</v>
      </c>
      <c r="AE4" s="22" t="s">
        <v>3095</v>
      </c>
      <c r="AF4" s="22" t="s">
        <v>3095</v>
      </c>
    </row>
    <row r="5" ht="45.0" customHeight="1">
      <c r="A5" s="55" t="s">
        <v>65</v>
      </c>
      <c r="B5" s="62" t="s">
        <v>3692</v>
      </c>
      <c r="C5" s="22" t="str">
        <f>IMAGE("https://raw.githubusercontent.com/ltdimages/images/refs/heads/main/ClothShoesSandalBeads_00.png")</f>
        <v/>
      </c>
      <c r="D5" s="22" t="str">
        <f>IMAGE("https://raw.githubusercontent.com/ltdimages/images/refs/heads/main/ClothShoesSandalBeads_01.png")</f>
        <v/>
      </c>
      <c r="E5" s="22" t="str">
        <f>IMAGE("https://raw.githubusercontent.com/ltdimages/images/refs/heads/main/ClothShoesSandalBeads_02.png")</f>
        <v/>
      </c>
      <c r="F5" s="22" t="str">
        <f>IMAGE("https://raw.githubusercontent.com/ltdimages/images/refs/heads/main/ClothShoesSandalBeads_03.png")</f>
        <v/>
      </c>
      <c r="G5" s="22" t="str">
        <f>IMAGE("https://raw.githubusercontent.com/ltdimages/images/refs/heads/main/ClothShoesSandalBeads_04.png")</f>
        <v/>
      </c>
      <c r="H5" s="22" t="str">
        <f>IMAGE("https://raw.githubusercontent.com/ltdimages/images/refs/heads/main/ClothShoesSandalBeads_05.png")</f>
        <v/>
      </c>
      <c r="I5" s="22" t="s">
        <v>3095</v>
      </c>
      <c r="J5" s="22" t="s">
        <v>3095</v>
      </c>
      <c r="K5" s="63" t="s">
        <v>6051</v>
      </c>
      <c r="L5" s="23">
        <v>6.9</v>
      </c>
      <c r="M5" s="22" t="s">
        <v>3097</v>
      </c>
      <c r="N5" s="22" t="s">
        <v>3123</v>
      </c>
      <c r="O5" s="22" t="s">
        <v>45</v>
      </c>
      <c r="P5" s="22" t="s">
        <v>45</v>
      </c>
      <c r="Q5" s="22" t="s">
        <v>45</v>
      </c>
      <c r="R5" s="22" t="s">
        <v>45</v>
      </c>
      <c r="S5" s="22" t="s">
        <v>45</v>
      </c>
      <c r="T5" s="22" t="s">
        <v>2002</v>
      </c>
      <c r="U5" s="22" t="s">
        <v>45</v>
      </c>
      <c r="V5" s="22" t="s">
        <v>45</v>
      </c>
      <c r="W5" s="22" t="s">
        <v>6055</v>
      </c>
      <c r="X5" s="22" t="s">
        <v>3095</v>
      </c>
      <c r="Y5" s="22" t="s">
        <v>3095</v>
      </c>
      <c r="Z5" s="22" t="s">
        <v>3095</v>
      </c>
      <c r="AA5" s="22" t="s">
        <v>3095</v>
      </c>
      <c r="AB5" s="22" t="s">
        <v>3095</v>
      </c>
      <c r="AC5" s="22" t="s">
        <v>3095</v>
      </c>
      <c r="AD5" s="22" t="s">
        <v>3095</v>
      </c>
      <c r="AE5" s="22" t="s">
        <v>3095</v>
      </c>
      <c r="AF5" s="22" t="s">
        <v>3095</v>
      </c>
    </row>
    <row r="6" ht="45.0" customHeight="1">
      <c r="A6" s="55" t="s">
        <v>70</v>
      </c>
      <c r="B6" s="62" t="s">
        <v>3629</v>
      </c>
      <c r="C6" s="22" t="str">
        <f>IMAGE("https://raw.githubusercontent.com/ltdimages/images/refs/heads/main/ClothShoesSandalBear_00.png")</f>
        <v/>
      </c>
      <c r="D6" s="22" t="str">
        <f>IMAGE("https://raw.githubusercontent.com/ltdimages/images/refs/heads/main/ClothShoesSandalBear_01.png")</f>
        <v/>
      </c>
      <c r="E6" s="22" t="str">
        <f>IMAGE("https://raw.githubusercontent.com/ltdimages/images/refs/heads/main/ClothShoesSandalBear_02.png")</f>
        <v/>
      </c>
      <c r="F6" s="22" t="str">
        <f>IMAGE("https://raw.githubusercontent.com/ltdimages/images/refs/heads/main/ClothShoesSandalBear_03.png")</f>
        <v/>
      </c>
      <c r="G6" s="22" t="str">
        <f>IMAGE("https://raw.githubusercontent.com/ltdimages/images/refs/heads/main/ClothShoesSandalBear_04.png")</f>
        <v/>
      </c>
      <c r="H6" s="22" t="str">
        <f>IMAGE("https://raw.githubusercontent.com/ltdimages/images/refs/heads/main/ClothShoesSandalBear_05.png")</f>
        <v/>
      </c>
      <c r="I6" s="22" t="s">
        <v>3095</v>
      </c>
      <c r="J6" s="22" t="s">
        <v>3095</v>
      </c>
      <c r="K6" s="63" t="s">
        <v>6051</v>
      </c>
      <c r="L6" s="23">
        <v>8.0</v>
      </c>
      <c r="M6" s="22" t="s">
        <v>3097</v>
      </c>
      <c r="N6" s="22" t="s">
        <v>3099</v>
      </c>
      <c r="O6" s="22" t="s">
        <v>45</v>
      </c>
      <c r="P6" s="22" t="s">
        <v>45</v>
      </c>
      <c r="Q6" s="22" t="s">
        <v>45</v>
      </c>
      <c r="R6" s="22" t="s">
        <v>45</v>
      </c>
      <c r="S6" s="22" t="s">
        <v>45</v>
      </c>
      <c r="T6" s="22" t="s">
        <v>2002</v>
      </c>
      <c r="U6" s="22" t="s">
        <v>45</v>
      </c>
      <c r="V6" s="22" t="s">
        <v>45</v>
      </c>
      <c r="W6" s="22" t="s">
        <v>6056</v>
      </c>
      <c r="X6" s="22" t="s">
        <v>3095</v>
      </c>
      <c r="Y6" s="22" t="s">
        <v>3095</v>
      </c>
      <c r="Z6" s="22" t="s">
        <v>3095</v>
      </c>
      <c r="AA6" s="22" t="s">
        <v>3095</v>
      </c>
      <c r="AB6" s="22" t="s">
        <v>3095</v>
      </c>
      <c r="AC6" s="22" t="s">
        <v>3095</v>
      </c>
      <c r="AD6" s="22" t="s">
        <v>3095</v>
      </c>
      <c r="AE6" s="22" t="s">
        <v>3095</v>
      </c>
      <c r="AF6" s="22" t="s">
        <v>3095</v>
      </c>
    </row>
    <row r="7" ht="45.0" customHeight="1">
      <c r="A7" s="55" t="s">
        <v>74</v>
      </c>
      <c r="B7" s="62" t="s">
        <v>3752</v>
      </c>
      <c r="C7" s="22" t="str">
        <f>IMAGE("https://raw.githubusercontent.com/ltdimages/images/refs/heads/main/ClothShoesStandardDeck_00.png")</f>
        <v/>
      </c>
      <c r="D7" s="22" t="str">
        <f>IMAGE("https://raw.githubusercontent.com/ltdimages/images/refs/heads/main/ClothShoesStandardDeck_01.png")</f>
        <v/>
      </c>
      <c r="E7" s="22" t="str">
        <f>IMAGE("https://raw.githubusercontent.com/ltdimages/images/refs/heads/main/ClothShoesStandardDeck_02.png")</f>
        <v/>
      </c>
      <c r="F7" s="22" t="str">
        <f>IMAGE("https://raw.githubusercontent.com/ltdimages/images/refs/heads/main/ClothShoesStandardDeck_03.png")</f>
        <v/>
      </c>
      <c r="G7" s="22" t="str">
        <f>IMAGE("https://raw.githubusercontent.com/ltdimages/images/refs/heads/main/ClothShoesStandardDeck_04.png")</f>
        <v/>
      </c>
      <c r="H7" s="22" t="str">
        <f>IMAGE("https://raw.githubusercontent.com/ltdimages/images/refs/heads/main/ClothShoesStandardDeck_05.png")</f>
        <v/>
      </c>
      <c r="I7" s="22" t="s">
        <v>3095</v>
      </c>
      <c r="J7" s="22" t="s">
        <v>3095</v>
      </c>
      <c r="K7" s="63" t="s">
        <v>6051</v>
      </c>
      <c r="L7" s="23">
        <v>7.8</v>
      </c>
      <c r="M7" s="22" t="s">
        <v>3097</v>
      </c>
      <c r="N7" s="22" t="s">
        <v>3099</v>
      </c>
      <c r="O7" s="22" t="s">
        <v>45</v>
      </c>
      <c r="P7" s="22" t="s">
        <v>45</v>
      </c>
      <c r="Q7" s="22" t="s">
        <v>45</v>
      </c>
      <c r="R7" s="22" t="s">
        <v>45</v>
      </c>
      <c r="S7" s="22" t="s">
        <v>45</v>
      </c>
      <c r="T7" s="22" t="s">
        <v>2002</v>
      </c>
      <c r="U7" s="22" t="s">
        <v>45</v>
      </c>
      <c r="V7" s="22" t="s">
        <v>45</v>
      </c>
      <c r="W7" s="22" t="s">
        <v>6057</v>
      </c>
      <c r="X7" s="22" t="s">
        <v>3095</v>
      </c>
      <c r="Y7" s="22" t="s">
        <v>3095</v>
      </c>
      <c r="Z7" s="22" t="s">
        <v>3095</v>
      </c>
      <c r="AA7" s="22" t="s">
        <v>3095</v>
      </c>
      <c r="AB7" s="22" t="s">
        <v>3095</v>
      </c>
      <c r="AC7" s="22" t="s">
        <v>3095</v>
      </c>
      <c r="AD7" s="22" t="s">
        <v>3095</v>
      </c>
      <c r="AE7" s="22" t="s">
        <v>3095</v>
      </c>
      <c r="AF7" s="22" t="s">
        <v>3095</v>
      </c>
    </row>
    <row r="8" ht="45.0" customHeight="1">
      <c r="A8" s="55" t="s">
        <v>78</v>
      </c>
      <c r="B8" s="62" t="s">
        <v>6058</v>
      </c>
      <c r="C8" s="22" t="str">
        <f>IMAGE("https://raw.githubusercontent.com/ltdimages/images/refs/heads/main/ClothShoesStandardBotanicalSlipon_00.png")</f>
        <v/>
      </c>
      <c r="D8" s="22" t="str">
        <f>IMAGE("https://raw.githubusercontent.com/ltdimages/images/refs/heads/main/ClothShoesStandardBotanicalSlipon_01.png")</f>
        <v/>
      </c>
      <c r="E8" s="22" t="str">
        <f>IMAGE("https://raw.githubusercontent.com/ltdimages/images/refs/heads/main/ClothShoesStandardBotanicalSlipon_02.png")</f>
        <v/>
      </c>
      <c r="F8" s="22" t="str">
        <f>IMAGE("https://raw.githubusercontent.com/ltdimages/images/refs/heads/main/ClothShoesStandardBotanicalSlipon_03.png")</f>
        <v/>
      </c>
      <c r="G8" s="22" t="str">
        <f>IMAGE("https://raw.githubusercontent.com/ltdimages/images/refs/heads/main/ClothShoesStandardBotanicalSlipon_04.png")</f>
        <v/>
      </c>
      <c r="H8" s="22" t="str">
        <f>IMAGE("https://raw.githubusercontent.com/ltdimages/images/refs/heads/main/ClothShoesStandardBotanicalSlipon_05.png")</f>
        <v/>
      </c>
      <c r="I8" s="22" t="s">
        <v>3095</v>
      </c>
      <c r="J8" s="22" t="s">
        <v>3095</v>
      </c>
      <c r="K8" s="63" t="s">
        <v>6051</v>
      </c>
      <c r="L8" s="23">
        <v>7.0</v>
      </c>
      <c r="M8" s="22" t="s">
        <v>3097</v>
      </c>
      <c r="N8" s="22" t="s">
        <v>3099</v>
      </c>
      <c r="O8" s="22" t="s">
        <v>45</v>
      </c>
      <c r="P8" s="22" t="s">
        <v>45</v>
      </c>
      <c r="Q8" s="22" t="s">
        <v>45</v>
      </c>
      <c r="R8" s="22" t="s">
        <v>45</v>
      </c>
      <c r="S8" s="22" t="s">
        <v>45</v>
      </c>
      <c r="T8" s="22" t="s">
        <v>2002</v>
      </c>
      <c r="U8" s="22" t="s">
        <v>45</v>
      </c>
      <c r="V8" s="22" t="s">
        <v>45</v>
      </c>
      <c r="W8" s="22" t="s">
        <v>6059</v>
      </c>
      <c r="X8" s="22" t="s">
        <v>3095</v>
      </c>
      <c r="Y8" s="22" t="s">
        <v>3095</v>
      </c>
      <c r="Z8" s="22" t="s">
        <v>3095</v>
      </c>
      <c r="AA8" s="22" t="s">
        <v>3095</v>
      </c>
      <c r="AB8" s="22" t="s">
        <v>3095</v>
      </c>
      <c r="AC8" s="22" t="s">
        <v>3095</v>
      </c>
      <c r="AD8" s="22" t="s">
        <v>3095</v>
      </c>
      <c r="AE8" s="22" t="s">
        <v>3095</v>
      </c>
      <c r="AF8" s="22" t="s">
        <v>3095</v>
      </c>
    </row>
    <row r="9" ht="45.0" customHeight="1">
      <c r="A9" s="55" t="s">
        <v>83</v>
      </c>
      <c r="B9" s="62" t="s">
        <v>3143</v>
      </c>
      <c r="C9" s="22" t="str">
        <f>IMAGE("https://raw.githubusercontent.com/ltdimages/images/refs/heads/main/ClothShoesSneakerHighTec_00.png")</f>
        <v/>
      </c>
      <c r="D9" s="22" t="str">
        <f>IMAGE("https://raw.githubusercontent.com/ltdimages/images/refs/heads/main/ClothShoesSneakerHighTec_01.png")</f>
        <v/>
      </c>
      <c r="E9" s="22" t="str">
        <f>IMAGE("https://raw.githubusercontent.com/ltdimages/images/refs/heads/main/ClothShoesSneakerHighTec_02.png")</f>
        <v/>
      </c>
      <c r="F9" s="22" t="str">
        <f>IMAGE("https://raw.githubusercontent.com/ltdimages/images/refs/heads/main/ClothShoesSneakerHighTec_03.png")</f>
        <v/>
      </c>
      <c r="G9" s="22" t="str">
        <f>IMAGE("https://raw.githubusercontent.com/ltdimages/images/refs/heads/main/ClothShoesSneakerHighTec_04.png")</f>
        <v/>
      </c>
      <c r="H9" s="22" t="str">
        <f>IMAGE("https://raw.githubusercontent.com/ltdimages/images/refs/heads/main/ClothShoesSneakerHighTec_05.png")</f>
        <v/>
      </c>
      <c r="I9" s="22" t="str">
        <f>IMAGE("https://raw.githubusercontent.com/ltdimages/images/refs/heads/main/ClothShoesSneakerHighTec_06.png")</f>
        <v/>
      </c>
      <c r="J9" s="22" t="str">
        <f>IMAGE("https://raw.githubusercontent.com/ltdimages/images/refs/heads/main/ClothShoesSneakerHighTec_07.png")</f>
        <v/>
      </c>
      <c r="K9" s="63" t="s">
        <v>6051</v>
      </c>
      <c r="L9" s="23">
        <v>8.0</v>
      </c>
      <c r="M9" s="22" t="s">
        <v>3097</v>
      </c>
      <c r="N9" s="22" t="s">
        <v>3099</v>
      </c>
      <c r="O9" s="22" t="s">
        <v>45</v>
      </c>
      <c r="P9" s="22" t="s">
        <v>45</v>
      </c>
      <c r="Q9" s="22" t="s">
        <v>45</v>
      </c>
      <c r="R9" s="22" t="s">
        <v>45</v>
      </c>
      <c r="S9" s="22" t="s">
        <v>45</v>
      </c>
      <c r="T9" s="22" t="s">
        <v>2002</v>
      </c>
      <c r="U9" s="22" t="s">
        <v>45</v>
      </c>
      <c r="V9" s="22" t="s">
        <v>45</v>
      </c>
      <c r="W9" s="22" t="s">
        <v>6060</v>
      </c>
      <c r="X9" s="22" t="s">
        <v>3095</v>
      </c>
      <c r="Y9" s="22" t="s">
        <v>3095</v>
      </c>
      <c r="Z9" s="22" t="s">
        <v>3095</v>
      </c>
      <c r="AA9" s="22" t="s">
        <v>3095</v>
      </c>
      <c r="AB9" s="22" t="s">
        <v>3095</v>
      </c>
      <c r="AC9" s="22" t="s">
        <v>3095</v>
      </c>
      <c r="AD9" s="22" t="s">
        <v>3095</v>
      </c>
      <c r="AE9" s="22" t="s">
        <v>3095</v>
      </c>
      <c r="AF9" s="22" t="s">
        <v>3095</v>
      </c>
    </row>
    <row r="10" ht="45.0" customHeight="1">
      <c r="A10" s="55" t="s">
        <v>89</v>
      </c>
      <c r="B10" s="62" t="s">
        <v>3165</v>
      </c>
      <c r="C10" s="22" t="str">
        <f>IMAGE("https://raw.githubusercontent.com/ltdimages/images/refs/heads/main/ClothShoesLoaferBuckle_00.png")</f>
        <v/>
      </c>
      <c r="D10" s="22" t="str">
        <f>IMAGE("https://raw.githubusercontent.com/ltdimages/images/refs/heads/main/ClothShoesLoaferBuckle_01.png")</f>
        <v/>
      </c>
      <c r="E10" s="22" t="str">
        <f>IMAGE("https://raw.githubusercontent.com/ltdimages/images/refs/heads/main/ClothShoesLoaferBuckle_02.png")</f>
        <v/>
      </c>
      <c r="F10" s="22" t="str">
        <f>IMAGE("https://raw.githubusercontent.com/ltdimages/images/refs/heads/main/ClothShoesLoaferBuckle_03.png")</f>
        <v/>
      </c>
      <c r="G10" s="22" t="str">
        <f>IMAGE("https://raw.githubusercontent.com/ltdimages/images/refs/heads/main/ClothShoesLoaferBuckle_04.png")</f>
        <v/>
      </c>
      <c r="H10" s="22" t="str">
        <f>IMAGE("https://raw.githubusercontent.com/ltdimages/images/refs/heads/main/ClothShoesLoaferBuckle_05.png")</f>
        <v/>
      </c>
      <c r="I10" s="22" t="str">
        <f>IMAGE("https://raw.githubusercontent.com/ltdimages/images/refs/heads/main/ClothShoesLoaferBuckle_06.png")</f>
        <v/>
      </c>
      <c r="J10" s="22" t="str">
        <f>IMAGE("https://raw.githubusercontent.com/ltdimages/images/refs/heads/main/ClothShoesLoaferBuckle_07.png")</f>
        <v/>
      </c>
      <c r="K10" s="63" t="s">
        <v>6051</v>
      </c>
      <c r="L10" s="23">
        <v>8.1</v>
      </c>
      <c r="M10" s="22" t="s">
        <v>3097</v>
      </c>
      <c r="N10" s="22" t="s">
        <v>3099</v>
      </c>
      <c r="O10" s="22" t="s">
        <v>45</v>
      </c>
      <c r="P10" s="22" t="s">
        <v>45</v>
      </c>
      <c r="Q10" s="22" t="s">
        <v>45</v>
      </c>
      <c r="R10" s="22" t="s">
        <v>45</v>
      </c>
      <c r="S10" s="22" t="s">
        <v>45</v>
      </c>
      <c r="T10" s="22" t="s">
        <v>2002</v>
      </c>
      <c r="U10" s="22" t="s">
        <v>45</v>
      </c>
      <c r="V10" s="22" t="s">
        <v>45</v>
      </c>
      <c r="W10" s="22" t="s">
        <v>6061</v>
      </c>
      <c r="X10" s="22" t="s">
        <v>3095</v>
      </c>
      <c r="Y10" s="22" t="s">
        <v>3095</v>
      </c>
      <c r="Z10" s="22" t="s">
        <v>3095</v>
      </c>
      <c r="AA10" s="22" t="s">
        <v>3095</v>
      </c>
      <c r="AB10" s="22" t="s">
        <v>3095</v>
      </c>
      <c r="AC10" s="22" t="s">
        <v>3095</v>
      </c>
      <c r="AD10" s="22" t="s">
        <v>3095</v>
      </c>
      <c r="AE10" s="22" t="s">
        <v>3095</v>
      </c>
      <c r="AF10" s="22" t="s">
        <v>3095</v>
      </c>
    </row>
    <row r="11" ht="45.0" customHeight="1">
      <c r="A11" s="55" t="s">
        <v>94</v>
      </c>
      <c r="B11" s="62" t="s">
        <v>3150</v>
      </c>
      <c r="C11" s="22" t="str">
        <f>IMAGE("https://raw.githubusercontent.com/ltdimages/images/refs/heads/main/ClothShoesPointedBusiness_00.png")</f>
        <v/>
      </c>
      <c r="D11" s="22" t="str">
        <f>IMAGE("https://raw.githubusercontent.com/ltdimages/images/refs/heads/main/ClothShoesPointedBusiness_01.png")</f>
        <v/>
      </c>
      <c r="E11" s="22" t="str">
        <f>IMAGE("https://raw.githubusercontent.com/ltdimages/images/refs/heads/main/ClothShoesPointedBusiness_02.png")</f>
        <v/>
      </c>
      <c r="F11" s="22" t="str">
        <f>IMAGE("https://raw.githubusercontent.com/ltdimages/images/refs/heads/main/ClothShoesPointedBusiness_03.png")</f>
        <v/>
      </c>
      <c r="G11" s="22" t="s">
        <v>3095</v>
      </c>
      <c r="H11" s="22" t="s">
        <v>3095</v>
      </c>
      <c r="I11" s="22" t="s">
        <v>3095</v>
      </c>
      <c r="J11" s="22" t="s">
        <v>3095</v>
      </c>
      <c r="K11" s="63" t="s">
        <v>6051</v>
      </c>
      <c r="L11" s="23">
        <v>10.0</v>
      </c>
      <c r="M11" s="22" t="s">
        <v>3097</v>
      </c>
      <c r="N11" s="22" t="s">
        <v>3099</v>
      </c>
      <c r="O11" s="22" t="s">
        <v>45</v>
      </c>
      <c r="P11" s="22" t="s">
        <v>45</v>
      </c>
      <c r="Q11" s="22" t="s">
        <v>45</v>
      </c>
      <c r="R11" s="22" t="s">
        <v>45</v>
      </c>
      <c r="S11" s="22" t="s">
        <v>45</v>
      </c>
      <c r="T11" s="22" t="s">
        <v>2002</v>
      </c>
      <c r="U11" s="22" t="s">
        <v>45</v>
      </c>
      <c r="V11" s="22" t="s">
        <v>45</v>
      </c>
      <c r="W11" s="22" t="s">
        <v>6062</v>
      </c>
      <c r="X11" s="22" t="s">
        <v>3095</v>
      </c>
      <c r="Y11" s="22" t="s">
        <v>3095</v>
      </c>
      <c r="Z11" s="22" t="s">
        <v>3095</v>
      </c>
      <c r="AA11" s="22" t="s">
        <v>3095</v>
      </c>
      <c r="AB11" s="22" t="s">
        <v>3095</v>
      </c>
      <c r="AC11" s="22" t="s">
        <v>3095</v>
      </c>
      <c r="AD11" s="22" t="s">
        <v>3095</v>
      </c>
      <c r="AE11" s="22" t="s">
        <v>3095</v>
      </c>
      <c r="AF11" s="22" t="s">
        <v>3095</v>
      </c>
    </row>
    <row r="12" ht="45.0" customHeight="1">
      <c r="A12" s="55" t="s">
        <v>98</v>
      </c>
      <c r="B12" s="62" t="s">
        <v>3201</v>
      </c>
      <c r="C12" s="22" t="str">
        <f>IMAGE("https://raw.githubusercontent.com/ltdimages/images/refs/heads/main/ClothShoesSneakerSpike_00.png")</f>
        <v/>
      </c>
      <c r="D12" s="22" t="str">
        <f>IMAGE("https://raw.githubusercontent.com/ltdimages/images/refs/heads/main/ClothShoesSneakerSpike_01.png")</f>
        <v/>
      </c>
      <c r="E12" s="22" t="str">
        <f>IMAGE("https://raw.githubusercontent.com/ltdimages/images/refs/heads/main/ClothShoesSneakerSpike_02.png")</f>
        <v/>
      </c>
      <c r="F12" s="22" t="str">
        <f>IMAGE("https://raw.githubusercontent.com/ltdimages/images/refs/heads/main/ClothShoesSneakerSpike_03.png")</f>
        <v/>
      </c>
      <c r="G12" s="22" t="str">
        <f>IMAGE("https://raw.githubusercontent.com/ltdimages/images/refs/heads/main/ClothShoesSneakerSpike_04.png")</f>
        <v/>
      </c>
      <c r="H12" s="22" t="str">
        <f>IMAGE("https://raw.githubusercontent.com/ltdimages/images/refs/heads/main/ClothShoesSneakerSpike_05.png")</f>
        <v/>
      </c>
      <c r="I12" s="22" t="str">
        <f>IMAGE("https://raw.githubusercontent.com/ltdimages/images/refs/heads/main/ClothShoesSneakerSpike_06.png")</f>
        <v/>
      </c>
      <c r="J12" s="22" t="str">
        <f>IMAGE("https://raw.githubusercontent.com/ltdimages/images/refs/heads/main/ClothShoesSneakerSpike_07.png")</f>
        <v/>
      </c>
      <c r="K12" s="63" t="s">
        <v>6051</v>
      </c>
      <c r="L12" s="23">
        <v>6.0</v>
      </c>
      <c r="M12" s="22" t="s">
        <v>3097</v>
      </c>
      <c r="N12" s="22" t="s">
        <v>3099</v>
      </c>
      <c r="O12" s="22" t="s">
        <v>45</v>
      </c>
      <c r="P12" s="22" t="s">
        <v>45</v>
      </c>
      <c r="Q12" s="22" t="s">
        <v>45</v>
      </c>
      <c r="R12" s="22" t="s">
        <v>45</v>
      </c>
      <c r="S12" s="22" t="s">
        <v>45</v>
      </c>
      <c r="T12" s="22" t="s">
        <v>2002</v>
      </c>
      <c r="U12" s="22" t="s">
        <v>45</v>
      </c>
      <c r="V12" s="22" t="s">
        <v>45</v>
      </c>
      <c r="W12" s="22" t="s">
        <v>6063</v>
      </c>
      <c r="X12" s="22" t="s">
        <v>3095</v>
      </c>
      <c r="Y12" s="22" t="s">
        <v>3095</v>
      </c>
      <c r="Z12" s="22" t="s">
        <v>3095</v>
      </c>
      <c r="AA12" s="22" t="s">
        <v>3095</v>
      </c>
      <c r="AB12" s="22" t="s">
        <v>3095</v>
      </c>
      <c r="AC12" s="22" t="s">
        <v>3095</v>
      </c>
      <c r="AD12" s="22" t="s">
        <v>3095</v>
      </c>
      <c r="AE12" s="22" t="s">
        <v>3095</v>
      </c>
      <c r="AF12" s="22" t="s">
        <v>3095</v>
      </c>
    </row>
    <row r="13" ht="45.0" customHeight="1">
      <c r="A13" s="55" t="s">
        <v>104</v>
      </c>
      <c r="B13" s="62" t="s">
        <v>3663</v>
      </c>
      <c r="C13" s="22" t="str">
        <f>IMAGE("https://raw.githubusercontent.com/ltdimages/images/refs/heads/main/ClothShoesSandalComfort_00.png")</f>
        <v/>
      </c>
      <c r="D13" s="22" t="str">
        <f>IMAGE("https://raw.githubusercontent.com/ltdimages/images/refs/heads/main/ClothShoesSandalComfort_01.png")</f>
        <v/>
      </c>
      <c r="E13" s="22" t="str">
        <f>IMAGE("https://raw.githubusercontent.com/ltdimages/images/refs/heads/main/ClothShoesSandalComfort_02.png")</f>
        <v/>
      </c>
      <c r="F13" s="22" t="str">
        <f>IMAGE("https://raw.githubusercontent.com/ltdimages/images/refs/heads/main/ClothShoesSandalComfort_03.png")</f>
        <v/>
      </c>
      <c r="G13" s="22" t="str">
        <f>IMAGE("https://raw.githubusercontent.com/ltdimages/images/refs/heads/main/ClothShoesSandalComfort_04.png")</f>
        <v/>
      </c>
      <c r="H13" s="22" t="str">
        <f>IMAGE("https://raw.githubusercontent.com/ltdimages/images/refs/heads/main/ClothShoesSandalComfort_05.png")</f>
        <v/>
      </c>
      <c r="I13" s="22" t="s">
        <v>3095</v>
      </c>
      <c r="J13" s="22" t="s">
        <v>3095</v>
      </c>
      <c r="K13" s="63" t="s">
        <v>6051</v>
      </c>
      <c r="L13" s="23">
        <v>6.3</v>
      </c>
      <c r="M13" s="22" t="s">
        <v>3097</v>
      </c>
      <c r="N13" s="22" t="s">
        <v>3123</v>
      </c>
      <c r="O13" s="22" t="s">
        <v>45</v>
      </c>
      <c r="P13" s="22" t="s">
        <v>45</v>
      </c>
      <c r="Q13" s="22" t="s">
        <v>45</v>
      </c>
      <c r="R13" s="22" t="s">
        <v>45</v>
      </c>
      <c r="S13" s="22" t="s">
        <v>45</v>
      </c>
      <c r="T13" s="22" t="s">
        <v>2002</v>
      </c>
      <c r="U13" s="22" t="s">
        <v>45</v>
      </c>
      <c r="V13" s="22" t="s">
        <v>45</v>
      </c>
      <c r="W13" s="22" t="s">
        <v>6064</v>
      </c>
      <c r="X13" s="22" t="s">
        <v>3095</v>
      </c>
      <c r="Y13" s="22" t="s">
        <v>3095</v>
      </c>
      <c r="Z13" s="22" t="s">
        <v>3095</v>
      </c>
      <c r="AA13" s="22" t="s">
        <v>3095</v>
      </c>
      <c r="AB13" s="22" t="s">
        <v>3095</v>
      </c>
      <c r="AC13" s="22" t="s">
        <v>3095</v>
      </c>
      <c r="AD13" s="22" t="s">
        <v>3095</v>
      </c>
      <c r="AE13" s="22" t="s">
        <v>3095</v>
      </c>
      <c r="AF13" s="22" t="s">
        <v>3095</v>
      </c>
    </row>
    <row r="14" ht="45.0" customHeight="1">
      <c r="A14" s="55" t="s">
        <v>109</v>
      </c>
      <c r="B14" s="62" t="s">
        <v>6065</v>
      </c>
      <c r="C14" s="22" t="str">
        <f>IMAGE("https://raw.githubusercontent.com/ltdimages/images/refs/heads/main/ClothShoesThickDown_00.png")</f>
        <v/>
      </c>
      <c r="D14" s="22" t="str">
        <f>IMAGE("https://raw.githubusercontent.com/ltdimages/images/refs/heads/main/ClothShoesThickDown_01.png")</f>
        <v/>
      </c>
      <c r="E14" s="22" t="str">
        <f>IMAGE("https://raw.githubusercontent.com/ltdimages/images/refs/heads/main/ClothShoesThickDown_02.png")</f>
        <v/>
      </c>
      <c r="F14" s="22" t="str">
        <f>IMAGE("https://raw.githubusercontent.com/ltdimages/images/refs/heads/main/ClothShoesThickDown_03.png")</f>
        <v/>
      </c>
      <c r="G14" s="22" t="str">
        <f>IMAGE("https://raw.githubusercontent.com/ltdimages/images/refs/heads/main/ClothShoesThickDown_04.png")</f>
        <v/>
      </c>
      <c r="H14" s="22" t="str">
        <f>IMAGE("https://raw.githubusercontent.com/ltdimages/images/refs/heads/main/ClothShoesThickDown_05.png")</f>
        <v/>
      </c>
      <c r="I14" s="22" t="s">
        <v>3095</v>
      </c>
      <c r="J14" s="22" t="s">
        <v>3095</v>
      </c>
      <c r="K14" s="63" t="s">
        <v>6051</v>
      </c>
      <c r="L14" s="23">
        <v>8.7</v>
      </c>
      <c r="M14" s="22" t="s">
        <v>3097</v>
      </c>
      <c r="N14" s="22" t="s">
        <v>3114</v>
      </c>
      <c r="O14" s="22" t="s">
        <v>45</v>
      </c>
      <c r="P14" s="22" t="s">
        <v>45</v>
      </c>
      <c r="Q14" s="22" t="s">
        <v>45</v>
      </c>
      <c r="R14" s="22" t="s">
        <v>45</v>
      </c>
      <c r="S14" s="22" t="s">
        <v>45</v>
      </c>
      <c r="T14" s="22" t="s">
        <v>2002</v>
      </c>
      <c r="U14" s="22" t="s">
        <v>45</v>
      </c>
      <c r="V14" s="22" t="s">
        <v>45</v>
      </c>
      <c r="W14" s="22" t="s">
        <v>6066</v>
      </c>
      <c r="X14" s="22" t="s">
        <v>3095</v>
      </c>
      <c r="Y14" s="22" t="s">
        <v>3095</v>
      </c>
      <c r="Z14" s="22" t="s">
        <v>3095</v>
      </c>
      <c r="AA14" s="22" t="s">
        <v>3095</v>
      </c>
      <c r="AB14" s="22" t="s">
        <v>3095</v>
      </c>
      <c r="AC14" s="22" t="s">
        <v>3095</v>
      </c>
      <c r="AD14" s="22" t="s">
        <v>3095</v>
      </c>
      <c r="AE14" s="22" t="s">
        <v>3095</v>
      </c>
      <c r="AF14" s="22" t="s">
        <v>3095</v>
      </c>
    </row>
    <row r="15" ht="45.0" customHeight="1">
      <c r="A15" s="55" t="s">
        <v>115</v>
      </c>
      <c r="B15" s="62" t="s">
        <v>3256</v>
      </c>
      <c r="C15" s="22" t="str">
        <f>IMAGE("https://raw.githubusercontent.com/ltdimages/images/refs/heads/main/ClothShoesBootsLongEngineer_00.png")</f>
        <v/>
      </c>
      <c r="D15" s="22" t="str">
        <f>IMAGE("https://raw.githubusercontent.com/ltdimages/images/refs/heads/main/ClothShoesBootsLongEngineer_01.png")</f>
        <v/>
      </c>
      <c r="E15" s="22" t="str">
        <f>IMAGE("https://raw.githubusercontent.com/ltdimages/images/refs/heads/main/ClothShoesBootsLongEngineer_02.png")</f>
        <v/>
      </c>
      <c r="F15" s="22" t="s">
        <v>3095</v>
      </c>
      <c r="G15" s="22" t="s">
        <v>3095</v>
      </c>
      <c r="H15" s="22" t="s">
        <v>3095</v>
      </c>
      <c r="I15" s="22" t="s">
        <v>3095</v>
      </c>
      <c r="J15" s="22" t="s">
        <v>3095</v>
      </c>
      <c r="K15" s="63" t="s">
        <v>6051</v>
      </c>
      <c r="L15" s="23">
        <v>8.2</v>
      </c>
      <c r="M15" s="22" t="s">
        <v>3097</v>
      </c>
      <c r="N15" s="22" t="s">
        <v>3099</v>
      </c>
      <c r="O15" s="22" t="s">
        <v>45</v>
      </c>
      <c r="P15" s="22" t="s">
        <v>45</v>
      </c>
      <c r="Q15" s="22" t="s">
        <v>45</v>
      </c>
      <c r="R15" s="22" t="s">
        <v>45</v>
      </c>
      <c r="S15" s="22" t="s">
        <v>45</v>
      </c>
      <c r="T15" s="22" t="s">
        <v>2002</v>
      </c>
      <c r="U15" s="22" t="s">
        <v>45</v>
      </c>
      <c r="V15" s="22" t="s">
        <v>45</v>
      </c>
      <c r="W15" s="22" t="s">
        <v>6067</v>
      </c>
      <c r="X15" s="22" t="s">
        <v>3095</v>
      </c>
      <c r="Y15" s="22" t="s">
        <v>3095</v>
      </c>
      <c r="Z15" s="22" t="s">
        <v>3095</v>
      </c>
      <c r="AA15" s="22" t="s">
        <v>3095</v>
      </c>
      <c r="AB15" s="22" t="s">
        <v>3095</v>
      </c>
      <c r="AC15" s="22" t="s">
        <v>3095</v>
      </c>
      <c r="AD15" s="22" t="s">
        <v>3095</v>
      </c>
      <c r="AE15" s="22" t="s">
        <v>3095</v>
      </c>
      <c r="AF15" s="22" t="s">
        <v>3095</v>
      </c>
    </row>
    <row r="16" ht="45.0" customHeight="1">
      <c r="A16" s="55" t="s">
        <v>119</v>
      </c>
      <c r="B16" s="62" t="s">
        <v>4363</v>
      </c>
      <c r="C16" s="22" t="str">
        <f>IMAGE("https://raw.githubusercontent.com/ltdimages/images/refs/heads/main/ClothShoesThickFur_00.png")</f>
        <v/>
      </c>
      <c r="D16" s="22" t="str">
        <f>IMAGE("https://raw.githubusercontent.com/ltdimages/images/refs/heads/main/ClothShoesThickFur_01.png")</f>
        <v/>
      </c>
      <c r="E16" s="22" t="str">
        <f>IMAGE("https://raw.githubusercontent.com/ltdimages/images/refs/heads/main/ClothShoesThickFur_02.png")</f>
        <v/>
      </c>
      <c r="F16" s="22" t="str">
        <f>IMAGE("https://raw.githubusercontent.com/ltdimages/images/refs/heads/main/ClothShoesThickFur_03.png")</f>
        <v/>
      </c>
      <c r="G16" s="22" t="str">
        <f>IMAGE("https://raw.githubusercontent.com/ltdimages/images/refs/heads/main/ClothShoesThickFur_04.png")</f>
        <v/>
      </c>
      <c r="H16" s="22" t="str">
        <f>IMAGE("https://raw.githubusercontent.com/ltdimages/images/refs/heads/main/ClothShoesThickFur_05.png")</f>
        <v/>
      </c>
      <c r="I16" s="22" t="str">
        <f>IMAGE("https://raw.githubusercontent.com/ltdimages/images/refs/heads/main/ClothShoesThickFur_06.png")</f>
        <v/>
      </c>
      <c r="J16" s="22" t="str">
        <f>IMAGE("https://raw.githubusercontent.com/ltdimages/images/refs/heads/main/ClothShoesThickFur_07.png")</f>
        <v/>
      </c>
      <c r="K16" s="63" t="s">
        <v>6051</v>
      </c>
      <c r="L16" s="23">
        <v>8.2</v>
      </c>
      <c r="M16" s="22" t="s">
        <v>3097</v>
      </c>
      <c r="N16" s="22" t="s">
        <v>3114</v>
      </c>
      <c r="O16" s="22" t="s">
        <v>45</v>
      </c>
      <c r="P16" s="22" t="s">
        <v>45</v>
      </c>
      <c r="Q16" s="22" t="s">
        <v>45</v>
      </c>
      <c r="R16" s="22" t="s">
        <v>45</v>
      </c>
      <c r="S16" s="22" t="s">
        <v>45</v>
      </c>
      <c r="T16" s="22" t="s">
        <v>2002</v>
      </c>
      <c r="U16" s="22" t="s">
        <v>45</v>
      </c>
      <c r="V16" s="22" t="s">
        <v>45</v>
      </c>
      <c r="W16" s="22" t="s">
        <v>6068</v>
      </c>
      <c r="X16" s="22" t="s">
        <v>3095</v>
      </c>
      <c r="Y16" s="22" t="s">
        <v>3095</v>
      </c>
      <c r="Z16" s="22" t="s">
        <v>3095</v>
      </c>
      <c r="AA16" s="22" t="s">
        <v>3095</v>
      </c>
      <c r="AB16" s="22" t="s">
        <v>3095</v>
      </c>
      <c r="AC16" s="22" t="s">
        <v>3095</v>
      </c>
      <c r="AD16" s="22" t="s">
        <v>3095</v>
      </c>
      <c r="AE16" s="22" t="s">
        <v>3095</v>
      </c>
      <c r="AF16" s="22" t="s">
        <v>3095</v>
      </c>
    </row>
    <row r="17" ht="45.0" customHeight="1">
      <c r="A17" s="55" t="s">
        <v>124</v>
      </c>
      <c r="B17" s="62" t="s">
        <v>3127</v>
      </c>
      <c r="C17" s="22" t="str">
        <f>IMAGE("https://raw.githubusercontent.com/ltdimages/images/refs/heads/main/ClothShoesSandalBeach_00.png")</f>
        <v/>
      </c>
      <c r="D17" s="22" t="str">
        <f>IMAGE("https://raw.githubusercontent.com/ltdimages/images/refs/heads/main/ClothShoesSandalBeach_01.png")</f>
        <v/>
      </c>
      <c r="E17" s="22" t="str">
        <f>IMAGE("https://raw.githubusercontent.com/ltdimages/images/refs/heads/main/ClothShoesSandalBeach_02.png")</f>
        <v/>
      </c>
      <c r="F17" s="22" t="str">
        <f>IMAGE("https://raw.githubusercontent.com/ltdimages/images/refs/heads/main/ClothShoesSandalBeach_03.png")</f>
        <v/>
      </c>
      <c r="G17" s="22" t="str">
        <f>IMAGE("https://raw.githubusercontent.com/ltdimages/images/refs/heads/main/ClothShoesSandalBeach_04.png")</f>
        <v/>
      </c>
      <c r="H17" s="22" t="str">
        <f>IMAGE("https://raw.githubusercontent.com/ltdimages/images/refs/heads/main/ClothShoesSandalBeach_05.png")</f>
        <v/>
      </c>
      <c r="I17" s="22" t="str">
        <f>IMAGE("https://raw.githubusercontent.com/ltdimages/images/refs/heads/main/ClothShoesSandalBeach_06.png")</f>
        <v/>
      </c>
      <c r="J17" s="22" t="str">
        <f>IMAGE("https://raw.githubusercontent.com/ltdimages/images/refs/heads/main/ClothShoesSandalBeach_07.png")</f>
        <v/>
      </c>
      <c r="K17" s="63" t="s">
        <v>6051</v>
      </c>
      <c r="L17" s="23">
        <v>5.5</v>
      </c>
      <c r="M17" s="22" t="s">
        <v>3097</v>
      </c>
      <c r="N17" s="22" t="s">
        <v>3123</v>
      </c>
      <c r="O17" s="22" t="s">
        <v>45</v>
      </c>
      <c r="P17" s="22" t="s">
        <v>45</v>
      </c>
      <c r="Q17" s="22" t="s">
        <v>45</v>
      </c>
      <c r="R17" s="22" t="s">
        <v>45</v>
      </c>
      <c r="S17" s="22" t="s">
        <v>45</v>
      </c>
      <c r="T17" s="22" t="s">
        <v>2002</v>
      </c>
      <c r="U17" s="22" t="s">
        <v>45</v>
      </c>
      <c r="V17" s="22" t="s">
        <v>45</v>
      </c>
      <c r="W17" s="22" t="s">
        <v>6069</v>
      </c>
      <c r="X17" s="22" t="s">
        <v>3095</v>
      </c>
      <c r="Y17" s="22" t="s">
        <v>3095</v>
      </c>
      <c r="Z17" s="22" t="s">
        <v>3095</v>
      </c>
      <c r="AA17" s="22" t="s">
        <v>3095</v>
      </c>
      <c r="AB17" s="22" t="s">
        <v>3095</v>
      </c>
      <c r="AC17" s="22" t="s">
        <v>3095</v>
      </c>
      <c r="AD17" s="22" t="s">
        <v>3095</v>
      </c>
      <c r="AE17" s="22" t="s">
        <v>3095</v>
      </c>
      <c r="AF17" s="22" t="s">
        <v>3095</v>
      </c>
    </row>
    <row r="18" ht="45.0" customHeight="1">
      <c r="A18" s="55" t="s">
        <v>129</v>
      </c>
      <c r="B18" s="62" t="s">
        <v>4012</v>
      </c>
      <c r="C18" s="22" t="str">
        <f>IMAGE("https://raw.githubusercontent.com/ltdimages/images/refs/heads/main/ClothShoesFinDivingFins_00.png")</f>
        <v/>
      </c>
      <c r="D18" s="22" t="str">
        <f>IMAGE("https://raw.githubusercontent.com/ltdimages/images/refs/heads/main/ClothShoesFinDivingFins_01.png")</f>
        <v/>
      </c>
      <c r="E18" s="22" t="str">
        <f>IMAGE("https://raw.githubusercontent.com/ltdimages/images/refs/heads/main/ClothShoesFinDivingFins_02.png")</f>
        <v/>
      </c>
      <c r="F18" s="22" t="str">
        <f>IMAGE("https://raw.githubusercontent.com/ltdimages/images/refs/heads/main/ClothShoesFinDivingFins_03.png")</f>
        <v/>
      </c>
      <c r="G18" s="22" t="str">
        <f>IMAGE("https://raw.githubusercontent.com/ltdimages/images/refs/heads/main/ClothShoesFinDivingFins_04.png")</f>
        <v/>
      </c>
      <c r="H18" s="22" t="str">
        <f>IMAGE("https://raw.githubusercontent.com/ltdimages/images/refs/heads/main/ClothShoesFinDivingFins_05.png")</f>
        <v/>
      </c>
      <c r="I18" s="22" t="str">
        <f>IMAGE("https://raw.githubusercontent.com/ltdimages/images/refs/heads/main/ClothShoesFinDivingFins_06.png")</f>
        <v/>
      </c>
      <c r="J18" s="22" t="str">
        <f>IMAGE("https://raw.githubusercontent.com/ltdimages/images/refs/heads/main/ClothShoesFinDivingFins_07.png")</f>
        <v/>
      </c>
      <c r="K18" s="63" t="s">
        <v>6051</v>
      </c>
      <c r="L18" s="23">
        <v>15.0</v>
      </c>
      <c r="M18" s="22" t="s">
        <v>3097</v>
      </c>
      <c r="N18" s="22" t="s">
        <v>3123</v>
      </c>
      <c r="O18" s="22" t="s">
        <v>45</v>
      </c>
      <c r="P18" s="22" t="s">
        <v>45</v>
      </c>
      <c r="Q18" s="22" t="s">
        <v>49</v>
      </c>
      <c r="R18" s="22" t="s">
        <v>45</v>
      </c>
      <c r="S18" s="22" t="s">
        <v>45</v>
      </c>
      <c r="T18" s="22" t="s">
        <v>2002</v>
      </c>
      <c r="U18" s="22" t="s">
        <v>45</v>
      </c>
      <c r="V18" s="22" t="s">
        <v>45</v>
      </c>
      <c r="W18" s="22" t="s">
        <v>6070</v>
      </c>
      <c r="X18" s="22" t="s">
        <v>3095</v>
      </c>
      <c r="Y18" s="22" t="s">
        <v>3095</v>
      </c>
      <c r="Z18" s="22" t="s">
        <v>3095</v>
      </c>
      <c r="AA18" s="22" t="s">
        <v>3095</v>
      </c>
      <c r="AB18" s="22" t="s">
        <v>3095</v>
      </c>
      <c r="AC18" s="22" t="s">
        <v>3095</v>
      </c>
      <c r="AD18" s="22" t="s">
        <v>3095</v>
      </c>
      <c r="AE18" s="22" t="s">
        <v>3095</v>
      </c>
      <c r="AF18" s="22" t="s">
        <v>3095</v>
      </c>
    </row>
    <row r="19" ht="45.0" customHeight="1">
      <c r="A19" s="55" t="s">
        <v>134</v>
      </c>
      <c r="B19" s="62" t="s">
        <v>3605</v>
      </c>
      <c r="C19" s="22" t="str">
        <f>IMAGE("https://raw.githubusercontent.com/ltdimages/images/refs/heads/main/ClothShoesGetaGeta_00.png")</f>
        <v/>
      </c>
      <c r="D19" s="22" t="str">
        <f>IMAGE("https://raw.githubusercontent.com/ltdimages/images/refs/heads/main/ClothShoesGetaGeta_01.png")</f>
        <v/>
      </c>
      <c r="E19" s="22" t="str">
        <f>IMAGE("https://raw.githubusercontent.com/ltdimages/images/refs/heads/main/ClothShoesGetaGeta_02.png")</f>
        <v/>
      </c>
      <c r="F19" s="22" t="str">
        <f>IMAGE("https://raw.githubusercontent.com/ltdimages/images/refs/heads/main/ClothShoesGetaGeta_03.png")</f>
        <v/>
      </c>
      <c r="G19" s="22" t="s">
        <v>3095</v>
      </c>
      <c r="H19" s="22" t="s">
        <v>3095</v>
      </c>
      <c r="I19" s="22" t="s">
        <v>3095</v>
      </c>
      <c r="J19" s="22" t="s">
        <v>3095</v>
      </c>
      <c r="K19" s="63" t="s">
        <v>6051</v>
      </c>
      <c r="L19" s="23">
        <v>8.0</v>
      </c>
      <c r="M19" s="22" t="s">
        <v>3097</v>
      </c>
      <c r="N19" s="22" t="s">
        <v>3099</v>
      </c>
      <c r="O19" s="22" t="s">
        <v>45</v>
      </c>
      <c r="P19" s="22" t="s">
        <v>45</v>
      </c>
      <c r="Q19" s="22" t="s">
        <v>45</v>
      </c>
      <c r="R19" s="22" t="s">
        <v>49</v>
      </c>
      <c r="S19" s="22" t="s">
        <v>45</v>
      </c>
      <c r="T19" s="22" t="s">
        <v>2002</v>
      </c>
      <c r="U19" s="22" t="s">
        <v>45</v>
      </c>
      <c r="V19" s="22" t="s">
        <v>45</v>
      </c>
      <c r="W19" s="22" t="s">
        <v>6071</v>
      </c>
      <c r="X19" s="22" t="s">
        <v>3095</v>
      </c>
      <c r="Y19" s="22" t="s">
        <v>3095</v>
      </c>
      <c r="Z19" s="22" t="s">
        <v>3095</v>
      </c>
      <c r="AA19" s="22" t="s">
        <v>3095</v>
      </c>
      <c r="AB19" s="22" t="s">
        <v>3095</v>
      </c>
      <c r="AC19" s="22" t="s">
        <v>3095</v>
      </c>
      <c r="AD19" s="22" t="s">
        <v>3095</v>
      </c>
      <c r="AE19" s="22" t="s">
        <v>3095</v>
      </c>
      <c r="AF19" s="22" t="s">
        <v>3095</v>
      </c>
    </row>
    <row r="20" ht="45.0" customHeight="1">
      <c r="A20" s="55" t="s">
        <v>138</v>
      </c>
      <c r="B20" s="62" t="s">
        <v>3135</v>
      </c>
      <c r="C20" s="22" t="str">
        <f>IMAGE("https://raw.githubusercontent.com/ltdimages/images/refs/heads/main/ClothShoesSandalGladiator_00.png")</f>
        <v/>
      </c>
      <c r="D20" s="22" t="str">
        <f>IMAGE("https://raw.githubusercontent.com/ltdimages/images/refs/heads/main/ClothShoesSandalGladiator_01.png")</f>
        <v/>
      </c>
      <c r="E20" s="22" t="str">
        <f>IMAGE("https://raw.githubusercontent.com/ltdimages/images/refs/heads/main/ClothShoesSandalGladiator_02.png")</f>
        <v/>
      </c>
      <c r="F20" s="22" t="str">
        <f>IMAGE("https://raw.githubusercontent.com/ltdimages/images/refs/heads/main/ClothShoesSandalGladiator_03.png")</f>
        <v/>
      </c>
      <c r="G20" s="22" t="s">
        <v>3095</v>
      </c>
      <c r="H20" s="22" t="s">
        <v>3095</v>
      </c>
      <c r="I20" s="22" t="s">
        <v>3095</v>
      </c>
      <c r="J20" s="22" t="s">
        <v>3095</v>
      </c>
      <c r="K20" s="63" t="s">
        <v>6051</v>
      </c>
      <c r="L20" s="23">
        <v>5.9</v>
      </c>
      <c r="M20" s="22" t="s">
        <v>3097</v>
      </c>
      <c r="N20" s="22" t="s">
        <v>3123</v>
      </c>
      <c r="O20" s="22" t="s">
        <v>45</v>
      </c>
      <c r="P20" s="22" t="s">
        <v>45</v>
      </c>
      <c r="Q20" s="22" t="s">
        <v>45</v>
      </c>
      <c r="R20" s="22" t="s">
        <v>45</v>
      </c>
      <c r="S20" s="22" t="s">
        <v>45</v>
      </c>
      <c r="T20" s="22" t="s">
        <v>2002</v>
      </c>
      <c r="U20" s="22" t="s">
        <v>45</v>
      </c>
      <c r="V20" s="22" t="s">
        <v>45</v>
      </c>
      <c r="W20" s="22" t="s">
        <v>6072</v>
      </c>
      <c r="X20" s="22" t="s">
        <v>3095</v>
      </c>
      <c r="Y20" s="22" t="s">
        <v>3095</v>
      </c>
      <c r="Z20" s="22" t="s">
        <v>3095</v>
      </c>
      <c r="AA20" s="22" t="s">
        <v>3095</v>
      </c>
      <c r="AB20" s="22" t="s">
        <v>3095</v>
      </c>
      <c r="AC20" s="22" t="s">
        <v>3095</v>
      </c>
      <c r="AD20" s="22" t="s">
        <v>3095</v>
      </c>
      <c r="AE20" s="22" t="s">
        <v>3095</v>
      </c>
      <c r="AF20" s="22" t="s">
        <v>3095</v>
      </c>
    </row>
    <row r="21" ht="45.0" customHeight="1">
      <c r="A21" s="55" t="s">
        <v>142</v>
      </c>
      <c r="B21" s="62" t="s">
        <v>3232</v>
      </c>
      <c r="C21" s="22" t="str">
        <f>IMAGE("https://raw.githubusercontent.com/ltdimages/images/refs/heads/main/ClothShoesHighcutSneaker_00.png")</f>
        <v/>
      </c>
      <c r="D21" s="22" t="str">
        <f>IMAGE("https://raw.githubusercontent.com/ltdimages/images/refs/heads/main/ClothShoesHighcutSneaker_01.png")</f>
        <v/>
      </c>
      <c r="E21" s="22" t="str">
        <f>IMAGE("https://raw.githubusercontent.com/ltdimages/images/refs/heads/main/ClothShoesHighcutSneaker_02.png")</f>
        <v/>
      </c>
      <c r="F21" s="22" t="str">
        <f>IMAGE("https://raw.githubusercontent.com/ltdimages/images/refs/heads/main/ClothShoesHighcutSneaker_03.png")</f>
        <v/>
      </c>
      <c r="G21" s="22" t="str">
        <f>IMAGE("https://raw.githubusercontent.com/ltdimages/images/refs/heads/main/ClothShoesHighcutSneaker_04.png")</f>
        <v/>
      </c>
      <c r="H21" s="22" t="str">
        <f>IMAGE("https://raw.githubusercontent.com/ltdimages/images/refs/heads/main/ClothShoesHighcutSneaker_05.png")</f>
        <v/>
      </c>
      <c r="I21" s="22" t="str">
        <f>IMAGE("https://raw.githubusercontent.com/ltdimages/images/refs/heads/main/ClothShoesHighcutSneaker_06.png")</f>
        <v/>
      </c>
      <c r="J21" s="22" t="str">
        <f>IMAGE("https://raw.githubusercontent.com/ltdimages/images/refs/heads/main/ClothShoesHighcutSneaker_07.png")</f>
        <v/>
      </c>
      <c r="K21" s="63" t="s">
        <v>6051</v>
      </c>
      <c r="L21" s="23">
        <v>7.7</v>
      </c>
      <c r="M21" s="22" t="s">
        <v>3097</v>
      </c>
      <c r="N21" s="22" t="s">
        <v>3099</v>
      </c>
      <c r="O21" s="22" t="s">
        <v>45</v>
      </c>
      <c r="P21" s="22" t="s">
        <v>45</v>
      </c>
      <c r="Q21" s="22" t="s">
        <v>45</v>
      </c>
      <c r="R21" s="22" t="s">
        <v>45</v>
      </c>
      <c r="S21" s="22" t="s">
        <v>45</v>
      </c>
      <c r="T21" s="22" t="s">
        <v>2002</v>
      </c>
      <c r="U21" s="22" t="s">
        <v>45</v>
      </c>
      <c r="V21" s="22" t="s">
        <v>45</v>
      </c>
      <c r="W21" s="22" t="s">
        <v>6073</v>
      </c>
      <c r="X21" s="22" t="s">
        <v>3095</v>
      </c>
      <c r="Y21" s="22" t="s">
        <v>3095</v>
      </c>
      <c r="Z21" s="22" t="s">
        <v>3095</v>
      </c>
      <c r="AA21" s="22" t="s">
        <v>3095</v>
      </c>
      <c r="AB21" s="22" t="s">
        <v>3095</v>
      </c>
      <c r="AC21" s="22" t="s">
        <v>3095</v>
      </c>
      <c r="AD21" s="22" t="s">
        <v>3095</v>
      </c>
      <c r="AE21" s="22" t="s">
        <v>3095</v>
      </c>
      <c r="AF21" s="22" t="s">
        <v>3095</v>
      </c>
    </row>
    <row r="22" ht="45.0" customHeight="1">
      <c r="A22" s="55" t="s">
        <v>147</v>
      </c>
      <c r="B22" s="62" t="s">
        <v>3512</v>
      </c>
      <c r="C22" s="22" t="str">
        <f>IMAGE("https://raw.githubusercontent.com/ltdimages/images/refs/heads/main/ClothShoesHighcutTrekking_00.png")</f>
        <v/>
      </c>
      <c r="D22" s="22" t="str">
        <f>IMAGE("https://raw.githubusercontent.com/ltdimages/images/refs/heads/main/ClothShoesHighcutTrekking_01.png")</f>
        <v/>
      </c>
      <c r="E22" s="22" t="str">
        <f>IMAGE("https://raw.githubusercontent.com/ltdimages/images/refs/heads/main/ClothShoesHighcutTrekking_02.png")</f>
        <v/>
      </c>
      <c r="F22" s="22" t="str">
        <f>IMAGE("https://raw.githubusercontent.com/ltdimages/images/refs/heads/main/ClothShoesHighcutTrekking_03.png")</f>
        <v/>
      </c>
      <c r="G22" s="22" t="str">
        <f>IMAGE("https://raw.githubusercontent.com/ltdimages/images/refs/heads/main/ClothShoesHighcutTrekking_04.png")</f>
        <v/>
      </c>
      <c r="H22" s="22" t="str">
        <f>IMAGE("https://raw.githubusercontent.com/ltdimages/images/refs/heads/main/ClothShoesHighcutTrekking_05.png")</f>
        <v/>
      </c>
      <c r="I22" s="22" t="s">
        <v>3095</v>
      </c>
      <c r="J22" s="22" t="s">
        <v>3095</v>
      </c>
      <c r="K22" s="63" t="s">
        <v>6051</v>
      </c>
      <c r="L22" s="23">
        <v>8.0</v>
      </c>
      <c r="M22" s="22" t="s">
        <v>3097</v>
      </c>
      <c r="N22" s="22" t="s">
        <v>3099</v>
      </c>
      <c r="O22" s="22" t="s">
        <v>45</v>
      </c>
      <c r="P22" s="22" t="s">
        <v>45</v>
      </c>
      <c r="Q22" s="22" t="s">
        <v>45</v>
      </c>
      <c r="R22" s="22" t="s">
        <v>45</v>
      </c>
      <c r="S22" s="22" t="s">
        <v>45</v>
      </c>
      <c r="T22" s="22" t="s">
        <v>2002</v>
      </c>
      <c r="U22" s="22" t="s">
        <v>45</v>
      </c>
      <c r="V22" s="22" t="s">
        <v>45</v>
      </c>
      <c r="W22" s="22" t="s">
        <v>6074</v>
      </c>
      <c r="X22" s="22" t="s">
        <v>3095</v>
      </c>
      <c r="Y22" s="22" t="s">
        <v>3095</v>
      </c>
      <c r="Z22" s="22" t="s">
        <v>3095</v>
      </c>
      <c r="AA22" s="22" t="s">
        <v>3095</v>
      </c>
      <c r="AB22" s="22" t="s">
        <v>3095</v>
      </c>
      <c r="AC22" s="22" t="s">
        <v>3095</v>
      </c>
      <c r="AD22" s="22" t="s">
        <v>3095</v>
      </c>
      <c r="AE22" s="22" t="s">
        <v>3095</v>
      </c>
      <c r="AF22" s="22" t="s">
        <v>3095</v>
      </c>
    </row>
    <row r="23" ht="45.0" customHeight="1">
      <c r="A23" s="55" t="s">
        <v>152</v>
      </c>
      <c r="B23" s="62" t="s">
        <v>3491</v>
      </c>
      <c r="C23" s="22" t="str">
        <f>IMAGE("https://raw.githubusercontent.com/ltdimages/images/refs/heads/main/ClothShoesSkateFigure_00.png")</f>
        <v/>
      </c>
      <c r="D23" s="22" t="str">
        <f>IMAGE("https://raw.githubusercontent.com/ltdimages/images/refs/heads/main/ClothShoesSkateFigure_01.png")</f>
        <v/>
      </c>
      <c r="E23" s="22" t="s">
        <v>3095</v>
      </c>
      <c r="F23" s="22" t="s">
        <v>3095</v>
      </c>
      <c r="G23" s="22" t="s">
        <v>3095</v>
      </c>
      <c r="H23" s="22" t="s">
        <v>3095</v>
      </c>
      <c r="I23" s="22" t="s">
        <v>3095</v>
      </c>
      <c r="J23" s="22" t="s">
        <v>3095</v>
      </c>
      <c r="K23" s="63" t="s">
        <v>6051</v>
      </c>
      <c r="L23" s="23">
        <v>12.0</v>
      </c>
      <c r="M23" s="22" t="s">
        <v>3097</v>
      </c>
      <c r="N23" s="22" t="s">
        <v>3114</v>
      </c>
      <c r="O23" s="22" t="s">
        <v>45</v>
      </c>
      <c r="P23" s="22" t="s">
        <v>45</v>
      </c>
      <c r="Q23" s="22" t="s">
        <v>45</v>
      </c>
      <c r="R23" s="22" t="s">
        <v>49</v>
      </c>
      <c r="S23" s="22" t="s">
        <v>45</v>
      </c>
      <c r="T23" s="22" t="s">
        <v>2002</v>
      </c>
      <c r="U23" s="22" t="s">
        <v>45</v>
      </c>
      <c r="V23" s="22" t="s">
        <v>45</v>
      </c>
      <c r="W23" s="22" t="s">
        <v>6075</v>
      </c>
      <c r="X23" s="22" t="s">
        <v>3095</v>
      </c>
      <c r="Y23" s="22" t="s">
        <v>3095</v>
      </c>
      <c r="Z23" s="22" t="s">
        <v>3095</v>
      </c>
      <c r="AA23" s="22" t="s">
        <v>3095</v>
      </c>
      <c r="AB23" s="22" t="s">
        <v>3095</v>
      </c>
      <c r="AC23" s="22" t="s">
        <v>3095</v>
      </c>
      <c r="AD23" s="22" t="s">
        <v>3095</v>
      </c>
      <c r="AE23" s="22" t="s">
        <v>3095</v>
      </c>
      <c r="AF23" s="22" t="s">
        <v>3095</v>
      </c>
    </row>
    <row r="24" ht="45.0" customHeight="1">
      <c r="A24" s="55" t="s">
        <v>156</v>
      </c>
      <c r="B24" s="62" t="s">
        <v>3957</v>
      </c>
      <c r="C24" s="22" t="str">
        <f>IMAGE("https://raw.githubusercontent.com/ltdimages/images/refs/heads/main/ClothShoesSandalSchool_00.png")</f>
        <v/>
      </c>
      <c r="D24" s="22" t="str">
        <f>IMAGE("https://raw.githubusercontent.com/ltdimages/images/refs/heads/main/ClothShoesSandalSchool_01.png")</f>
        <v/>
      </c>
      <c r="E24" s="22" t="str">
        <f>IMAGE("https://raw.githubusercontent.com/ltdimages/images/refs/heads/main/ClothShoesSandalSchool_02.png")</f>
        <v/>
      </c>
      <c r="F24" s="22" t="str">
        <f>IMAGE("https://raw.githubusercontent.com/ltdimages/images/refs/heads/main/ClothShoesSandalSchool_03.png")</f>
        <v/>
      </c>
      <c r="G24" s="22" t="str">
        <f>IMAGE("https://raw.githubusercontent.com/ltdimages/images/refs/heads/main/ClothShoesSandalSchool_04.png")</f>
        <v/>
      </c>
      <c r="H24" s="22" t="str">
        <f>IMAGE("https://raw.githubusercontent.com/ltdimages/images/refs/heads/main/ClothShoesSandalSchool_05.png")</f>
        <v/>
      </c>
      <c r="I24" s="22" t="str">
        <f>IMAGE("https://raw.githubusercontent.com/ltdimages/images/refs/heads/main/ClothShoesSandalSchool_06.png")</f>
        <v/>
      </c>
      <c r="J24" s="22" t="str">
        <f>IMAGE("https://raw.githubusercontent.com/ltdimages/images/refs/heads/main/ClothShoesSandalSchool_07.png")</f>
        <v/>
      </c>
      <c r="K24" s="63" t="s">
        <v>6051</v>
      </c>
      <c r="L24" s="23">
        <v>5.1</v>
      </c>
      <c r="M24" s="22" t="s">
        <v>3097</v>
      </c>
      <c r="N24" s="22" t="s">
        <v>3099</v>
      </c>
      <c r="O24" s="22" t="s">
        <v>49</v>
      </c>
      <c r="P24" s="22" t="s">
        <v>45</v>
      </c>
      <c r="Q24" s="22" t="s">
        <v>45</v>
      </c>
      <c r="R24" s="22" t="s">
        <v>45</v>
      </c>
      <c r="S24" s="22" t="s">
        <v>45</v>
      </c>
      <c r="T24" s="22" t="s">
        <v>2002</v>
      </c>
      <c r="U24" s="22" t="s">
        <v>45</v>
      </c>
      <c r="V24" s="22" t="s">
        <v>45</v>
      </c>
      <c r="W24" s="22" t="s">
        <v>6076</v>
      </c>
      <c r="X24" s="22" t="s">
        <v>3095</v>
      </c>
      <c r="Y24" s="22" t="s">
        <v>3095</v>
      </c>
      <c r="Z24" s="22" t="s">
        <v>3095</v>
      </c>
      <c r="AA24" s="22" t="s">
        <v>3095</v>
      </c>
      <c r="AB24" s="22" t="s">
        <v>3095</v>
      </c>
      <c r="AC24" s="22" t="s">
        <v>3095</v>
      </c>
      <c r="AD24" s="22" t="s">
        <v>3095</v>
      </c>
      <c r="AE24" s="22" t="s">
        <v>3095</v>
      </c>
      <c r="AF24" s="22" t="s">
        <v>3095</v>
      </c>
    </row>
    <row r="25" ht="45.0" customHeight="1">
      <c r="A25" s="55" t="s">
        <v>161</v>
      </c>
      <c r="B25" s="62" t="s">
        <v>3901</v>
      </c>
      <c r="C25" s="22" t="str">
        <f>IMAGE("https://raw.githubusercontent.com/ltdimages/images/refs/heads/main/ClothShoesSandalBathroom_00.png")</f>
        <v/>
      </c>
      <c r="D25" s="22" t="str">
        <f>IMAGE("https://raw.githubusercontent.com/ltdimages/images/refs/heads/main/ClothShoesSandalBathroom_01.png")</f>
        <v/>
      </c>
      <c r="E25" s="22" t="str">
        <f>IMAGE("https://raw.githubusercontent.com/ltdimages/images/refs/heads/main/ClothShoesSandalBathroom_02.png")</f>
        <v/>
      </c>
      <c r="F25" s="22" t="str">
        <f>IMAGE("https://raw.githubusercontent.com/ltdimages/images/refs/heads/main/ClothShoesSandalBathroom_03.png")</f>
        <v/>
      </c>
      <c r="G25" s="22" t="str">
        <f>IMAGE("https://raw.githubusercontent.com/ltdimages/images/refs/heads/main/ClothShoesSandalBathroom_04.png")</f>
        <v/>
      </c>
      <c r="H25" s="22" t="str">
        <f>IMAGE("https://raw.githubusercontent.com/ltdimages/images/refs/heads/main/ClothShoesSandalBathroom_05.png")</f>
        <v/>
      </c>
      <c r="I25" s="22" t="str">
        <f>IMAGE("https://raw.githubusercontent.com/ltdimages/images/refs/heads/main/ClothShoesSandalBathroom_06.png")</f>
        <v/>
      </c>
      <c r="J25" s="22" t="str">
        <f>IMAGE("https://raw.githubusercontent.com/ltdimages/images/refs/heads/main/ClothShoesSandalBathroom_07.png")</f>
        <v/>
      </c>
      <c r="K25" s="63" t="s">
        <v>6051</v>
      </c>
      <c r="L25" s="23">
        <v>5.5</v>
      </c>
      <c r="M25" s="22" t="s">
        <v>3097</v>
      </c>
      <c r="N25" s="22" t="s">
        <v>3099</v>
      </c>
      <c r="O25" s="22" t="s">
        <v>45</v>
      </c>
      <c r="P25" s="22" t="s">
        <v>45</v>
      </c>
      <c r="Q25" s="22" t="s">
        <v>45</v>
      </c>
      <c r="R25" s="22" t="s">
        <v>45</v>
      </c>
      <c r="S25" s="22" t="s">
        <v>45</v>
      </c>
      <c r="T25" s="22" t="s">
        <v>2002</v>
      </c>
      <c r="U25" s="22" t="s">
        <v>45</v>
      </c>
      <c r="V25" s="22" t="s">
        <v>45</v>
      </c>
      <c r="W25" s="22" t="s">
        <v>6077</v>
      </c>
      <c r="X25" s="22" t="s">
        <v>3095</v>
      </c>
      <c r="Y25" s="22" t="s">
        <v>3095</v>
      </c>
      <c r="Z25" s="22" t="s">
        <v>3095</v>
      </c>
      <c r="AA25" s="22" t="s">
        <v>3095</v>
      </c>
      <c r="AB25" s="22" t="s">
        <v>3095</v>
      </c>
      <c r="AC25" s="22" t="s">
        <v>3095</v>
      </c>
      <c r="AD25" s="22" t="s">
        <v>3095</v>
      </c>
      <c r="AE25" s="22" t="s">
        <v>3095</v>
      </c>
      <c r="AF25" s="22" t="s">
        <v>3095</v>
      </c>
    </row>
    <row r="26" ht="45.0" customHeight="1">
      <c r="A26" s="55" t="s">
        <v>165</v>
      </c>
      <c r="B26" s="62" t="s">
        <v>3305</v>
      </c>
      <c r="C26" s="22" t="str">
        <f>IMAGE("https://raw.githubusercontent.com/ltdimages/images/refs/heads/main/ClothShoesSandalZori_00.png")</f>
        <v/>
      </c>
      <c r="D26" s="22" t="str">
        <f>IMAGE("https://raw.githubusercontent.com/ltdimages/images/refs/heads/main/ClothShoesSandalZori_01.png")</f>
        <v/>
      </c>
      <c r="E26" s="22" t="str">
        <f>IMAGE("https://raw.githubusercontent.com/ltdimages/images/refs/heads/main/ClothShoesSandalZori_02.png")</f>
        <v/>
      </c>
      <c r="F26" s="22" t="str">
        <f>IMAGE("https://raw.githubusercontent.com/ltdimages/images/refs/heads/main/ClothShoesSandalZori_03.png")</f>
        <v/>
      </c>
      <c r="G26" s="22" t="str">
        <f>IMAGE("https://raw.githubusercontent.com/ltdimages/images/refs/heads/main/ClothShoesSandalZori_04.png")</f>
        <v/>
      </c>
      <c r="H26" s="22" t="str">
        <f>IMAGE("https://raw.githubusercontent.com/ltdimages/images/refs/heads/main/ClothShoesSandalZori_05.png")</f>
        <v/>
      </c>
      <c r="I26" s="22" t="str">
        <f>IMAGE("https://raw.githubusercontent.com/ltdimages/images/refs/heads/main/ClothShoesSandalZori_06.png")</f>
        <v/>
      </c>
      <c r="J26" s="22" t="str">
        <f>IMAGE("https://raw.githubusercontent.com/ltdimages/images/refs/heads/main/ClothShoesSandalZori_07.png")</f>
        <v/>
      </c>
      <c r="K26" s="63" t="s">
        <v>6051</v>
      </c>
      <c r="L26" s="23">
        <v>10.0</v>
      </c>
      <c r="M26" s="22" t="s">
        <v>3097</v>
      </c>
      <c r="N26" s="22" t="s">
        <v>3099</v>
      </c>
      <c r="O26" s="22" t="s">
        <v>45</v>
      </c>
      <c r="P26" s="22" t="s">
        <v>45</v>
      </c>
      <c r="Q26" s="22" t="s">
        <v>45</v>
      </c>
      <c r="R26" s="22" t="s">
        <v>45</v>
      </c>
      <c r="S26" s="22" t="s">
        <v>45</v>
      </c>
      <c r="T26" s="22" t="s">
        <v>2002</v>
      </c>
      <c r="U26" s="22" t="s">
        <v>45</v>
      </c>
      <c r="V26" s="22" t="s">
        <v>45</v>
      </c>
      <c r="W26" s="22" t="s">
        <v>6078</v>
      </c>
      <c r="X26" s="22" t="s">
        <v>3095</v>
      </c>
      <c r="Y26" s="22" t="s">
        <v>3095</v>
      </c>
      <c r="Z26" s="22" t="s">
        <v>3095</v>
      </c>
      <c r="AA26" s="22" t="s">
        <v>3095</v>
      </c>
      <c r="AB26" s="22" t="s">
        <v>3095</v>
      </c>
      <c r="AC26" s="22" t="s">
        <v>3095</v>
      </c>
      <c r="AD26" s="22" t="s">
        <v>3095</v>
      </c>
      <c r="AE26" s="22" t="s">
        <v>3095</v>
      </c>
      <c r="AF26" s="22" t="s">
        <v>3095</v>
      </c>
    </row>
    <row r="27" ht="45.0" customHeight="1">
      <c r="A27" s="55" t="s">
        <v>170</v>
      </c>
      <c r="B27" s="62" t="s">
        <v>6079</v>
      </c>
      <c r="C27" s="22" t="str">
        <f>IMAGE("https://raw.githubusercontent.com/ltdimages/images/refs/heads/main/ClothShoesSandalJelly_00.png")</f>
        <v/>
      </c>
      <c r="D27" s="22" t="str">
        <f>IMAGE("https://raw.githubusercontent.com/ltdimages/images/refs/heads/main/ClothShoesSandalJelly_01.png")</f>
        <v/>
      </c>
      <c r="E27" s="22" t="str">
        <f>IMAGE("https://raw.githubusercontent.com/ltdimages/images/refs/heads/main/ClothShoesSandalJelly_02.png")</f>
        <v/>
      </c>
      <c r="F27" s="22" t="str">
        <f>IMAGE("https://raw.githubusercontent.com/ltdimages/images/refs/heads/main/ClothShoesSandalJelly_03.png")</f>
        <v/>
      </c>
      <c r="G27" s="22" t="str">
        <f>IMAGE("https://raw.githubusercontent.com/ltdimages/images/refs/heads/main/ClothShoesSandalJelly_04.png")</f>
        <v/>
      </c>
      <c r="H27" s="22" t="str">
        <f>IMAGE("https://raw.githubusercontent.com/ltdimages/images/refs/heads/main/ClothShoesSandalJelly_05.png")</f>
        <v/>
      </c>
      <c r="I27" s="22" t="str">
        <f>IMAGE("https://raw.githubusercontent.com/ltdimages/images/refs/heads/main/ClothShoesSandalJelly_06.png")</f>
        <v/>
      </c>
      <c r="J27" s="22" t="str">
        <f>IMAGE("https://raw.githubusercontent.com/ltdimages/images/refs/heads/main/ClothShoesSandalJelly_07.png")</f>
        <v/>
      </c>
      <c r="K27" s="63" t="s">
        <v>6051</v>
      </c>
      <c r="L27" s="23">
        <v>5.9</v>
      </c>
      <c r="M27" s="22" t="s">
        <v>3097</v>
      </c>
      <c r="N27" s="22" t="s">
        <v>3123</v>
      </c>
      <c r="O27" s="22" t="s">
        <v>45</v>
      </c>
      <c r="P27" s="22" t="s">
        <v>45</v>
      </c>
      <c r="Q27" s="22" t="s">
        <v>45</v>
      </c>
      <c r="R27" s="22" t="s">
        <v>45</v>
      </c>
      <c r="S27" s="22" t="s">
        <v>45</v>
      </c>
      <c r="T27" s="22" t="s">
        <v>2002</v>
      </c>
      <c r="U27" s="22" t="s">
        <v>45</v>
      </c>
      <c r="V27" s="22" t="s">
        <v>45</v>
      </c>
      <c r="W27" s="22" t="s">
        <v>6080</v>
      </c>
      <c r="X27" s="22" t="s">
        <v>3095</v>
      </c>
      <c r="Y27" s="22" t="s">
        <v>3095</v>
      </c>
      <c r="Z27" s="22" t="s">
        <v>3095</v>
      </c>
      <c r="AA27" s="22" t="s">
        <v>3095</v>
      </c>
      <c r="AB27" s="22" t="s">
        <v>3095</v>
      </c>
      <c r="AC27" s="22" t="s">
        <v>3095</v>
      </c>
      <c r="AD27" s="22" t="s">
        <v>3095</v>
      </c>
      <c r="AE27" s="22" t="s">
        <v>3095</v>
      </c>
      <c r="AF27" s="22" t="s">
        <v>3095</v>
      </c>
    </row>
    <row r="28" ht="45.0" customHeight="1">
      <c r="A28" s="55" t="s">
        <v>175</v>
      </c>
      <c r="B28" s="62" t="s">
        <v>4676</v>
      </c>
      <c r="C28" s="22" t="str">
        <f>IMAGE("https://raw.githubusercontent.com/ltdimages/images/refs/heads/main/ClothShoesSneakerKids_00.png")</f>
        <v/>
      </c>
      <c r="D28" s="22" t="str">
        <f>IMAGE("https://raw.githubusercontent.com/ltdimages/images/refs/heads/main/ClothShoesSneakerKids_01.png")</f>
        <v/>
      </c>
      <c r="E28" s="22" t="str">
        <f>IMAGE("https://raw.githubusercontent.com/ltdimages/images/refs/heads/main/ClothShoesSneakerKids_02.png")</f>
        <v/>
      </c>
      <c r="F28" s="22" t="str">
        <f>IMAGE("https://raw.githubusercontent.com/ltdimages/images/refs/heads/main/ClothShoesSneakerKids_03.png")</f>
        <v/>
      </c>
      <c r="G28" s="22" t="str">
        <f>IMAGE("https://raw.githubusercontent.com/ltdimages/images/refs/heads/main/ClothShoesSneakerKids_04.png")</f>
        <v/>
      </c>
      <c r="H28" s="22" t="str">
        <f>IMAGE("https://raw.githubusercontent.com/ltdimages/images/refs/heads/main/ClothShoesSneakerKids_05.png")</f>
        <v/>
      </c>
      <c r="I28" s="22" t="str">
        <f>IMAGE("https://raw.githubusercontent.com/ltdimages/images/refs/heads/main/ClothShoesSneakerKids_06.png")</f>
        <v/>
      </c>
      <c r="J28" s="22" t="str">
        <f>IMAGE("https://raw.githubusercontent.com/ltdimages/images/refs/heads/main/ClothShoesSneakerKids_07.png")</f>
        <v/>
      </c>
      <c r="K28" s="63" t="s">
        <v>6051</v>
      </c>
      <c r="L28" s="23">
        <v>6.0</v>
      </c>
      <c r="M28" s="22" t="s">
        <v>3097</v>
      </c>
      <c r="N28" s="22" t="s">
        <v>3099</v>
      </c>
      <c r="O28" s="22" t="s">
        <v>49</v>
      </c>
      <c r="P28" s="22" t="s">
        <v>45</v>
      </c>
      <c r="Q28" s="22" t="s">
        <v>45</v>
      </c>
      <c r="R28" s="22" t="s">
        <v>45</v>
      </c>
      <c r="S28" s="22" t="s">
        <v>45</v>
      </c>
      <c r="T28" s="22" t="s">
        <v>2002</v>
      </c>
      <c r="U28" s="22" t="s">
        <v>45</v>
      </c>
      <c r="V28" s="22" t="s">
        <v>45</v>
      </c>
      <c r="W28" s="22" t="s">
        <v>6081</v>
      </c>
      <c r="X28" s="22" t="s">
        <v>3095</v>
      </c>
      <c r="Y28" s="22" t="s">
        <v>3095</v>
      </c>
      <c r="Z28" s="22" t="s">
        <v>3095</v>
      </c>
      <c r="AA28" s="22" t="s">
        <v>3095</v>
      </c>
      <c r="AB28" s="22" t="s">
        <v>3095</v>
      </c>
      <c r="AC28" s="22" t="s">
        <v>3095</v>
      </c>
      <c r="AD28" s="22" t="s">
        <v>3095</v>
      </c>
      <c r="AE28" s="22" t="s">
        <v>3095</v>
      </c>
      <c r="AF28" s="22" t="s">
        <v>3095</v>
      </c>
    </row>
    <row r="29" ht="45.0" customHeight="1">
      <c r="A29" s="55" t="s">
        <v>180</v>
      </c>
      <c r="B29" s="62" t="s">
        <v>3329</v>
      </c>
      <c r="C29" s="22" t="str">
        <f>IMAGE("https://raw.githubusercontent.com/ltdimages/images/refs/heads/main/ClothShoesSandalKungfu_00.png")</f>
        <v/>
      </c>
      <c r="D29" s="22" t="str">
        <f>IMAGE("https://raw.githubusercontent.com/ltdimages/images/refs/heads/main/ClothShoesSandalKungfu_01.png")</f>
        <v/>
      </c>
      <c r="E29" s="22" t="str">
        <f>IMAGE("https://raw.githubusercontent.com/ltdimages/images/refs/heads/main/ClothShoesSandalKungfu_02.png")</f>
        <v/>
      </c>
      <c r="F29" s="22" t="str">
        <f>IMAGE("https://raw.githubusercontent.com/ltdimages/images/refs/heads/main/ClothShoesSandalKungfu_03.png")</f>
        <v/>
      </c>
      <c r="G29" s="22" t="str">
        <f>IMAGE("https://raw.githubusercontent.com/ltdimages/images/refs/heads/main/ClothShoesSandalKungfu_04.png")</f>
        <v/>
      </c>
      <c r="H29" s="22" t="str">
        <f>IMAGE("https://raw.githubusercontent.com/ltdimages/images/refs/heads/main/ClothShoesSandalKungfu_05.png")</f>
        <v/>
      </c>
      <c r="I29" s="22" t="s">
        <v>3095</v>
      </c>
      <c r="J29" s="22" t="s">
        <v>3095</v>
      </c>
      <c r="K29" s="63" t="s">
        <v>6051</v>
      </c>
      <c r="L29" s="23">
        <v>5.5</v>
      </c>
      <c r="M29" s="22" t="s">
        <v>3097</v>
      </c>
      <c r="N29" s="22" t="s">
        <v>3099</v>
      </c>
      <c r="O29" s="22" t="s">
        <v>45</v>
      </c>
      <c r="P29" s="22" t="s">
        <v>45</v>
      </c>
      <c r="Q29" s="22" t="s">
        <v>45</v>
      </c>
      <c r="R29" s="22" t="s">
        <v>45</v>
      </c>
      <c r="S29" s="22" t="s">
        <v>45</v>
      </c>
      <c r="T29" s="22" t="s">
        <v>2002</v>
      </c>
      <c r="U29" s="22" t="s">
        <v>45</v>
      </c>
      <c r="V29" s="22" t="s">
        <v>45</v>
      </c>
      <c r="W29" s="22" t="s">
        <v>6082</v>
      </c>
      <c r="X29" s="22" t="s">
        <v>3095</v>
      </c>
      <c r="Y29" s="22" t="s">
        <v>3095</v>
      </c>
      <c r="Z29" s="22" t="s">
        <v>3095</v>
      </c>
      <c r="AA29" s="22" t="s">
        <v>3095</v>
      </c>
      <c r="AB29" s="22" t="s">
        <v>3095</v>
      </c>
      <c r="AC29" s="22" t="s">
        <v>3095</v>
      </c>
      <c r="AD29" s="22" t="s">
        <v>3095</v>
      </c>
      <c r="AE29" s="22" t="s">
        <v>3095</v>
      </c>
      <c r="AF29" s="22" t="s">
        <v>3095</v>
      </c>
    </row>
    <row r="30" ht="45.0" customHeight="1">
      <c r="A30" s="55" t="s">
        <v>185</v>
      </c>
      <c r="B30" s="62" t="s">
        <v>6083</v>
      </c>
      <c r="C30" s="22" t="str">
        <f>IMAGE("https://raw.githubusercontent.com/ltdimages/images/refs/heads/main/ClothShoesLoaferLaceUp_00.png")</f>
        <v/>
      </c>
      <c r="D30" s="22" t="str">
        <f>IMAGE("https://raw.githubusercontent.com/ltdimages/images/refs/heads/main/ClothShoesLoaferLaceUp_01.png")</f>
        <v/>
      </c>
      <c r="E30" s="22" t="str">
        <f>IMAGE("https://raw.githubusercontent.com/ltdimages/images/refs/heads/main/ClothShoesLoaferLaceUp_02.png")</f>
        <v/>
      </c>
      <c r="F30" s="22" t="str">
        <f>IMAGE("https://raw.githubusercontent.com/ltdimages/images/refs/heads/main/ClothShoesLoaferLaceUp_03.png")</f>
        <v/>
      </c>
      <c r="G30" s="22" t="str">
        <f>IMAGE("https://raw.githubusercontent.com/ltdimages/images/refs/heads/main/ClothShoesLoaferLaceUp_04.png")</f>
        <v/>
      </c>
      <c r="H30" s="22" t="s">
        <v>3095</v>
      </c>
      <c r="I30" s="22" t="s">
        <v>3095</v>
      </c>
      <c r="J30" s="22" t="s">
        <v>3095</v>
      </c>
      <c r="K30" s="63" t="s">
        <v>6051</v>
      </c>
      <c r="L30" s="23">
        <v>8.5</v>
      </c>
      <c r="M30" s="22" t="s">
        <v>3097</v>
      </c>
      <c r="N30" s="22" t="s">
        <v>3099</v>
      </c>
      <c r="O30" s="22" t="s">
        <v>45</v>
      </c>
      <c r="P30" s="22" t="s">
        <v>45</v>
      </c>
      <c r="Q30" s="22" t="s">
        <v>45</v>
      </c>
      <c r="R30" s="22" t="s">
        <v>45</v>
      </c>
      <c r="S30" s="22" t="s">
        <v>45</v>
      </c>
      <c r="T30" s="22" t="s">
        <v>2002</v>
      </c>
      <c r="U30" s="22" t="s">
        <v>45</v>
      </c>
      <c r="V30" s="22" t="s">
        <v>45</v>
      </c>
      <c r="W30" s="22" t="s">
        <v>6084</v>
      </c>
      <c r="X30" s="22" t="s">
        <v>3095</v>
      </c>
      <c r="Y30" s="22" t="s">
        <v>3095</v>
      </c>
      <c r="Z30" s="22" t="s">
        <v>3095</v>
      </c>
      <c r="AA30" s="22" t="s">
        <v>3095</v>
      </c>
      <c r="AB30" s="22" t="s">
        <v>3095</v>
      </c>
      <c r="AC30" s="22" t="s">
        <v>3095</v>
      </c>
      <c r="AD30" s="22" t="s">
        <v>3095</v>
      </c>
      <c r="AE30" s="22" t="s">
        <v>3095</v>
      </c>
      <c r="AF30" s="22" t="s">
        <v>3095</v>
      </c>
    </row>
    <row r="31" ht="45.0" customHeight="1">
      <c r="A31" s="55" t="s">
        <v>189</v>
      </c>
      <c r="B31" s="62" t="s">
        <v>3506</v>
      </c>
      <c r="C31" s="22" t="str">
        <f>IMAGE("https://raw.githubusercontent.com/ltdimages/images/refs/heads/main/ClothShoesBootsShortLaceUp_00.png")</f>
        <v/>
      </c>
      <c r="D31" s="22" t="str">
        <f>IMAGE("https://raw.githubusercontent.com/ltdimages/images/refs/heads/main/ClothShoesBootsShortLaceUp_01.png")</f>
        <v/>
      </c>
      <c r="E31" s="22" t="str">
        <f>IMAGE("https://raw.githubusercontent.com/ltdimages/images/refs/heads/main/ClothShoesBootsShortLaceUp_02.png")</f>
        <v/>
      </c>
      <c r="F31" s="22" t="str">
        <f>IMAGE("https://raw.githubusercontent.com/ltdimages/images/refs/heads/main/ClothShoesBootsShortLaceUp_03.png")</f>
        <v/>
      </c>
      <c r="G31" s="22" t="str">
        <f>IMAGE("https://raw.githubusercontent.com/ltdimages/images/refs/heads/main/ClothShoesBootsShortLaceUp_04.png")</f>
        <v/>
      </c>
      <c r="H31" s="22" t="s">
        <v>3095</v>
      </c>
      <c r="I31" s="22" t="s">
        <v>3095</v>
      </c>
      <c r="J31" s="22" t="s">
        <v>3095</v>
      </c>
      <c r="K31" s="63" t="s">
        <v>6051</v>
      </c>
      <c r="L31" s="23">
        <v>7.8</v>
      </c>
      <c r="M31" s="22" t="s">
        <v>3097</v>
      </c>
      <c r="N31" s="22" t="s">
        <v>3099</v>
      </c>
      <c r="O31" s="22" t="s">
        <v>45</v>
      </c>
      <c r="P31" s="22" t="s">
        <v>45</v>
      </c>
      <c r="Q31" s="22" t="s">
        <v>45</v>
      </c>
      <c r="R31" s="22" t="s">
        <v>45</v>
      </c>
      <c r="S31" s="22" t="s">
        <v>45</v>
      </c>
      <c r="T31" s="22" t="s">
        <v>2002</v>
      </c>
      <c r="U31" s="22" t="s">
        <v>45</v>
      </c>
      <c r="V31" s="22" t="s">
        <v>45</v>
      </c>
      <c r="W31" s="22" t="s">
        <v>6085</v>
      </c>
      <c r="X31" s="22" t="s">
        <v>3095</v>
      </c>
      <c r="Y31" s="22" t="s">
        <v>3095</v>
      </c>
      <c r="Z31" s="22" t="s">
        <v>3095</v>
      </c>
      <c r="AA31" s="22" t="s">
        <v>3095</v>
      </c>
      <c r="AB31" s="22" t="s">
        <v>3095</v>
      </c>
      <c r="AC31" s="22" t="s">
        <v>3095</v>
      </c>
      <c r="AD31" s="22" t="s">
        <v>3095</v>
      </c>
      <c r="AE31" s="22" t="s">
        <v>3095</v>
      </c>
      <c r="AF31" s="22" t="s">
        <v>3095</v>
      </c>
    </row>
    <row r="32" ht="45.0" customHeight="1">
      <c r="A32" s="55" t="s">
        <v>194</v>
      </c>
      <c r="B32" s="62" t="s">
        <v>3434</v>
      </c>
      <c r="C32" s="22" t="str">
        <f>IMAGE("https://raw.githubusercontent.com/ltdimages/images/refs/heads/main/ClothShoesBootsLongLeather_00.png")</f>
        <v/>
      </c>
      <c r="D32" s="22" t="str">
        <f>IMAGE("https://raw.githubusercontent.com/ltdimages/images/refs/heads/main/ClothShoesBootsLongLeather_01.png")</f>
        <v/>
      </c>
      <c r="E32" s="22" t="str">
        <f>IMAGE("https://raw.githubusercontent.com/ltdimages/images/refs/heads/main/ClothShoesBootsLongLeather_02.png")</f>
        <v/>
      </c>
      <c r="F32" s="22" t="str">
        <f>IMAGE("https://raw.githubusercontent.com/ltdimages/images/refs/heads/main/ClothShoesBootsLongLeather_03.png")</f>
        <v/>
      </c>
      <c r="G32" s="22" t="s">
        <v>3095</v>
      </c>
      <c r="H32" s="22" t="s">
        <v>3095</v>
      </c>
      <c r="I32" s="22" t="s">
        <v>3095</v>
      </c>
      <c r="J32" s="22" t="s">
        <v>3095</v>
      </c>
      <c r="K32" s="63" t="s">
        <v>6051</v>
      </c>
      <c r="L32" s="23">
        <v>8.5</v>
      </c>
      <c r="M32" s="22" t="s">
        <v>3097</v>
      </c>
      <c r="N32" s="22" t="s">
        <v>3099</v>
      </c>
      <c r="O32" s="22" t="s">
        <v>45</v>
      </c>
      <c r="P32" s="22" t="s">
        <v>45</v>
      </c>
      <c r="Q32" s="22" t="s">
        <v>45</v>
      </c>
      <c r="R32" s="22" t="s">
        <v>45</v>
      </c>
      <c r="S32" s="22" t="s">
        <v>45</v>
      </c>
      <c r="T32" s="22" t="s">
        <v>2002</v>
      </c>
      <c r="U32" s="22" t="s">
        <v>45</v>
      </c>
      <c r="V32" s="22" t="s">
        <v>45</v>
      </c>
      <c r="W32" s="22" t="s">
        <v>6086</v>
      </c>
      <c r="X32" s="22" t="s">
        <v>3095</v>
      </c>
      <c r="Y32" s="22" t="s">
        <v>3095</v>
      </c>
      <c r="Z32" s="22" t="s">
        <v>3095</v>
      </c>
      <c r="AA32" s="22" t="s">
        <v>3095</v>
      </c>
      <c r="AB32" s="22" t="s">
        <v>3095</v>
      </c>
      <c r="AC32" s="22" t="s">
        <v>3095</v>
      </c>
      <c r="AD32" s="22" t="s">
        <v>3095</v>
      </c>
      <c r="AE32" s="22" t="s">
        <v>3095</v>
      </c>
      <c r="AF32" s="22" t="s">
        <v>3095</v>
      </c>
    </row>
    <row r="33" ht="45.0" customHeight="1">
      <c r="A33" s="55" t="s">
        <v>198</v>
      </c>
      <c r="B33" s="62" t="s">
        <v>3157</v>
      </c>
      <c r="C33" s="22" t="str">
        <f>IMAGE("https://raw.githubusercontent.com/ltdimages/images/refs/heads/main/ClothShoesLoaferLoafer_00.png")</f>
        <v/>
      </c>
      <c r="D33" s="22" t="str">
        <f>IMAGE("https://raw.githubusercontent.com/ltdimages/images/refs/heads/main/ClothShoesLoaferLoafer_01.png")</f>
        <v/>
      </c>
      <c r="E33" s="22" t="str">
        <f>IMAGE("https://raw.githubusercontent.com/ltdimages/images/refs/heads/main/ClothShoesLoaferLoafer_02.png")</f>
        <v/>
      </c>
      <c r="F33" s="22" t="str">
        <f>IMAGE("https://raw.githubusercontent.com/ltdimages/images/refs/heads/main/ClothShoesLoaferLoafer_03.png")</f>
        <v/>
      </c>
      <c r="G33" s="22" t="str">
        <f>IMAGE("https://raw.githubusercontent.com/ltdimages/images/refs/heads/main/ClothShoesLoaferLoafer_04.png")</f>
        <v/>
      </c>
      <c r="H33" s="22" t="str">
        <f>IMAGE("https://raw.githubusercontent.com/ltdimages/images/refs/heads/main/ClothShoesLoaferLoafer_05.png")</f>
        <v/>
      </c>
      <c r="I33" s="22" t="str">
        <f>IMAGE("https://raw.githubusercontent.com/ltdimages/images/refs/heads/main/ClothShoesLoaferLoafer_06.png")</f>
        <v/>
      </c>
      <c r="J33" s="22" t="str">
        <f>IMAGE("https://raw.githubusercontent.com/ltdimages/images/refs/heads/main/ClothShoesLoaferLoafer_07.png")</f>
        <v/>
      </c>
      <c r="K33" s="63" t="s">
        <v>6051</v>
      </c>
      <c r="L33" s="23">
        <v>7.9</v>
      </c>
      <c r="M33" s="22" t="s">
        <v>3097</v>
      </c>
      <c r="N33" s="22" t="s">
        <v>3099</v>
      </c>
      <c r="O33" s="22" t="s">
        <v>45</v>
      </c>
      <c r="P33" s="22" t="s">
        <v>45</v>
      </c>
      <c r="Q33" s="22" t="s">
        <v>45</v>
      </c>
      <c r="R33" s="22" t="s">
        <v>45</v>
      </c>
      <c r="S33" s="22" t="s">
        <v>45</v>
      </c>
      <c r="T33" s="22" t="s">
        <v>2002</v>
      </c>
      <c r="U33" s="22" t="s">
        <v>45</v>
      </c>
      <c r="V33" s="22" t="s">
        <v>45</v>
      </c>
      <c r="W33" s="22" t="s">
        <v>6087</v>
      </c>
      <c r="X33" s="22" t="s">
        <v>3095</v>
      </c>
      <c r="Y33" s="22" t="s">
        <v>3095</v>
      </c>
      <c r="Z33" s="22" t="s">
        <v>3095</v>
      </c>
      <c r="AA33" s="22" t="s">
        <v>3095</v>
      </c>
      <c r="AB33" s="22" t="s">
        <v>3095</v>
      </c>
      <c r="AC33" s="22" t="s">
        <v>3095</v>
      </c>
      <c r="AD33" s="22" t="s">
        <v>3095</v>
      </c>
      <c r="AE33" s="22" t="s">
        <v>3095</v>
      </c>
      <c r="AF33" s="22" t="s">
        <v>3095</v>
      </c>
    </row>
    <row r="34" ht="45.0" customHeight="1">
      <c r="A34" s="55" t="s">
        <v>202</v>
      </c>
      <c r="B34" s="62" t="s">
        <v>3346</v>
      </c>
      <c r="C34" s="22" t="str">
        <f>IMAGE("https://raw.githubusercontent.com/ltdimages/images/refs/heads/main/ClothShoesSneakerMetalic_00.png")</f>
        <v/>
      </c>
      <c r="D34" s="22" t="str">
        <f>IMAGE("https://raw.githubusercontent.com/ltdimages/images/refs/heads/main/ClothShoesSneakerMetalic_01.png")</f>
        <v/>
      </c>
      <c r="E34" s="22" t="str">
        <f>IMAGE("https://raw.githubusercontent.com/ltdimages/images/refs/heads/main/ClothShoesSneakerMetalic_02.png")</f>
        <v/>
      </c>
      <c r="F34" s="22" t="str">
        <f>IMAGE("https://raw.githubusercontent.com/ltdimages/images/refs/heads/main/ClothShoesSneakerMetalic_03.png")</f>
        <v/>
      </c>
      <c r="G34" s="22" t="str">
        <f>IMAGE("https://raw.githubusercontent.com/ltdimages/images/refs/heads/main/ClothShoesSneakerMetalic_04.png")</f>
        <v/>
      </c>
      <c r="H34" s="22" t="str">
        <f>IMAGE("https://raw.githubusercontent.com/ltdimages/images/refs/heads/main/ClothShoesSneakerMetalic_05.png")</f>
        <v/>
      </c>
      <c r="I34" s="22" t="s">
        <v>3095</v>
      </c>
      <c r="J34" s="22" t="s">
        <v>3095</v>
      </c>
      <c r="K34" s="63" t="s">
        <v>6051</v>
      </c>
      <c r="L34" s="23">
        <v>8.9</v>
      </c>
      <c r="M34" s="22" t="s">
        <v>3097</v>
      </c>
      <c r="N34" s="22" t="s">
        <v>3099</v>
      </c>
      <c r="O34" s="22" t="s">
        <v>45</v>
      </c>
      <c r="P34" s="22" t="s">
        <v>45</v>
      </c>
      <c r="Q34" s="22" t="s">
        <v>45</v>
      </c>
      <c r="R34" s="22" t="s">
        <v>45</v>
      </c>
      <c r="S34" s="22" t="s">
        <v>45</v>
      </c>
      <c r="T34" s="22" t="s">
        <v>2002</v>
      </c>
      <c r="U34" s="22" t="s">
        <v>45</v>
      </c>
      <c r="V34" s="22" t="s">
        <v>45</v>
      </c>
      <c r="W34" s="22" t="s">
        <v>6088</v>
      </c>
      <c r="X34" s="22" t="s">
        <v>3095</v>
      </c>
      <c r="Y34" s="22" t="s">
        <v>3095</v>
      </c>
      <c r="Z34" s="22" t="s">
        <v>3095</v>
      </c>
      <c r="AA34" s="22" t="s">
        <v>3095</v>
      </c>
      <c r="AB34" s="22" t="s">
        <v>3095</v>
      </c>
      <c r="AC34" s="22" t="s">
        <v>3095</v>
      </c>
      <c r="AD34" s="22" t="s">
        <v>3095</v>
      </c>
      <c r="AE34" s="22" t="s">
        <v>3095</v>
      </c>
      <c r="AF34" s="22" t="s">
        <v>3095</v>
      </c>
    </row>
    <row r="35" ht="45.0" customHeight="1">
      <c r="A35" s="55" t="s">
        <v>207</v>
      </c>
      <c r="B35" s="62" t="s">
        <v>6089</v>
      </c>
      <c r="C35" s="22" t="str">
        <f>IMAGE("https://raw.githubusercontent.com/ltdimages/images/refs/heads/main/ClothShoesSneakerMoccasin_00.png")</f>
        <v/>
      </c>
      <c r="D35" s="22" t="str">
        <f>IMAGE("https://raw.githubusercontent.com/ltdimages/images/refs/heads/main/ClothShoesSneakerMoccasin_01.png")</f>
        <v/>
      </c>
      <c r="E35" s="22" t="str">
        <f>IMAGE("https://raw.githubusercontent.com/ltdimages/images/refs/heads/main/ClothShoesSneakerMoccasin_02.png")</f>
        <v/>
      </c>
      <c r="F35" s="22" t="str">
        <f>IMAGE("https://raw.githubusercontent.com/ltdimages/images/refs/heads/main/ClothShoesSneakerMoccasin_03.png")</f>
        <v/>
      </c>
      <c r="G35" s="22" t="str">
        <f>IMAGE("https://raw.githubusercontent.com/ltdimages/images/refs/heads/main/ClothShoesSneakerMoccasin_04.png")</f>
        <v/>
      </c>
      <c r="H35" s="22" t="str">
        <f>IMAGE("https://raw.githubusercontent.com/ltdimages/images/refs/heads/main/ClothShoesSneakerMoccasin_05.png")</f>
        <v/>
      </c>
      <c r="I35" s="22" t="s">
        <v>3095</v>
      </c>
      <c r="J35" s="22" t="s">
        <v>3095</v>
      </c>
      <c r="K35" s="63" t="s">
        <v>6051</v>
      </c>
      <c r="L35" s="23">
        <v>7.6</v>
      </c>
      <c r="M35" s="22" t="s">
        <v>3097</v>
      </c>
      <c r="N35" s="22" t="s">
        <v>3099</v>
      </c>
      <c r="O35" s="22" t="s">
        <v>45</v>
      </c>
      <c r="P35" s="22" t="s">
        <v>45</v>
      </c>
      <c r="Q35" s="22" t="s">
        <v>45</v>
      </c>
      <c r="R35" s="22" t="s">
        <v>45</v>
      </c>
      <c r="S35" s="22" t="s">
        <v>45</v>
      </c>
      <c r="T35" s="22" t="s">
        <v>2002</v>
      </c>
      <c r="U35" s="22" t="s">
        <v>45</v>
      </c>
      <c r="V35" s="22" t="s">
        <v>45</v>
      </c>
      <c r="W35" s="22" t="s">
        <v>6090</v>
      </c>
      <c r="X35" s="22" t="s">
        <v>3095</v>
      </c>
      <c r="Y35" s="22" t="s">
        <v>3095</v>
      </c>
      <c r="Z35" s="22" t="s">
        <v>3095</v>
      </c>
      <c r="AA35" s="22" t="s">
        <v>3095</v>
      </c>
      <c r="AB35" s="22" t="s">
        <v>3095</v>
      </c>
      <c r="AC35" s="22" t="s">
        <v>3095</v>
      </c>
      <c r="AD35" s="22" t="s">
        <v>3095</v>
      </c>
      <c r="AE35" s="22" t="s">
        <v>3095</v>
      </c>
      <c r="AF35" s="22" t="s">
        <v>3095</v>
      </c>
    </row>
    <row r="36" ht="45.0" customHeight="1">
      <c r="A36" s="55" t="s">
        <v>211</v>
      </c>
      <c r="B36" s="62" t="s">
        <v>3178</v>
      </c>
      <c r="C36" s="22" t="str">
        <f>IMAGE("https://raw.githubusercontent.com/ltdimages/images/refs/heads/main/ClothShoesBootsShortNubuck_00.png")</f>
        <v/>
      </c>
      <c r="D36" s="22" t="str">
        <f>IMAGE("https://raw.githubusercontent.com/ltdimages/images/refs/heads/main/ClothShoesBootsShortNubuck_01.png")</f>
        <v/>
      </c>
      <c r="E36" s="22" t="str">
        <f>IMAGE("https://raw.githubusercontent.com/ltdimages/images/refs/heads/main/ClothShoesBootsShortNubuck_02.png")</f>
        <v/>
      </c>
      <c r="F36" s="22" t="str">
        <f>IMAGE("https://raw.githubusercontent.com/ltdimages/images/refs/heads/main/ClothShoesBootsShortNubuck_03.png")</f>
        <v/>
      </c>
      <c r="G36" s="22" t="str">
        <f>IMAGE("https://raw.githubusercontent.com/ltdimages/images/refs/heads/main/ClothShoesBootsShortNubuck_04.png")</f>
        <v/>
      </c>
      <c r="H36" s="22" t="str">
        <f>IMAGE("https://raw.githubusercontent.com/ltdimages/images/refs/heads/main/ClothShoesBootsShortNubuck_05.png")</f>
        <v/>
      </c>
      <c r="I36" s="22" t="s">
        <v>3095</v>
      </c>
      <c r="J36" s="22" t="s">
        <v>3095</v>
      </c>
      <c r="K36" s="63" t="s">
        <v>6051</v>
      </c>
      <c r="L36" s="23">
        <v>8.1</v>
      </c>
      <c r="M36" s="22" t="s">
        <v>3097</v>
      </c>
      <c r="N36" s="22" t="s">
        <v>3099</v>
      </c>
      <c r="O36" s="22" t="s">
        <v>45</v>
      </c>
      <c r="P36" s="22" t="s">
        <v>45</v>
      </c>
      <c r="Q36" s="22" t="s">
        <v>45</v>
      </c>
      <c r="R36" s="22" t="s">
        <v>45</v>
      </c>
      <c r="S36" s="22" t="s">
        <v>45</v>
      </c>
      <c r="T36" s="22" t="s">
        <v>2002</v>
      </c>
      <c r="U36" s="22" t="s">
        <v>45</v>
      </c>
      <c r="V36" s="22" t="s">
        <v>45</v>
      </c>
      <c r="W36" s="22" t="s">
        <v>6091</v>
      </c>
      <c r="X36" s="22" t="s">
        <v>3095</v>
      </c>
      <c r="Y36" s="22" t="s">
        <v>3095</v>
      </c>
      <c r="Z36" s="22" t="s">
        <v>3095</v>
      </c>
      <c r="AA36" s="22" t="s">
        <v>3095</v>
      </c>
      <c r="AB36" s="22" t="s">
        <v>3095</v>
      </c>
      <c r="AC36" s="22" t="s">
        <v>3095</v>
      </c>
      <c r="AD36" s="22" t="s">
        <v>3095</v>
      </c>
      <c r="AE36" s="22" t="s">
        <v>3095</v>
      </c>
      <c r="AF36" s="22" t="s">
        <v>3095</v>
      </c>
    </row>
    <row r="37" ht="45.0" customHeight="1">
      <c r="A37" s="55" t="s">
        <v>215</v>
      </c>
      <c r="B37" s="62" t="s">
        <v>6092</v>
      </c>
      <c r="C37" s="22" t="str">
        <f>IMAGE("https://raw.githubusercontent.com/ltdimages/images/refs/heads/main/ClothShoesSandalOutdoor_00.png")</f>
        <v/>
      </c>
      <c r="D37" s="22" t="str">
        <f>IMAGE("https://raw.githubusercontent.com/ltdimages/images/refs/heads/main/ClothShoesSandalOutdoor_01.png")</f>
        <v/>
      </c>
      <c r="E37" s="22" t="str">
        <f>IMAGE("https://raw.githubusercontent.com/ltdimages/images/refs/heads/main/ClothShoesSandalOutdoor_02.png")</f>
        <v/>
      </c>
      <c r="F37" s="22" t="str">
        <f>IMAGE("https://raw.githubusercontent.com/ltdimages/images/refs/heads/main/ClothShoesSandalOutdoor_03.png")</f>
        <v/>
      </c>
      <c r="G37" s="22" t="str">
        <f>IMAGE("https://raw.githubusercontent.com/ltdimages/images/refs/heads/main/ClothShoesSandalOutdoor_04.png")</f>
        <v/>
      </c>
      <c r="H37" s="22" t="str">
        <f>IMAGE("https://raw.githubusercontent.com/ltdimages/images/refs/heads/main/ClothShoesSandalOutdoor_05.png")</f>
        <v/>
      </c>
      <c r="I37" s="22" t="str">
        <f>IMAGE("https://raw.githubusercontent.com/ltdimages/images/refs/heads/main/ClothShoesSandalOutdoor_06.png")</f>
        <v/>
      </c>
      <c r="J37" s="22" t="str">
        <f>IMAGE("https://raw.githubusercontent.com/ltdimages/images/refs/heads/main/ClothShoesSandalOutdoor_07.png")</f>
        <v/>
      </c>
      <c r="K37" s="63" t="s">
        <v>6051</v>
      </c>
      <c r="L37" s="23">
        <v>5.5</v>
      </c>
      <c r="M37" s="22" t="s">
        <v>3097</v>
      </c>
      <c r="N37" s="22" t="s">
        <v>3123</v>
      </c>
      <c r="O37" s="22" t="s">
        <v>45</v>
      </c>
      <c r="P37" s="22" t="s">
        <v>45</v>
      </c>
      <c r="Q37" s="22" t="s">
        <v>45</v>
      </c>
      <c r="R37" s="22" t="s">
        <v>45</v>
      </c>
      <c r="S37" s="22" t="s">
        <v>45</v>
      </c>
      <c r="T37" s="22" t="s">
        <v>2002</v>
      </c>
      <c r="U37" s="22" t="s">
        <v>45</v>
      </c>
      <c r="V37" s="22" t="s">
        <v>45</v>
      </c>
      <c r="W37" s="22" t="s">
        <v>6093</v>
      </c>
      <c r="X37" s="22" t="s">
        <v>3095</v>
      </c>
      <c r="Y37" s="22" t="s">
        <v>3095</v>
      </c>
      <c r="Z37" s="22" t="s">
        <v>3095</v>
      </c>
      <c r="AA37" s="22" t="s">
        <v>3095</v>
      </c>
      <c r="AB37" s="22" t="s">
        <v>3095</v>
      </c>
      <c r="AC37" s="22" t="s">
        <v>3095</v>
      </c>
      <c r="AD37" s="22" t="s">
        <v>3095</v>
      </c>
      <c r="AE37" s="22" t="s">
        <v>3095</v>
      </c>
      <c r="AF37" s="22" t="s">
        <v>3095</v>
      </c>
    </row>
    <row r="38" ht="45.0" customHeight="1">
      <c r="A38" s="55" t="s">
        <v>220</v>
      </c>
      <c r="B38" s="62" t="s">
        <v>3372</v>
      </c>
      <c r="C38" s="22" t="str">
        <f>IMAGE("https://raw.githubusercontent.com/ltdimages/images/refs/heads/main/ClothShoesBootsLongPunk_00.png")</f>
        <v/>
      </c>
      <c r="D38" s="22" t="str">
        <f>IMAGE("https://raw.githubusercontent.com/ltdimages/images/refs/heads/main/ClothShoesBootsLongPunk_01.png")</f>
        <v/>
      </c>
      <c r="E38" s="22" t="str">
        <f>IMAGE("https://raw.githubusercontent.com/ltdimages/images/refs/heads/main/ClothShoesBootsLongPunk_02.png")</f>
        <v/>
      </c>
      <c r="F38" s="22" t="str">
        <f>IMAGE("https://raw.githubusercontent.com/ltdimages/images/refs/heads/main/ClothShoesBootsLongPunk_03.png")</f>
        <v/>
      </c>
      <c r="G38" s="22" t="str">
        <f>IMAGE("https://raw.githubusercontent.com/ltdimages/images/refs/heads/main/ClothShoesBootsLongPunk_04.png")</f>
        <v/>
      </c>
      <c r="H38" s="22" t="str">
        <f>IMAGE("https://raw.githubusercontent.com/ltdimages/images/refs/heads/main/ClothShoesBootsLongPunk_05.png")</f>
        <v/>
      </c>
      <c r="I38" s="22" t="s">
        <v>3095</v>
      </c>
      <c r="J38" s="22" t="s">
        <v>3095</v>
      </c>
      <c r="K38" s="63" t="s">
        <v>6051</v>
      </c>
      <c r="L38" s="23">
        <v>9.0</v>
      </c>
      <c r="M38" s="22" t="s">
        <v>3097</v>
      </c>
      <c r="N38" s="22" t="s">
        <v>3099</v>
      </c>
      <c r="O38" s="22" t="s">
        <v>45</v>
      </c>
      <c r="P38" s="22" t="s">
        <v>45</v>
      </c>
      <c r="Q38" s="22" t="s">
        <v>45</v>
      </c>
      <c r="R38" s="22" t="s">
        <v>45</v>
      </c>
      <c r="S38" s="22" t="s">
        <v>45</v>
      </c>
      <c r="T38" s="22" t="s">
        <v>2002</v>
      </c>
      <c r="U38" s="22" t="s">
        <v>45</v>
      </c>
      <c r="V38" s="22" t="s">
        <v>45</v>
      </c>
      <c r="W38" s="22" t="s">
        <v>6094</v>
      </c>
      <c r="X38" s="22" t="s">
        <v>3095</v>
      </c>
      <c r="Y38" s="22" t="s">
        <v>3095</v>
      </c>
      <c r="Z38" s="22" t="s">
        <v>3095</v>
      </c>
      <c r="AA38" s="22" t="s">
        <v>3095</v>
      </c>
      <c r="AB38" s="22" t="s">
        <v>3095</v>
      </c>
      <c r="AC38" s="22" t="s">
        <v>3095</v>
      </c>
      <c r="AD38" s="22" t="s">
        <v>3095</v>
      </c>
      <c r="AE38" s="22" t="s">
        <v>3095</v>
      </c>
      <c r="AF38" s="22" t="s">
        <v>3095</v>
      </c>
    </row>
    <row r="39" ht="45.0" customHeight="1">
      <c r="A39" s="55" t="s">
        <v>224</v>
      </c>
      <c r="B39" s="62" t="s">
        <v>3389</v>
      </c>
      <c r="C39" s="22" t="str">
        <f>IMAGE("https://raw.githubusercontent.com/ltdimages/images/refs/heads/main/ClothShoesBootsLongRain_00.png")</f>
        <v/>
      </c>
      <c r="D39" s="22" t="str">
        <f>IMAGE("https://raw.githubusercontent.com/ltdimages/images/refs/heads/main/ClothShoesBootsLongRain_01.png")</f>
        <v/>
      </c>
      <c r="E39" s="22" t="str">
        <f>IMAGE("https://raw.githubusercontent.com/ltdimages/images/refs/heads/main/ClothShoesBootsLongRain_02.png")</f>
        <v/>
      </c>
      <c r="F39" s="22" t="str">
        <f>IMAGE("https://raw.githubusercontent.com/ltdimages/images/refs/heads/main/ClothShoesBootsLongRain_03.png")</f>
        <v/>
      </c>
      <c r="G39" s="22" t="str">
        <f>IMAGE("https://raw.githubusercontent.com/ltdimages/images/refs/heads/main/ClothShoesBootsLongRain_04.png")</f>
        <v/>
      </c>
      <c r="H39" s="22" t="str">
        <f>IMAGE("https://raw.githubusercontent.com/ltdimages/images/refs/heads/main/ClothShoesBootsLongRain_05.png")</f>
        <v/>
      </c>
      <c r="I39" s="22" t="s">
        <v>3095</v>
      </c>
      <c r="J39" s="22" t="s">
        <v>3095</v>
      </c>
      <c r="K39" s="63" t="s">
        <v>6051</v>
      </c>
      <c r="L39" s="23">
        <v>6.7</v>
      </c>
      <c r="M39" s="22" t="s">
        <v>3097</v>
      </c>
      <c r="N39" s="22" t="s">
        <v>3099</v>
      </c>
      <c r="O39" s="22" t="s">
        <v>45</v>
      </c>
      <c r="P39" s="22" t="s">
        <v>45</v>
      </c>
      <c r="Q39" s="22" t="s">
        <v>45</v>
      </c>
      <c r="R39" s="22" t="s">
        <v>45</v>
      </c>
      <c r="S39" s="22" t="s">
        <v>45</v>
      </c>
      <c r="T39" s="22" t="s">
        <v>2002</v>
      </c>
      <c r="U39" s="22" t="s">
        <v>45</v>
      </c>
      <c r="V39" s="22" t="s">
        <v>45</v>
      </c>
      <c r="W39" s="22" t="s">
        <v>6095</v>
      </c>
      <c r="X39" s="22" t="s">
        <v>3095</v>
      </c>
      <c r="Y39" s="22" t="s">
        <v>3095</v>
      </c>
      <c r="Z39" s="22" t="s">
        <v>3095</v>
      </c>
      <c r="AA39" s="22" t="s">
        <v>3095</v>
      </c>
      <c r="AB39" s="22" t="s">
        <v>3095</v>
      </c>
      <c r="AC39" s="22" t="s">
        <v>3095</v>
      </c>
      <c r="AD39" s="22" t="s">
        <v>3095</v>
      </c>
      <c r="AE39" s="22" t="s">
        <v>3095</v>
      </c>
      <c r="AF39" s="22" t="s">
        <v>3095</v>
      </c>
    </row>
    <row r="40" ht="45.0" customHeight="1">
      <c r="A40" s="55" t="s">
        <v>229</v>
      </c>
      <c r="B40" s="62" t="s">
        <v>6096</v>
      </c>
      <c r="C40" s="22" t="str">
        <f>IMAGE("https://raw.githubusercontent.com/ltdimages/images/refs/heads/main/ClothShoesSandalRound_00.png")</f>
        <v/>
      </c>
      <c r="D40" s="22" t="str">
        <f>IMAGE("https://raw.githubusercontent.com/ltdimages/images/refs/heads/main/ClothShoesSandalRound_01.png")</f>
        <v/>
      </c>
      <c r="E40" s="22" t="str">
        <f>IMAGE("https://raw.githubusercontent.com/ltdimages/images/refs/heads/main/ClothShoesSandalRound_02.png")</f>
        <v/>
      </c>
      <c r="F40" s="22" t="str">
        <f>IMAGE("https://raw.githubusercontent.com/ltdimages/images/refs/heads/main/ClothShoesSandalRound_03.png")</f>
        <v/>
      </c>
      <c r="G40" s="22" t="str">
        <f>IMAGE("https://raw.githubusercontent.com/ltdimages/images/refs/heads/main/ClothShoesSandalRound_04.png")</f>
        <v/>
      </c>
      <c r="H40" s="22" t="str">
        <f>IMAGE("https://raw.githubusercontent.com/ltdimages/images/refs/heads/main/ClothShoesSandalRound_05.png")</f>
        <v/>
      </c>
      <c r="I40" s="22" t="str">
        <f>IMAGE("https://raw.githubusercontent.com/ltdimages/images/refs/heads/main/ClothShoesSandalRound_06.png")</f>
        <v/>
      </c>
      <c r="J40" s="22" t="str">
        <f>IMAGE("https://raw.githubusercontent.com/ltdimages/images/refs/heads/main/ClothShoesSandalRound_07.png")</f>
        <v/>
      </c>
      <c r="K40" s="63" t="s">
        <v>6051</v>
      </c>
      <c r="L40" s="23">
        <v>6.5</v>
      </c>
      <c r="M40" s="22" t="s">
        <v>3097</v>
      </c>
      <c r="N40" s="22" t="s">
        <v>3099</v>
      </c>
      <c r="O40" s="22" t="s">
        <v>45</v>
      </c>
      <c r="P40" s="22" t="s">
        <v>45</v>
      </c>
      <c r="Q40" s="22" t="s">
        <v>45</v>
      </c>
      <c r="R40" s="22" t="s">
        <v>45</v>
      </c>
      <c r="S40" s="22" t="s">
        <v>45</v>
      </c>
      <c r="T40" s="22" t="s">
        <v>2002</v>
      </c>
      <c r="U40" s="22" t="s">
        <v>45</v>
      </c>
      <c r="V40" s="22" t="s">
        <v>45</v>
      </c>
      <c r="W40" s="22" t="s">
        <v>6097</v>
      </c>
      <c r="X40" s="22" t="s">
        <v>3095</v>
      </c>
      <c r="Y40" s="22" t="s">
        <v>3095</v>
      </c>
      <c r="Z40" s="22" t="s">
        <v>3095</v>
      </c>
      <c r="AA40" s="22" t="s">
        <v>3095</v>
      </c>
      <c r="AB40" s="22" t="s">
        <v>3095</v>
      </c>
      <c r="AC40" s="22" t="s">
        <v>3095</v>
      </c>
      <c r="AD40" s="22" t="s">
        <v>3095</v>
      </c>
      <c r="AE40" s="22" t="s">
        <v>3095</v>
      </c>
      <c r="AF40" s="22" t="s">
        <v>3095</v>
      </c>
    </row>
    <row r="41" ht="45.0" customHeight="1">
      <c r="A41" s="55" t="s">
        <v>233</v>
      </c>
      <c r="B41" s="62" t="s">
        <v>3211</v>
      </c>
      <c r="C41" s="22" t="str">
        <f>IMAGE("https://raw.githubusercontent.com/ltdimages/images/refs/heads/main/ClothShoesHighcutRubberToe_00.png")</f>
        <v/>
      </c>
      <c r="D41" s="22" t="str">
        <f>IMAGE("https://raw.githubusercontent.com/ltdimages/images/refs/heads/main/ClothShoesHighcutRubberToe_01.png")</f>
        <v/>
      </c>
      <c r="E41" s="22" t="str">
        <f>IMAGE("https://raw.githubusercontent.com/ltdimages/images/refs/heads/main/ClothShoesHighcutRubberToe_02.png")</f>
        <v/>
      </c>
      <c r="F41" s="22" t="str">
        <f>IMAGE("https://raw.githubusercontent.com/ltdimages/images/refs/heads/main/ClothShoesHighcutRubberToe_03.png")</f>
        <v/>
      </c>
      <c r="G41" s="22" t="str">
        <f>IMAGE("https://raw.githubusercontent.com/ltdimages/images/refs/heads/main/ClothShoesHighcutRubberToe_04.png")</f>
        <v/>
      </c>
      <c r="H41" s="22" t="str">
        <f>IMAGE("https://raw.githubusercontent.com/ltdimages/images/refs/heads/main/ClothShoesHighcutRubberToe_05.png")</f>
        <v/>
      </c>
      <c r="I41" s="22" t="str">
        <f>IMAGE("https://raw.githubusercontent.com/ltdimages/images/refs/heads/main/ClothShoesHighcutRubberToe_06.png")</f>
        <v/>
      </c>
      <c r="J41" s="22" t="str">
        <f>IMAGE("https://raw.githubusercontent.com/ltdimages/images/refs/heads/main/ClothShoesHighcutRubberToe_07.png")</f>
        <v/>
      </c>
      <c r="K41" s="63" t="s">
        <v>6051</v>
      </c>
      <c r="L41" s="23">
        <v>7.8</v>
      </c>
      <c r="M41" s="22" t="s">
        <v>3097</v>
      </c>
      <c r="N41" s="22" t="s">
        <v>3099</v>
      </c>
      <c r="O41" s="22" t="s">
        <v>45</v>
      </c>
      <c r="P41" s="22" t="s">
        <v>45</v>
      </c>
      <c r="Q41" s="22" t="s">
        <v>45</v>
      </c>
      <c r="R41" s="22" t="s">
        <v>45</v>
      </c>
      <c r="S41" s="22" t="s">
        <v>45</v>
      </c>
      <c r="T41" s="22" t="s">
        <v>2002</v>
      </c>
      <c r="U41" s="22" t="s">
        <v>45</v>
      </c>
      <c r="V41" s="22" t="s">
        <v>45</v>
      </c>
      <c r="W41" s="22" t="s">
        <v>6098</v>
      </c>
      <c r="X41" s="22" t="s">
        <v>3095</v>
      </c>
      <c r="Y41" s="22" t="s">
        <v>3095</v>
      </c>
      <c r="Z41" s="22" t="s">
        <v>3095</v>
      </c>
      <c r="AA41" s="22" t="s">
        <v>3095</v>
      </c>
      <c r="AB41" s="22" t="s">
        <v>3095</v>
      </c>
      <c r="AC41" s="22" t="s">
        <v>3095</v>
      </c>
      <c r="AD41" s="22" t="s">
        <v>3095</v>
      </c>
      <c r="AE41" s="22" t="s">
        <v>3095</v>
      </c>
      <c r="AF41" s="22" t="s">
        <v>3095</v>
      </c>
    </row>
    <row r="42" ht="45.0" customHeight="1">
      <c r="A42" s="55" t="s">
        <v>237</v>
      </c>
      <c r="B42" s="62" t="s">
        <v>3341</v>
      </c>
      <c r="C42" s="22" t="str">
        <f>IMAGE("https://raw.githubusercontent.com/ltdimages/images/refs/heads/main/ClothShoesSneakerRubberToe_00.png")</f>
        <v/>
      </c>
      <c r="D42" s="22" t="str">
        <f>IMAGE("https://raw.githubusercontent.com/ltdimages/images/refs/heads/main/ClothShoesSneakerRubberToe_01.png")</f>
        <v/>
      </c>
      <c r="E42" s="22" t="str">
        <f>IMAGE("https://raw.githubusercontent.com/ltdimages/images/refs/heads/main/ClothShoesSneakerRubberToe_02.png")</f>
        <v/>
      </c>
      <c r="F42" s="22" t="str">
        <f>IMAGE("https://raw.githubusercontent.com/ltdimages/images/refs/heads/main/ClothShoesSneakerRubberToe_03.png")</f>
        <v/>
      </c>
      <c r="G42" s="22" t="str">
        <f>IMAGE("https://raw.githubusercontent.com/ltdimages/images/refs/heads/main/ClothShoesSneakerRubberToe_04.png")</f>
        <v/>
      </c>
      <c r="H42" s="22" t="str">
        <f>IMAGE("https://raw.githubusercontent.com/ltdimages/images/refs/heads/main/ClothShoesSneakerRubberToe_05.png")</f>
        <v/>
      </c>
      <c r="I42" s="22" t="str">
        <f>IMAGE("https://raw.githubusercontent.com/ltdimages/images/refs/heads/main/ClothShoesSneakerRubberToe_06.png")</f>
        <v/>
      </c>
      <c r="J42" s="22" t="str">
        <f>IMAGE("https://raw.githubusercontent.com/ltdimages/images/refs/heads/main/ClothShoesSneakerRubberToe_07.png")</f>
        <v/>
      </c>
      <c r="K42" s="63" t="s">
        <v>6051</v>
      </c>
      <c r="L42" s="23">
        <v>7.1</v>
      </c>
      <c r="M42" s="22" t="s">
        <v>3097</v>
      </c>
      <c r="N42" s="22" t="s">
        <v>3099</v>
      </c>
      <c r="O42" s="22" t="s">
        <v>45</v>
      </c>
      <c r="P42" s="22" t="s">
        <v>45</v>
      </c>
      <c r="Q42" s="22" t="s">
        <v>45</v>
      </c>
      <c r="R42" s="22" t="s">
        <v>45</v>
      </c>
      <c r="S42" s="22" t="s">
        <v>45</v>
      </c>
      <c r="T42" s="22" t="s">
        <v>2002</v>
      </c>
      <c r="U42" s="22" t="s">
        <v>45</v>
      </c>
      <c r="V42" s="22" t="s">
        <v>45</v>
      </c>
      <c r="W42" s="22" t="s">
        <v>6099</v>
      </c>
      <c r="X42" s="22" t="s">
        <v>3095</v>
      </c>
      <c r="Y42" s="22" t="s">
        <v>3095</v>
      </c>
      <c r="Z42" s="22" t="s">
        <v>3095</v>
      </c>
      <c r="AA42" s="22" t="s">
        <v>3095</v>
      </c>
      <c r="AB42" s="22" t="s">
        <v>3095</v>
      </c>
      <c r="AC42" s="22" t="s">
        <v>3095</v>
      </c>
      <c r="AD42" s="22" t="s">
        <v>3095</v>
      </c>
      <c r="AE42" s="22" t="s">
        <v>3095</v>
      </c>
      <c r="AF42" s="22" t="s">
        <v>3095</v>
      </c>
    </row>
    <row r="43" ht="45.0" customHeight="1">
      <c r="A43" s="55" t="s">
        <v>241</v>
      </c>
      <c r="B43" s="62" t="s">
        <v>3951</v>
      </c>
      <c r="C43" s="22" t="str">
        <f>IMAGE("https://raw.githubusercontent.com/ltdimages/images/refs/heads/main/ClothShoesSneakerRunning_00.png")</f>
        <v/>
      </c>
      <c r="D43" s="22" t="str">
        <f>IMAGE("https://raw.githubusercontent.com/ltdimages/images/refs/heads/main/ClothShoesSneakerRunning_01.png")</f>
        <v/>
      </c>
      <c r="E43" s="22" t="str">
        <f>IMAGE("https://raw.githubusercontent.com/ltdimages/images/refs/heads/main/ClothShoesSneakerRunning_02.png")</f>
        <v/>
      </c>
      <c r="F43" s="22" t="str">
        <f>IMAGE("https://raw.githubusercontent.com/ltdimages/images/refs/heads/main/ClothShoesSneakerRunning_03.png")</f>
        <v/>
      </c>
      <c r="G43" s="22" t="str">
        <f>IMAGE("https://raw.githubusercontent.com/ltdimages/images/refs/heads/main/ClothShoesSneakerRunning_04.png")</f>
        <v/>
      </c>
      <c r="H43" s="22" t="str">
        <f>IMAGE("https://raw.githubusercontent.com/ltdimages/images/refs/heads/main/ClothShoesSneakerRunning_05.png")</f>
        <v/>
      </c>
      <c r="I43" s="22" t="str">
        <f>IMAGE("https://raw.githubusercontent.com/ltdimages/images/refs/heads/main/ClothShoesSneakerRunning_06.png")</f>
        <v/>
      </c>
      <c r="J43" s="22" t="str">
        <f>IMAGE("https://raw.githubusercontent.com/ltdimages/images/refs/heads/main/ClothShoesSneakerRunning_07.png")</f>
        <v/>
      </c>
      <c r="K43" s="63" t="s">
        <v>6051</v>
      </c>
      <c r="L43" s="23">
        <v>7.5</v>
      </c>
      <c r="M43" s="22" t="s">
        <v>3097</v>
      </c>
      <c r="N43" s="22" t="s">
        <v>3099</v>
      </c>
      <c r="O43" s="22" t="s">
        <v>45</v>
      </c>
      <c r="P43" s="22" t="s">
        <v>45</v>
      </c>
      <c r="Q43" s="22" t="s">
        <v>45</v>
      </c>
      <c r="R43" s="22" t="s">
        <v>45</v>
      </c>
      <c r="S43" s="22" t="s">
        <v>45</v>
      </c>
      <c r="T43" s="22" t="s">
        <v>2002</v>
      </c>
      <c r="U43" s="22" t="s">
        <v>45</v>
      </c>
      <c r="V43" s="22" t="s">
        <v>45</v>
      </c>
      <c r="W43" s="22" t="s">
        <v>6100</v>
      </c>
      <c r="X43" s="22" t="s">
        <v>3095</v>
      </c>
      <c r="Y43" s="22" t="s">
        <v>3095</v>
      </c>
      <c r="Z43" s="22" t="s">
        <v>3095</v>
      </c>
      <c r="AA43" s="22" t="s">
        <v>3095</v>
      </c>
      <c r="AB43" s="22" t="s">
        <v>3095</v>
      </c>
      <c r="AC43" s="22" t="s">
        <v>3095</v>
      </c>
      <c r="AD43" s="22" t="s">
        <v>3095</v>
      </c>
      <c r="AE43" s="22" t="s">
        <v>3095</v>
      </c>
      <c r="AF43" s="22" t="s">
        <v>3095</v>
      </c>
    </row>
    <row r="44" ht="45.0" customHeight="1">
      <c r="A44" s="55" t="s">
        <v>245</v>
      </c>
      <c r="B44" s="62" t="s">
        <v>6101</v>
      </c>
      <c r="C44" s="22" t="str">
        <f>IMAGE("https://raw.githubusercontent.com/ltdimages/images/refs/heads/main/ClothShoesSandalSabo_00.png")</f>
        <v/>
      </c>
      <c r="D44" s="22" t="str">
        <f>IMAGE("https://raw.githubusercontent.com/ltdimages/images/refs/heads/main/ClothShoesSandalSabo_01.png")</f>
        <v/>
      </c>
      <c r="E44" s="22" t="str">
        <f>IMAGE("https://raw.githubusercontent.com/ltdimages/images/refs/heads/main/ClothShoesSandalSabo_02.png")</f>
        <v/>
      </c>
      <c r="F44" s="22" t="str">
        <f>IMAGE("https://raw.githubusercontent.com/ltdimages/images/refs/heads/main/ClothShoesSandalSabo_03.png")</f>
        <v/>
      </c>
      <c r="G44" s="22" t="str">
        <f>IMAGE("https://raw.githubusercontent.com/ltdimages/images/refs/heads/main/ClothShoesSandalSabo_04.png")</f>
        <v/>
      </c>
      <c r="H44" s="22" t="str">
        <f>IMAGE("https://raw.githubusercontent.com/ltdimages/images/refs/heads/main/ClothShoesSandalSabo_05.png")</f>
        <v/>
      </c>
      <c r="I44" s="22" t="s">
        <v>3095</v>
      </c>
      <c r="J44" s="22" t="s">
        <v>3095</v>
      </c>
      <c r="K44" s="63" t="s">
        <v>6051</v>
      </c>
      <c r="L44" s="23">
        <v>5.9</v>
      </c>
      <c r="M44" s="22" t="s">
        <v>3097</v>
      </c>
      <c r="N44" s="22" t="s">
        <v>3099</v>
      </c>
      <c r="O44" s="22" t="s">
        <v>45</v>
      </c>
      <c r="P44" s="22" t="s">
        <v>45</v>
      </c>
      <c r="Q44" s="22" t="s">
        <v>45</v>
      </c>
      <c r="R44" s="22" t="s">
        <v>45</v>
      </c>
      <c r="S44" s="22" t="s">
        <v>45</v>
      </c>
      <c r="T44" s="22" t="s">
        <v>2002</v>
      </c>
      <c r="U44" s="22" t="s">
        <v>45</v>
      </c>
      <c r="V44" s="22" t="s">
        <v>45</v>
      </c>
      <c r="W44" s="22" t="s">
        <v>6102</v>
      </c>
      <c r="X44" s="22" t="s">
        <v>3095</v>
      </c>
      <c r="Y44" s="22" t="s">
        <v>3095</v>
      </c>
      <c r="Z44" s="22" t="s">
        <v>3095</v>
      </c>
      <c r="AA44" s="22" t="s">
        <v>3095</v>
      </c>
      <c r="AB44" s="22" t="s">
        <v>3095</v>
      </c>
      <c r="AC44" s="22" t="s">
        <v>3095</v>
      </c>
      <c r="AD44" s="22" t="s">
        <v>3095</v>
      </c>
      <c r="AE44" s="22" t="s">
        <v>3095</v>
      </c>
      <c r="AF44" s="22" t="s">
        <v>3095</v>
      </c>
    </row>
    <row r="45" ht="45.0" customHeight="1">
      <c r="A45" s="55" t="s">
        <v>249</v>
      </c>
      <c r="B45" s="62" t="s">
        <v>3937</v>
      </c>
      <c r="C45" s="22" t="str">
        <f>IMAGE("https://raw.githubusercontent.com/ltdimages/images/refs/heads/main/ClothShoesBootsLongSamuraiProtection_00.png")</f>
        <v/>
      </c>
      <c r="D45" s="22" t="str">
        <f>IMAGE("https://raw.githubusercontent.com/ltdimages/images/refs/heads/main/ClothShoesBootsLongSamuraiProtection_01.png")</f>
        <v/>
      </c>
      <c r="E45" s="22" t="str">
        <f>IMAGE("https://raw.githubusercontent.com/ltdimages/images/refs/heads/main/ClothShoesBootsLongSamuraiProtection_02.png")</f>
        <v/>
      </c>
      <c r="F45" s="22" t="str">
        <f>IMAGE("https://raw.githubusercontent.com/ltdimages/images/refs/heads/main/ClothShoesBootsLongSamuraiProtection_03.png")</f>
        <v/>
      </c>
      <c r="G45" s="22" t="str">
        <f>IMAGE("https://raw.githubusercontent.com/ltdimages/images/refs/heads/main/ClothShoesBootsLongSamuraiProtection_04.png")</f>
        <v/>
      </c>
      <c r="H45" s="22" t="str">
        <f>IMAGE("https://raw.githubusercontent.com/ltdimages/images/refs/heads/main/ClothShoesBootsLongSamuraiProtection_05.png")</f>
        <v/>
      </c>
      <c r="I45" s="22" t="s">
        <v>3095</v>
      </c>
      <c r="J45" s="22" t="s">
        <v>3095</v>
      </c>
      <c r="K45" s="63" t="s">
        <v>6051</v>
      </c>
      <c r="L45" s="23">
        <v>25.0</v>
      </c>
      <c r="M45" s="22" t="s">
        <v>3097</v>
      </c>
      <c r="N45" s="22" t="s">
        <v>3099</v>
      </c>
      <c r="O45" s="22" t="s">
        <v>45</v>
      </c>
      <c r="P45" s="22" t="s">
        <v>45</v>
      </c>
      <c r="Q45" s="22" t="s">
        <v>45</v>
      </c>
      <c r="R45" s="22" t="s">
        <v>49</v>
      </c>
      <c r="S45" s="22" t="s">
        <v>45</v>
      </c>
      <c r="T45" s="22" t="s">
        <v>2002</v>
      </c>
      <c r="U45" s="22" t="s">
        <v>45</v>
      </c>
      <c r="V45" s="22" t="s">
        <v>45</v>
      </c>
      <c r="W45" s="22" t="s">
        <v>6103</v>
      </c>
      <c r="X45" s="22" t="s">
        <v>3095</v>
      </c>
      <c r="Y45" s="22" t="s">
        <v>3095</v>
      </c>
      <c r="Z45" s="22" t="s">
        <v>3095</v>
      </c>
      <c r="AA45" s="22" t="s">
        <v>3095</v>
      </c>
      <c r="AB45" s="22" t="s">
        <v>3095</v>
      </c>
      <c r="AC45" s="22" t="s">
        <v>3095</v>
      </c>
      <c r="AD45" s="22" t="s">
        <v>3095</v>
      </c>
      <c r="AE45" s="22" t="s">
        <v>3095</v>
      </c>
      <c r="AF45" s="22" t="s">
        <v>3095</v>
      </c>
    </row>
    <row r="46" ht="45.0" customHeight="1">
      <c r="A46" s="55" t="s">
        <v>253</v>
      </c>
      <c r="B46" s="62" t="s">
        <v>3943</v>
      </c>
      <c r="C46" s="22" t="str">
        <f>IMAGE("https://raw.githubusercontent.com/ltdimages/images/refs/heads/main/ClothShoesBootsLongSanta_00.png")</f>
        <v/>
      </c>
      <c r="D46" s="22" t="s">
        <v>3095</v>
      </c>
      <c r="E46" s="22" t="s">
        <v>3095</v>
      </c>
      <c r="F46" s="22" t="s">
        <v>3095</v>
      </c>
      <c r="G46" s="22" t="s">
        <v>3095</v>
      </c>
      <c r="H46" s="22" t="s">
        <v>3095</v>
      </c>
      <c r="I46" s="22" t="s">
        <v>3095</v>
      </c>
      <c r="J46" s="22" t="s">
        <v>3095</v>
      </c>
      <c r="K46" s="63" t="s">
        <v>6051</v>
      </c>
      <c r="L46" s="23">
        <v>8.0</v>
      </c>
      <c r="M46" s="22" t="s">
        <v>3097</v>
      </c>
      <c r="N46" s="22" t="s">
        <v>3114</v>
      </c>
      <c r="O46" s="22" t="s">
        <v>45</v>
      </c>
      <c r="P46" s="22" t="s">
        <v>45</v>
      </c>
      <c r="Q46" s="22" t="s">
        <v>45</v>
      </c>
      <c r="R46" s="22" t="s">
        <v>49</v>
      </c>
      <c r="S46" s="22" t="s">
        <v>45</v>
      </c>
      <c r="T46" s="22" t="s">
        <v>2002</v>
      </c>
      <c r="U46" s="22" t="s">
        <v>45</v>
      </c>
      <c r="V46" s="22" t="s">
        <v>45</v>
      </c>
      <c r="W46" s="22" t="s">
        <v>6104</v>
      </c>
      <c r="X46" s="22" t="s">
        <v>3095</v>
      </c>
      <c r="Y46" s="22" t="s">
        <v>3095</v>
      </c>
      <c r="Z46" s="22" t="s">
        <v>3095</v>
      </c>
      <c r="AA46" s="22" t="s">
        <v>3095</v>
      </c>
      <c r="AB46" s="22" t="s">
        <v>3095</v>
      </c>
      <c r="AC46" s="22" t="s">
        <v>3095</v>
      </c>
      <c r="AD46" s="22" t="s">
        <v>3095</v>
      </c>
      <c r="AE46" s="22" t="s">
        <v>3095</v>
      </c>
      <c r="AF46" s="22" t="s">
        <v>3095</v>
      </c>
    </row>
    <row r="47" ht="45.0" customHeight="1">
      <c r="A47" s="55" t="s">
        <v>257</v>
      </c>
      <c r="B47" s="62" t="s">
        <v>6105</v>
      </c>
      <c r="C47" s="22" t="str">
        <f>IMAGE("https://raw.githubusercontent.com/ltdimages/images/refs/heads/main/ClothShoesSneakerDad_00.png")</f>
        <v/>
      </c>
      <c r="D47" s="22" t="str">
        <f>IMAGE("https://raw.githubusercontent.com/ltdimages/images/refs/heads/main/ClothShoesSneakerDad_01.png")</f>
        <v/>
      </c>
      <c r="E47" s="22" t="str">
        <f>IMAGE("https://raw.githubusercontent.com/ltdimages/images/refs/heads/main/ClothShoesSneakerDad_02.png")</f>
        <v/>
      </c>
      <c r="F47" s="22" t="str">
        <f>IMAGE("https://raw.githubusercontent.com/ltdimages/images/refs/heads/main/ClothShoesSneakerDad_03.png")</f>
        <v/>
      </c>
      <c r="G47" s="22" t="str">
        <f>IMAGE("https://raw.githubusercontent.com/ltdimages/images/refs/heads/main/ClothShoesSneakerDad_04.png")</f>
        <v/>
      </c>
      <c r="H47" s="22" t="str">
        <f>IMAGE("https://raw.githubusercontent.com/ltdimages/images/refs/heads/main/ClothShoesSneakerDad_05.png")</f>
        <v/>
      </c>
      <c r="I47" s="22" t="s">
        <v>3095</v>
      </c>
      <c r="J47" s="22" t="s">
        <v>3095</v>
      </c>
      <c r="K47" s="63" t="s">
        <v>6051</v>
      </c>
      <c r="L47" s="23">
        <v>7.7</v>
      </c>
      <c r="M47" s="22" t="s">
        <v>3097</v>
      </c>
      <c r="N47" s="22" t="s">
        <v>3099</v>
      </c>
      <c r="O47" s="22" t="s">
        <v>45</v>
      </c>
      <c r="P47" s="22" t="s">
        <v>45</v>
      </c>
      <c r="Q47" s="22" t="s">
        <v>45</v>
      </c>
      <c r="R47" s="22" t="s">
        <v>45</v>
      </c>
      <c r="S47" s="22" t="s">
        <v>45</v>
      </c>
      <c r="T47" s="22" t="s">
        <v>2002</v>
      </c>
      <c r="U47" s="22" t="s">
        <v>45</v>
      </c>
      <c r="V47" s="22" t="s">
        <v>45</v>
      </c>
      <c r="W47" s="22" t="s">
        <v>6106</v>
      </c>
      <c r="X47" s="22" t="s">
        <v>3095</v>
      </c>
      <c r="Y47" s="22" t="s">
        <v>3095</v>
      </c>
      <c r="Z47" s="22" t="s">
        <v>3095</v>
      </c>
      <c r="AA47" s="22" t="s">
        <v>3095</v>
      </c>
      <c r="AB47" s="22" t="s">
        <v>3095</v>
      </c>
      <c r="AC47" s="22" t="s">
        <v>3095</v>
      </c>
      <c r="AD47" s="22" t="s">
        <v>3095</v>
      </c>
      <c r="AE47" s="22" t="s">
        <v>3095</v>
      </c>
      <c r="AF47" s="22" t="s">
        <v>3095</v>
      </c>
    </row>
    <row r="48" ht="45.0" customHeight="1">
      <c r="A48" s="55" t="s">
        <v>261</v>
      </c>
      <c r="B48" s="62" t="s">
        <v>4405</v>
      </c>
      <c r="C48" s="22" t="str">
        <f>IMAGE("https://raw.githubusercontent.com/ltdimages/images/refs/heads/main/ClothShoesThickMouton_00.png")</f>
        <v/>
      </c>
      <c r="D48" s="22" t="str">
        <f>IMAGE("https://raw.githubusercontent.com/ltdimages/images/refs/heads/main/ClothShoesThickMouton_01.png")</f>
        <v/>
      </c>
      <c r="E48" s="22" t="str">
        <f>IMAGE("https://raw.githubusercontent.com/ltdimages/images/refs/heads/main/ClothShoesThickMouton_02.png")</f>
        <v/>
      </c>
      <c r="F48" s="22" t="str">
        <f>IMAGE("https://raw.githubusercontent.com/ltdimages/images/refs/heads/main/ClothShoesThickMouton_03.png")</f>
        <v/>
      </c>
      <c r="G48" s="22" t="str">
        <f>IMAGE("https://raw.githubusercontent.com/ltdimages/images/refs/heads/main/ClothShoesThickMouton_04.png")</f>
        <v/>
      </c>
      <c r="H48" s="22" t="str">
        <f>IMAGE("https://raw.githubusercontent.com/ltdimages/images/refs/heads/main/ClothShoesThickMouton_05.png")</f>
        <v/>
      </c>
      <c r="I48" s="22" t="str">
        <f>IMAGE("https://raw.githubusercontent.com/ltdimages/images/refs/heads/main/ClothShoesThickMouton_06.png")</f>
        <v/>
      </c>
      <c r="J48" s="22" t="str">
        <f>IMAGE("https://raw.githubusercontent.com/ltdimages/images/refs/heads/main/ClothShoesThickMouton_07.png")</f>
        <v/>
      </c>
      <c r="K48" s="63" t="s">
        <v>6051</v>
      </c>
      <c r="L48" s="23">
        <v>7.5</v>
      </c>
      <c r="M48" s="22" t="s">
        <v>3097</v>
      </c>
      <c r="N48" s="22" t="s">
        <v>3114</v>
      </c>
      <c r="O48" s="22" t="s">
        <v>45</v>
      </c>
      <c r="P48" s="22" t="s">
        <v>45</v>
      </c>
      <c r="Q48" s="22" t="s">
        <v>45</v>
      </c>
      <c r="R48" s="22" t="s">
        <v>45</v>
      </c>
      <c r="S48" s="22" t="s">
        <v>45</v>
      </c>
      <c r="T48" s="22" t="s">
        <v>2002</v>
      </c>
      <c r="U48" s="22" t="s">
        <v>45</v>
      </c>
      <c r="V48" s="22" t="s">
        <v>45</v>
      </c>
      <c r="W48" s="22" t="s">
        <v>6107</v>
      </c>
      <c r="X48" s="22" t="s">
        <v>3095</v>
      </c>
      <c r="Y48" s="22" t="s">
        <v>3095</v>
      </c>
      <c r="Z48" s="22" t="s">
        <v>3095</v>
      </c>
      <c r="AA48" s="22" t="s">
        <v>3095</v>
      </c>
      <c r="AB48" s="22" t="s">
        <v>3095</v>
      </c>
      <c r="AC48" s="22" t="s">
        <v>3095</v>
      </c>
      <c r="AD48" s="22" t="s">
        <v>3095</v>
      </c>
      <c r="AE48" s="22" t="s">
        <v>3095</v>
      </c>
      <c r="AF48" s="22" t="s">
        <v>3095</v>
      </c>
    </row>
    <row r="49" ht="45.0" customHeight="1">
      <c r="A49" s="55" t="s">
        <v>265</v>
      </c>
      <c r="B49" s="62" t="s">
        <v>4572</v>
      </c>
      <c r="C49" s="22" t="str">
        <f>IMAGE("https://raw.githubusercontent.com/ltdimages/images/refs/heads/main/ClothShoesLooseSocksBorder_00.png")</f>
        <v/>
      </c>
      <c r="D49" s="22" t="str">
        <f>IMAGE("https://raw.githubusercontent.com/ltdimages/images/refs/heads/main/ClothShoesLooseSocksBorder_01.png")</f>
        <v/>
      </c>
      <c r="E49" s="22" t="str">
        <f>IMAGE("https://raw.githubusercontent.com/ltdimages/images/refs/heads/main/ClothShoesLooseSocksBorder_02.png")</f>
        <v/>
      </c>
      <c r="F49" s="22" t="str">
        <f>IMAGE("https://raw.githubusercontent.com/ltdimages/images/refs/heads/main/ClothShoesLooseSocksBorder_03.png")</f>
        <v/>
      </c>
      <c r="G49" s="22" t="str">
        <f>IMAGE("https://raw.githubusercontent.com/ltdimages/images/refs/heads/main/ClothShoesLooseSocksBorder_04.png")</f>
        <v/>
      </c>
      <c r="H49" s="22" t="str">
        <f>IMAGE("https://raw.githubusercontent.com/ltdimages/images/refs/heads/main/ClothShoesLooseSocksBorder_05.png")</f>
        <v/>
      </c>
      <c r="I49" s="22" t="str">
        <f>IMAGE("https://raw.githubusercontent.com/ltdimages/images/refs/heads/main/ClothShoesLooseSocksBorder_06.png")</f>
        <v/>
      </c>
      <c r="J49" s="22" t="str">
        <f>IMAGE("https://raw.githubusercontent.com/ltdimages/images/refs/heads/main/ClothShoesLooseSocksBorder_07.png")</f>
        <v/>
      </c>
      <c r="K49" s="63" t="s">
        <v>6051</v>
      </c>
      <c r="L49" s="23">
        <v>8.5</v>
      </c>
      <c r="M49" s="22" t="s">
        <v>3097</v>
      </c>
      <c r="N49" s="22" t="s">
        <v>3099</v>
      </c>
      <c r="O49" s="22" t="s">
        <v>45</v>
      </c>
      <c r="P49" s="22" t="s">
        <v>45</v>
      </c>
      <c r="Q49" s="22" t="s">
        <v>45</v>
      </c>
      <c r="R49" s="22" t="s">
        <v>45</v>
      </c>
      <c r="S49" s="22" t="s">
        <v>45</v>
      </c>
      <c r="T49" s="22" t="s">
        <v>2002</v>
      </c>
      <c r="U49" s="22" t="s">
        <v>45</v>
      </c>
      <c r="V49" s="22" t="s">
        <v>45</v>
      </c>
      <c r="W49" s="22" t="s">
        <v>6108</v>
      </c>
      <c r="X49" s="22" t="s">
        <v>3095</v>
      </c>
      <c r="Y49" s="22" t="s">
        <v>3095</v>
      </c>
      <c r="Z49" s="22" t="s">
        <v>3095</v>
      </c>
      <c r="AA49" s="22" t="s">
        <v>3095</v>
      </c>
      <c r="AB49" s="22" t="s">
        <v>3095</v>
      </c>
      <c r="AC49" s="22" t="s">
        <v>3095</v>
      </c>
      <c r="AD49" s="22" t="s">
        <v>3095</v>
      </c>
      <c r="AE49" s="22" t="s">
        <v>3095</v>
      </c>
      <c r="AF49" s="22" t="s">
        <v>3095</v>
      </c>
    </row>
    <row r="50" ht="45.0" customHeight="1">
      <c r="A50" s="55" t="s">
        <v>269</v>
      </c>
      <c r="B50" s="62" t="s">
        <v>3360</v>
      </c>
      <c r="C50" s="22" t="str">
        <f>IMAGE("https://raw.githubusercontent.com/ltdimages/images/refs/heads/main/ClothShoesSandalShower_00.png")</f>
        <v/>
      </c>
      <c r="D50" s="22" t="str">
        <f>IMAGE("https://raw.githubusercontent.com/ltdimages/images/refs/heads/main/ClothShoesSandalShower_01.png")</f>
        <v/>
      </c>
      <c r="E50" s="22" t="str">
        <f>IMAGE("https://raw.githubusercontent.com/ltdimages/images/refs/heads/main/ClothShoesSandalShower_02.png")</f>
        <v/>
      </c>
      <c r="F50" s="22" t="str">
        <f>IMAGE("https://raw.githubusercontent.com/ltdimages/images/refs/heads/main/ClothShoesSandalShower_03.png")</f>
        <v/>
      </c>
      <c r="G50" s="22" t="str">
        <f>IMAGE("https://raw.githubusercontent.com/ltdimages/images/refs/heads/main/ClothShoesSandalShower_04.png")</f>
        <v/>
      </c>
      <c r="H50" s="22" t="str">
        <f>IMAGE("https://raw.githubusercontent.com/ltdimages/images/refs/heads/main/ClothShoesSandalShower_05.png")</f>
        <v/>
      </c>
      <c r="I50" s="22" t="s">
        <v>3095</v>
      </c>
      <c r="J50" s="22" t="s">
        <v>3095</v>
      </c>
      <c r="K50" s="63" t="s">
        <v>6051</v>
      </c>
      <c r="L50" s="23">
        <v>5.3</v>
      </c>
      <c r="M50" s="22" t="s">
        <v>3097</v>
      </c>
      <c r="N50" s="22" t="s">
        <v>3123</v>
      </c>
      <c r="O50" s="22" t="s">
        <v>45</v>
      </c>
      <c r="P50" s="22" t="s">
        <v>45</v>
      </c>
      <c r="Q50" s="22" t="s">
        <v>45</v>
      </c>
      <c r="R50" s="22" t="s">
        <v>45</v>
      </c>
      <c r="S50" s="22" t="s">
        <v>45</v>
      </c>
      <c r="T50" s="22" t="s">
        <v>2002</v>
      </c>
      <c r="U50" s="22" t="s">
        <v>45</v>
      </c>
      <c r="V50" s="22" t="s">
        <v>45</v>
      </c>
      <c r="W50" s="22" t="s">
        <v>6109</v>
      </c>
      <c r="X50" s="22" t="s">
        <v>3095</v>
      </c>
      <c r="Y50" s="22" t="s">
        <v>3095</v>
      </c>
      <c r="Z50" s="22" t="s">
        <v>3095</v>
      </c>
      <c r="AA50" s="22" t="s">
        <v>3095</v>
      </c>
      <c r="AB50" s="22" t="s">
        <v>3095</v>
      </c>
      <c r="AC50" s="22" t="s">
        <v>3095</v>
      </c>
      <c r="AD50" s="22" t="s">
        <v>3095</v>
      </c>
      <c r="AE50" s="22" t="s">
        <v>3095</v>
      </c>
      <c r="AF50" s="22" t="s">
        <v>3095</v>
      </c>
    </row>
    <row r="51" ht="45.0" customHeight="1">
      <c r="A51" s="55" t="s">
        <v>273</v>
      </c>
      <c r="B51" s="62" t="s">
        <v>4103</v>
      </c>
      <c r="C51" s="22" t="str">
        <f>IMAGE("https://raw.githubusercontent.com/ltdimages/images/refs/heads/main/ClothShoesBootsShortSideGore_00.png")</f>
        <v/>
      </c>
      <c r="D51" s="22" t="str">
        <f>IMAGE("https://raw.githubusercontent.com/ltdimages/images/refs/heads/main/ClothShoesBootsShortSideGore_01.png")</f>
        <v/>
      </c>
      <c r="E51" s="22" t="str">
        <f>IMAGE("https://raw.githubusercontent.com/ltdimages/images/refs/heads/main/ClothShoesBootsShortSideGore_02.png")</f>
        <v/>
      </c>
      <c r="F51" s="22" t="str">
        <f>IMAGE("https://raw.githubusercontent.com/ltdimages/images/refs/heads/main/ClothShoesBootsShortSideGore_03.png")</f>
        <v/>
      </c>
      <c r="G51" s="22" t="s">
        <v>3095</v>
      </c>
      <c r="H51" s="22" t="s">
        <v>3095</v>
      </c>
      <c r="I51" s="22" t="s">
        <v>3095</v>
      </c>
      <c r="J51" s="22" t="s">
        <v>3095</v>
      </c>
      <c r="K51" s="63" t="s">
        <v>6051</v>
      </c>
      <c r="L51" s="23">
        <v>8.0</v>
      </c>
      <c r="M51" s="22" t="s">
        <v>3097</v>
      </c>
      <c r="N51" s="22" t="s">
        <v>3099</v>
      </c>
      <c r="O51" s="22" t="s">
        <v>45</v>
      </c>
      <c r="P51" s="22" t="s">
        <v>45</v>
      </c>
      <c r="Q51" s="22" t="s">
        <v>45</v>
      </c>
      <c r="R51" s="22" t="s">
        <v>45</v>
      </c>
      <c r="S51" s="22" t="s">
        <v>45</v>
      </c>
      <c r="T51" s="22" t="s">
        <v>2002</v>
      </c>
      <c r="U51" s="22" t="s">
        <v>45</v>
      </c>
      <c r="V51" s="22" t="s">
        <v>45</v>
      </c>
      <c r="W51" s="22" t="s">
        <v>6110</v>
      </c>
      <c r="X51" s="22" t="s">
        <v>3095</v>
      </c>
      <c r="Y51" s="22" t="s">
        <v>3095</v>
      </c>
      <c r="Z51" s="22" t="s">
        <v>3095</v>
      </c>
      <c r="AA51" s="22" t="s">
        <v>3095</v>
      </c>
      <c r="AB51" s="22" t="s">
        <v>3095</v>
      </c>
      <c r="AC51" s="22" t="s">
        <v>3095</v>
      </c>
      <c r="AD51" s="22" t="s">
        <v>3095</v>
      </c>
      <c r="AE51" s="22" t="s">
        <v>3095</v>
      </c>
      <c r="AF51" s="22" t="s">
        <v>3095</v>
      </c>
    </row>
    <row r="52" ht="45.0" customHeight="1">
      <c r="A52" s="55" t="s">
        <v>277</v>
      </c>
      <c r="B52" s="62" t="s">
        <v>3366</v>
      </c>
      <c r="C52" s="22" t="str">
        <f>IMAGE("https://raw.githubusercontent.com/ltdimages/images/refs/heads/main/ClothShoesSneakerSideline_00.png")</f>
        <v/>
      </c>
      <c r="D52" s="22" t="str">
        <f>IMAGE("https://raw.githubusercontent.com/ltdimages/images/refs/heads/main/ClothShoesSneakerSideline_01.png")</f>
        <v/>
      </c>
      <c r="E52" s="22" t="str">
        <f>IMAGE("https://raw.githubusercontent.com/ltdimages/images/refs/heads/main/ClothShoesSneakerSideline_02.png")</f>
        <v/>
      </c>
      <c r="F52" s="22" t="str">
        <f>IMAGE("https://raw.githubusercontent.com/ltdimages/images/refs/heads/main/ClothShoesSneakerSideline_03.png")</f>
        <v/>
      </c>
      <c r="G52" s="22" t="str">
        <f>IMAGE("https://raw.githubusercontent.com/ltdimages/images/refs/heads/main/ClothShoesSneakerSideline_04.png")</f>
        <v/>
      </c>
      <c r="H52" s="22" t="str">
        <f>IMAGE("https://raw.githubusercontent.com/ltdimages/images/refs/heads/main/ClothShoesSneakerSideline_05.png")</f>
        <v/>
      </c>
      <c r="I52" s="22" t="str">
        <f>IMAGE("https://raw.githubusercontent.com/ltdimages/images/refs/heads/main/ClothShoesSneakerSideline_06.png")</f>
        <v/>
      </c>
      <c r="J52" s="22" t="str">
        <f>IMAGE("https://raw.githubusercontent.com/ltdimages/images/refs/heads/main/ClothShoesSneakerSideline_07.png")</f>
        <v/>
      </c>
      <c r="K52" s="63" t="s">
        <v>6051</v>
      </c>
      <c r="L52" s="23">
        <v>7.2</v>
      </c>
      <c r="M52" s="22" t="s">
        <v>3097</v>
      </c>
      <c r="N52" s="22" t="s">
        <v>3099</v>
      </c>
      <c r="O52" s="22" t="s">
        <v>45</v>
      </c>
      <c r="P52" s="22" t="s">
        <v>45</v>
      </c>
      <c r="Q52" s="22" t="s">
        <v>45</v>
      </c>
      <c r="R52" s="22" t="s">
        <v>45</v>
      </c>
      <c r="S52" s="22" t="s">
        <v>45</v>
      </c>
      <c r="T52" s="22" t="s">
        <v>2002</v>
      </c>
      <c r="U52" s="22" t="s">
        <v>45</v>
      </c>
      <c r="V52" s="22" t="s">
        <v>45</v>
      </c>
      <c r="W52" s="22" t="s">
        <v>6111</v>
      </c>
      <c r="X52" s="22" t="s">
        <v>3095</v>
      </c>
      <c r="Y52" s="22" t="s">
        <v>3095</v>
      </c>
      <c r="Z52" s="22" t="s">
        <v>3095</v>
      </c>
      <c r="AA52" s="22" t="s">
        <v>3095</v>
      </c>
      <c r="AB52" s="22" t="s">
        <v>3095</v>
      </c>
      <c r="AC52" s="22" t="s">
        <v>3095</v>
      </c>
      <c r="AD52" s="22" t="s">
        <v>3095</v>
      </c>
      <c r="AE52" s="22" t="s">
        <v>3095</v>
      </c>
      <c r="AF52" s="22" t="s">
        <v>3095</v>
      </c>
    </row>
    <row r="53" ht="45.0" customHeight="1">
      <c r="A53" s="55" t="s">
        <v>281</v>
      </c>
      <c r="B53" s="62" t="s">
        <v>3222</v>
      </c>
      <c r="C53" s="22" t="str">
        <f>IMAGE("https://raw.githubusercontent.com/ltdimages/images/refs/heads/main/ClothShoesStandardSlipon_00.png")</f>
        <v/>
      </c>
      <c r="D53" s="22" t="str">
        <f>IMAGE("https://raw.githubusercontent.com/ltdimages/images/refs/heads/main/ClothShoesStandardSlipon_01.png")</f>
        <v/>
      </c>
      <c r="E53" s="22" t="str">
        <f>IMAGE("https://raw.githubusercontent.com/ltdimages/images/refs/heads/main/ClothShoesStandardSlipon_02.png")</f>
        <v/>
      </c>
      <c r="F53" s="22" t="str">
        <f>IMAGE("https://raw.githubusercontent.com/ltdimages/images/refs/heads/main/ClothShoesStandardSlipon_03.png")</f>
        <v/>
      </c>
      <c r="G53" s="22" t="str">
        <f>IMAGE("https://raw.githubusercontent.com/ltdimages/images/refs/heads/main/ClothShoesStandardSlipon_04.png")</f>
        <v/>
      </c>
      <c r="H53" s="22" t="str">
        <f>IMAGE("https://raw.githubusercontent.com/ltdimages/images/refs/heads/main/ClothShoesStandardSlipon_05.png")</f>
        <v/>
      </c>
      <c r="I53" s="22" t="str">
        <f>IMAGE("https://raw.githubusercontent.com/ltdimages/images/refs/heads/main/ClothShoesStandardSlipon_06.png")</f>
        <v/>
      </c>
      <c r="J53" s="22" t="str">
        <f>IMAGE("https://raw.githubusercontent.com/ltdimages/images/refs/heads/main/ClothShoesStandardSlipon_07.png")</f>
        <v/>
      </c>
      <c r="K53" s="63" t="s">
        <v>6051</v>
      </c>
      <c r="L53" s="23">
        <v>6.9</v>
      </c>
      <c r="M53" s="22" t="s">
        <v>3097</v>
      </c>
      <c r="N53" s="22" t="s">
        <v>3099</v>
      </c>
      <c r="O53" s="22" t="s">
        <v>45</v>
      </c>
      <c r="P53" s="22" t="s">
        <v>45</v>
      </c>
      <c r="Q53" s="22" t="s">
        <v>45</v>
      </c>
      <c r="R53" s="22" t="s">
        <v>45</v>
      </c>
      <c r="S53" s="22" t="s">
        <v>45</v>
      </c>
      <c r="T53" s="22" t="s">
        <v>2002</v>
      </c>
      <c r="U53" s="22" t="s">
        <v>45</v>
      </c>
      <c r="V53" s="22" t="s">
        <v>45</v>
      </c>
      <c r="W53" s="22" t="s">
        <v>6112</v>
      </c>
      <c r="X53" s="22" t="s">
        <v>3095</v>
      </c>
      <c r="Y53" s="22" t="s">
        <v>3095</v>
      </c>
      <c r="Z53" s="22" t="s">
        <v>3095</v>
      </c>
      <c r="AA53" s="22" t="s">
        <v>3095</v>
      </c>
      <c r="AB53" s="22" t="s">
        <v>3095</v>
      </c>
      <c r="AC53" s="22" t="s">
        <v>3095</v>
      </c>
      <c r="AD53" s="22" t="s">
        <v>3095</v>
      </c>
      <c r="AE53" s="22" t="s">
        <v>3095</v>
      </c>
      <c r="AF53" s="22" t="s">
        <v>3095</v>
      </c>
    </row>
    <row r="54" ht="45.0" customHeight="1">
      <c r="A54" s="55" t="s">
        <v>285</v>
      </c>
      <c r="B54" s="62" t="s">
        <v>6113</v>
      </c>
      <c r="C54" s="22" t="str">
        <f>IMAGE("https://raw.githubusercontent.com/ltdimages/images/refs/heads/main/ClothShoesSandalSlipon_00.png")</f>
        <v/>
      </c>
      <c r="D54" s="22" t="str">
        <f>IMAGE("https://raw.githubusercontent.com/ltdimages/images/refs/heads/main/ClothShoesSandalSlipon_01.png")</f>
        <v/>
      </c>
      <c r="E54" s="22" t="str">
        <f>IMAGE("https://raw.githubusercontent.com/ltdimages/images/refs/heads/main/ClothShoesSandalSlipon_02.png")</f>
        <v/>
      </c>
      <c r="F54" s="22" t="str">
        <f>IMAGE("https://raw.githubusercontent.com/ltdimages/images/refs/heads/main/ClothShoesSandalSlipon_03.png")</f>
        <v/>
      </c>
      <c r="G54" s="22" t="str">
        <f>IMAGE("https://raw.githubusercontent.com/ltdimages/images/refs/heads/main/ClothShoesSandalSlipon_04.png")</f>
        <v/>
      </c>
      <c r="H54" s="22" t="str">
        <f>IMAGE("https://raw.githubusercontent.com/ltdimages/images/refs/heads/main/ClothShoesSandalSlipon_05.png")</f>
        <v/>
      </c>
      <c r="I54" s="22" t="s">
        <v>3095</v>
      </c>
      <c r="J54" s="22" t="s">
        <v>3095</v>
      </c>
      <c r="K54" s="63" t="s">
        <v>6051</v>
      </c>
      <c r="L54" s="23">
        <v>5.4</v>
      </c>
      <c r="M54" s="22" t="s">
        <v>3097</v>
      </c>
      <c r="N54" s="22" t="s">
        <v>3099</v>
      </c>
      <c r="O54" s="22" t="s">
        <v>45</v>
      </c>
      <c r="P54" s="22" t="s">
        <v>45</v>
      </c>
      <c r="Q54" s="22" t="s">
        <v>45</v>
      </c>
      <c r="R54" s="22" t="s">
        <v>45</v>
      </c>
      <c r="S54" s="22" t="s">
        <v>45</v>
      </c>
      <c r="T54" s="22" t="s">
        <v>2002</v>
      </c>
      <c r="U54" s="22" t="s">
        <v>45</v>
      </c>
      <c r="V54" s="22" t="s">
        <v>45</v>
      </c>
      <c r="W54" s="22" t="s">
        <v>6114</v>
      </c>
      <c r="X54" s="22" t="s">
        <v>3095</v>
      </c>
      <c r="Y54" s="22" t="s">
        <v>3095</v>
      </c>
      <c r="Z54" s="22" t="s">
        <v>3095</v>
      </c>
      <c r="AA54" s="22" t="s">
        <v>3095</v>
      </c>
      <c r="AB54" s="22" t="s">
        <v>3095</v>
      </c>
      <c r="AC54" s="22" t="s">
        <v>3095</v>
      </c>
      <c r="AD54" s="22" t="s">
        <v>3095</v>
      </c>
      <c r="AE54" s="22" t="s">
        <v>3095</v>
      </c>
      <c r="AF54" s="22" t="s">
        <v>3095</v>
      </c>
    </row>
    <row r="55" ht="45.0" customHeight="1">
      <c r="A55" s="55" t="s">
        <v>289</v>
      </c>
      <c r="B55" s="62" t="s">
        <v>3102</v>
      </c>
      <c r="C55" s="22" t="str">
        <f>IMAGE("https://raw.githubusercontent.com/ltdimages/images/refs/heads/main/ClothShoesSandalSlipper_00.png")</f>
        <v/>
      </c>
      <c r="D55" s="22" t="str">
        <f>IMAGE("https://raw.githubusercontent.com/ltdimages/images/refs/heads/main/ClothShoesSandalSlipper_01.png")</f>
        <v/>
      </c>
      <c r="E55" s="22" t="str">
        <f>IMAGE("https://raw.githubusercontent.com/ltdimages/images/refs/heads/main/ClothShoesSandalSlipper_02.png")</f>
        <v/>
      </c>
      <c r="F55" s="22" t="str">
        <f>IMAGE("https://raw.githubusercontent.com/ltdimages/images/refs/heads/main/ClothShoesSandalSlipper_03.png")</f>
        <v/>
      </c>
      <c r="G55" s="22" t="str">
        <f>IMAGE("https://raw.githubusercontent.com/ltdimages/images/refs/heads/main/ClothShoesSandalSlipper_04.png")</f>
        <v/>
      </c>
      <c r="H55" s="22" t="str">
        <f>IMAGE("https://raw.githubusercontent.com/ltdimages/images/refs/heads/main/ClothShoesSandalSlipper_05.png")</f>
        <v/>
      </c>
      <c r="I55" s="22" t="str">
        <f>IMAGE("https://raw.githubusercontent.com/ltdimages/images/refs/heads/main/ClothShoesSandalSlipper_06.png")</f>
        <v/>
      </c>
      <c r="J55" s="22" t="str">
        <f>IMAGE("https://raw.githubusercontent.com/ltdimages/images/refs/heads/main/ClothShoesSandalSlipper_07.png")</f>
        <v/>
      </c>
      <c r="K55" s="63" t="s">
        <v>6051</v>
      </c>
      <c r="L55" s="23">
        <v>5.2</v>
      </c>
      <c r="M55" s="22" t="s">
        <v>3097</v>
      </c>
      <c r="N55" s="22" t="s">
        <v>3099</v>
      </c>
      <c r="O55" s="22" t="s">
        <v>45</v>
      </c>
      <c r="P55" s="22" t="s">
        <v>45</v>
      </c>
      <c r="Q55" s="22" t="s">
        <v>45</v>
      </c>
      <c r="R55" s="22" t="s">
        <v>45</v>
      </c>
      <c r="S55" s="22" t="s">
        <v>45</v>
      </c>
      <c r="T55" s="22" t="s">
        <v>2002</v>
      </c>
      <c r="U55" s="22" t="s">
        <v>45</v>
      </c>
      <c r="V55" s="22" t="s">
        <v>45</v>
      </c>
      <c r="W55" s="22" t="s">
        <v>6115</v>
      </c>
      <c r="X55" s="22" t="s">
        <v>3095</v>
      </c>
      <c r="Y55" s="22" t="s">
        <v>3095</v>
      </c>
      <c r="Z55" s="22" t="s">
        <v>3095</v>
      </c>
      <c r="AA55" s="22" t="s">
        <v>3095</v>
      </c>
      <c r="AB55" s="22" t="s">
        <v>3095</v>
      </c>
      <c r="AC55" s="22" t="s">
        <v>3095</v>
      </c>
      <c r="AD55" s="22" t="s">
        <v>3095</v>
      </c>
      <c r="AE55" s="22" t="s">
        <v>3095</v>
      </c>
      <c r="AF55" s="22" t="s">
        <v>3095</v>
      </c>
    </row>
    <row r="56" ht="45.0" customHeight="1">
      <c r="A56" s="55" t="s">
        <v>293</v>
      </c>
      <c r="B56" s="62" t="s">
        <v>3987</v>
      </c>
      <c r="C56" s="22" t="str">
        <f>IMAGE("https://raw.githubusercontent.com/ltdimages/images/refs/heads/main/ClothShoesBootsLongSnow_00.png")</f>
        <v/>
      </c>
      <c r="D56" s="22" t="str">
        <f>IMAGE("https://raw.githubusercontent.com/ltdimages/images/refs/heads/main/ClothShoesBootsLongSnow_01.png")</f>
        <v/>
      </c>
      <c r="E56" s="22" t="str">
        <f>IMAGE("https://raw.githubusercontent.com/ltdimages/images/refs/heads/main/ClothShoesBootsLongSnow_02.png")</f>
        <v/>
      </c>
      <c r="F56" s="22" t="str">
        <f>IMAGE("https://raw.githubusercontent.com/ltdimages/images/refs/heads/main/ClothShoesBootsLongSnow_03.png")</f>
        <v/>
      </c>
      <c r="G56" s="22" t="str">
        <f>IMAGE("https://raw.githubusercontent.com/ltdimages/images/refs/heads/main/ClothShoesBootsLongSnow_04.png")</f>
        <v/>
      </c>
      <c r="H56" s="22" t="str">
        <f>IMAGE("https://raw.githubusercontent.com/ltdimages/images/refs/heads/main/ClothShoesBootsLongSnow_05.png")</f>
        <v/>
      </c>
      <c r="I56" s="22" t="str">
        <f>IMAGE("https://raw.githubusercontent.com/ltdimages/images/refs/heads/main/ClothShoesBootsLongSnow_06.png")</f>
        <v/>
      </c>
      <c r="J56" s="22" t="str">
        <f>IMAGE("https://raw.githubusercontent.com/ltdimages/images/refs/heads/main/ClothShoesBootsLongSnow_07.png")</f>
        <v/>
      </c>
      <c r="K56" s="63" t="s">
        <v>6051</v>
      </c>
      <c r="L56" s="23">
        <v>9.0</v>
      </c>
      <c r="M56" s="22" t="s">
        <v>3097</v>
      </c>
      <c r="N56" s="22" t="s">
        <v>3114</v>
      </c>
      <c r="O56" s="22" t="s">
        <v>45</v>
      </c>
      <c r="P56" s="22" t="s">
        <v>45</v>
      </c>
      <c r="Q56" s="22" t="s">
        <v>45</v>
      </c>
      <c r="R56" s="22" t="s">
        <v>45</v>
      </c>
      <c r="S56" s="22" t="s">
        <v>45</v>
      </c>
      <c r="T56" s="22" t="s">
        <v>2002</v>
      </c>
      <c r="U56" s="22" t="s">
        <v>45</v>
      </c>
      <c r="V56" s="22" t="s">
        <v>45</v>
      </c>
      <c r="W56" s="22" t="s">
        <v>6116</v>
      </c>
      <c r="X56" s="22" t="s">
        <v>3095</v>
      </c>
      <c r="Y56" s="22" t="s">
        <v>3095</v>
      </c>
      <c r="Z56" s="22" t="s">
        <v>3095</v>
      </c>
      <c r="AA56" s="22" t="s">
        <v>3095</v>
      </c>
      <c r="AB56" s="22" t="s">
        <v>3095</v>
      </c>
      <c r="AC56" s="22" t="s">
        <v>3095</v>
      </c>
      <c r="AD56" s="22" t="s">
        <v>3095</v>
      </c>
      <c r="AE56" s="22" t="s">
        <v>3095</v>
      </c>
      <c r="AF56" s="22" t="s">
        <v>3095</v>
      </c>
    </row>
    <row r="57" ht="45.0" customHeight="1">
      <c r="A57" s="55" t="s">
        <v>297</v>
      </c>
      <c r="B57" s="62" t="s">
        <v>3384</v>
      </c>
      <c r="C57" s="22" t="str">
        <f>IMAGE("https://raw.githubusercontent.com/ltdimages/images/refs/heads/main/ClothShoesHighcutSpace_00.png")</f>
        <v/>
      </c>
      <c r="D57" s="22" t="str">
        <f>IMAGE("https://raw.githubusercontent.com/ltdimages/images/refs/heads/main/ClothShoesHighcutSpace_01.png")</f>
        <v/>
      </c>
      <c r="E57" s="22" t="str">
        <f>IMAGE("https://raw.githubusercontent.com/ltdimages/images/refs/heads/main/ClothShoesHighcutSpace_02.png")</f>
        <v/>
      </c>
      <c r="F57" s="22" t="str">
        <f>IMAGE("https://raw.githubusercontent.com/ltdimages/images/refs/heads/main/ClothShoesHighcutSpace_03.png")</f>
        <v/>
      </c>
      <c r="G57" s="22" t="str">
        <f>IMAGE("https://raw.githubusercontent.com/ltdimages/images/refs/heads/main/ClothShoesHighcutSpace_04.png")</f>
        <v/>
      </c>
      <c r="H57" s="22" t="str">
        <f>IMAGE("https://raw.githubusercontent.com/ltdimages/images/refs/heads/main/ClothShoesHighcutSpace_05.png")</f>
        <v/>
      </c>
      <c r="I57" s="22" t="s">
        <v>3095</v>
      </c>
      <c r="J57" s="22" t="s">
        <v>3095</v>
      </c>
      <c r="K57" s="63" t="s">
        <v>6051</v>
      </c>
      <c r="L57" s="23">
        <v>8.0</v>
      </c>
      <c r="M57" s="22" t="s">
        <v>3097</v>
      </c>
      <c r="N57" s="22" t="s">
        <v>3099</v>
      </c>
      <c r="O57" s="22" t="s">
        <v>45</v>
      </c>
      <c r="P57" s="22" t="s">
        <v>45</v>
      </c>
      <c r="Q57" s="22" t="s">
        <v>45</v>
      </c>
      <c r="R57" s="22" t="s">
        <v>45</v>
      </c>
      <c r="S57" s="22" t="s">
        <v>45</v>
      </c>
      <c r="T57" s="22" t="s">
        <v>2002</v>
      </c>
      <c r="U57" s="22" t="s">
        <v>45</v>
      </c>
      <c r="V57" s="22" t="s">
        <v>45</v>
      </c>
      <c r="W57" s="22" t="s">
        <v>6117</v>
      </c>
      <c r="X57" s="22" t="s">
        <v>3095</v>
      </c>
      <c r="Y57" s="22" t="s">
        <v>3095</v>
      </c>
      <c r="Z57" s="22" t="s">
        <v>3095</v>
      </c>
      <c r="AA57" s="22" t="s">
        <v>3095</v>
      </c>
      <c r="AB57" s="22" t="s">
        <v>3095</v>
      </c>
      <c r="AC57" s="22" t="s">
        <v>3095</v>
      </c>
      <c r="AD57" s="22" t="s">
        <v>3095</v>
      </c>
      <c r="AE57" s="22" t="s">
        <v>3095</v>
      </c>
      <c r="AF57" s="22" t="s">
        <v>3095</v>
      </c>
    </row>
    <row r="58" ht="45.0" customHeight="1">
      <c r="A58" s="55" t="s">
        <v>301</v>
      </c>
      <c r="B58" s="62" t="s">
        <v>6118</v>
      </c>
      <c r="C58" s="22" t="str">
        <f>IMAGE("https://raw.githubusercontent.com/ltdimages/images/refs/heads/main/ClothShoesSandalSneaker_00.png")</f>
        <v/>
      </c>
      <c r="D58" s="22" t="str">
        <f>IMAGE("https://raw.githubusercontent.com/ltdimages/images/refs/heads/main/ClothShoesSandalSneaker_01.png")</f>
        <v/>
      </c>
      <c r="E58" s="22" t="str">
        <f>IMAGE("https://raw.githubusercontent.com/ltdimages/images/refs/heads/main/ClothShoesSandalSneaker_02.png")</f>
        <v/>
      </c>
      <c r="F58" s="22" t="str">
        <f>IMAGE("https://raw.githubusercontent.com/ltdimages/images/refs/heads/main/ClothShoesSandalSneaker_03.png")</f>
        <v/>
      </c>
      <c r="G58" s="22" t="str">
        <f>IMAGE("https://raw.githubusercontent.com/ltdimages/images/refs/heads/main/ClothShoesSandalSneaker_04.png")</f>
        <v/>
      </c>
      <c r="H58" s="22" t="str">
        <f>IMAGE("https://raw.githubusercontent.com/ltdimages/images/refs/heads/main/ClothShoesSandalSneaker_05.png")</f>
        <v/>
      </c>
      <c r="I58" s="22" t="str">
        <f>IMAGE("https://raw.githubusercontent.com/ltdimages/images/refs/heads/main/ClothShoesSandalSneaker_06.png")</f>
        <v/>
      </c>
      <c r="J58" s="22" t="str">
        <f>IMAGE("https://raw.githubusercontent.com/ltdimages/images/refs/heads/main/ClothShoesSandalSneaker_07.png")</f>
        <v/>
      </c>
      <c r="K58" s="63" t="s">
        <v>6051</v>
      </c>
      <c r="L58" s="23">
        <v>7.0</v>
      </c>
      <c r="M58" s="22" t="s">
        <v>3097</v>
      </c>
      <c r="N58" s="22" t="s">
        <v>3123</v>
      </c>
      <c r="O58" s="22" t="s">
        <v>45</v>
      </c>
      <c r="P58" s="22" t="s">
        <v>45</v>
      </c>
      <c r="Q58" s="22" t="s">
        <v>45</v>
      </c>
      <c r="R58" s="22" t="s">
        <v>45</v>
      </c>
      <c r="S58" s="22" t="s">
        <v>45</v>
      </c>
      <c r="T58" s="22" t="s">
        <v>2002</v>
      </c>
      <c r="U58" s="22" t="s">
        <v>45</v>
      </c>
      <c r="V58" s="22" t="s">
        <v>45</v>
      </c>
      <c r="W58" s="22" t="s">
        <v>6119</v>
      </c>
      <c r="X58" s="22" t="s">
        <v>3095</v>
      </c>
      <c r="Y58" s="22" t="s">
        <v>3095</v>
      </c>
      <c r="Z58" s="22" t="s">
        <v>3095</v>
      </c>
      <c r="AA58" s="22" t="s">
        <v>3095</v>
      </c>
      <c r="AB58" s="22" t="s">
        <v>3095</v>
      </c>
      <c r="AC58" s="22" t="s">
        <v>3095</v>
      </c>
      <c r="AD58" s="22" t="s">
        <v>3095</v>
      </c>
      <c r="AE58" s="22" t="s">
        <v>3095</v>
      </c>
      <c r="AF58" s="22" t="s">
        <v>3095</v>
      </c>
    </row>
    <row r="59" ht="45.0" customHeight="1">
      <c r="A59" s="55" t="s">
        <v>305</v>
      </c>
      <c r="B59" s="62" t="s">
        <v>3759</v>
      </c>
      <c r="C59" s="22" t="str">
        <f>IMAGE("https://raw.githubusercontent.com/ltdimages/images/refs/heads/main/ClothShoesSandalWaraji_00.png")</f>
        <v/>
      </c>
      <c r="D59" s="22" t="s">
        <v>3095</v>
      </c>
      <c r="E59" s="22" t="s">
        <v>3095</v>
      </c>
      <c r="F59" s="22" t="s">
        <v>3095</v>
      </c>
      <c r="G59" s="22" t="s">
        <v>3095</v>
      </c>
      <c r="H59" s="22" t="s">
        <v>3095</v>
      </c>
      <c r="I59" s="22" t="s">
        <v>3095</v>
      </c>
      <c r="J59" s="22" t="s">
        <v>3095</v>
      </c>
      <c r="K59" s="63" t="s">
        <v>6051</v>
      </c>
      <c r="L59" s="23">
        <v>3.0</v>
      </c>
      <c r="M59" s="22" t="s">
        <v>3097</v>
      </c>
      <c r="N59" s="22" t="s">
        <v>3099</v>
      </c>
      <c r="O59" s="22" t="s">
        <v>45</v>
      </c>
      <c r="P59" s="22" t="s">
        <v>45</v>
      </c>
      <c r="Q59" s="22" t="s">
        <v>45</v>
      </c>
      <c r="R59" s="22" t="s">
        <v>49</v>
      </c>
      <c r="S59" s="22" t="s">
        <v>45</v>
      </c>
      <c r="T59" s="22" t="s">
        <v>2002</v>
      </c>
      <c r="U59" s="22" t="s">
        <v>45</v>
      </c>
      <c r="V59" s="22" t="s">
        <v>45</v>
      </c>
      <c r="W59" s="22" t="s">
        <v>6120</v>
      </c>
      <c r="X59" s="22" t="s">
        <v>3095</v>
      </c>
      <c r="Y59" s="22" t="s">
        <v>3095</v>
      </c>
      <c r="Z59" s="22" t="s">
        <v>3095</v>
      </c>
      <c r="AA59" s="22" t="s">
        <v>3095</v>
      </c>
      <c r="AB59" s="22" t="s">
        <v>3095</v>
      </c>
      <c r="AC59" s="22" t="s">
        <v>3095</v>
      </c>
      <c r="AD59" s="22" t="s">
        <v>3095</v>
      </c>
      <c r="AE59" s="22" t="s">
        <v>3095</v>
      </c>
      <c r="AF59" s="22" t="s">
        <v>3095</v>
      </c>
    </row>
    <row r="60" ht="45.0" customHeight="1">
      <c r="A60" s="55" t="s">
        <v>309</v>
      </c>
      <c r="B60" s="62" t="s">
        <v>6121</v>
      </c>
      <c r="C60" s="22" t="str">
        <f>IMAGE("https://raw.githubusercontent.com/ltdimages/images/refs/heads/main/ClothShoesStandardStripeSlipon_00.png")</f>
        <v/>
      </c>
      <c r="D60" s="22" t="str">
        <f>IMAGE("https://raw.githubusercontent.com/ltdimages/images/refs/heads/main/ClothShoesStandardStripeSlipon_01.png")</f>
        <v/>
      </c>
      <c r="E60" s="22" t="str">
        <f>IMAGE("https://raw.githubusercontent.com/ltdimages/images/refs/heads/main/ClothShoesStandardStripeSlipon_02.png")</f>
        <v/>
      </c>
      <c r="F60" s="22" t="str">
        <f>IMAGE("https://raw.githubusercontent.com/ltdimages/images/refs/heads/main/ClothShoesStandardStripeSlipon_03.png")</f>
        <v/>
      </c>
      <c r="G60" s="22" t="str">
        <f>IMAGE("https://raw.githubusercontent.com/ltdimages/images/refs/heads/main/ClothShoesStandardStripeSlipon_04.png")</f>
        <v/>
      </c>
      <c r="H60" s="22" t="str">
        <f>IMAGE("https://raw.githubusercontent.com/ltdimages/images/refs/heads/main/ClothShoesStandardStripeSlipon_05.png")</f>
        <v/>
      </c>
      <c r="I60" s="22" t="str">
        <f>IMAGE("https://raw.githubusercontent.com/ltdimages/images/refs/heads/main/ClothShoesStandardStripeSlipon_06.png")</f>
        <v/>
      </c>
      <c r="J60" s="22" t="str">
        <f>IMAGE("https://raw.githubusercontent.com/ltdimages/images/refs/heads/main/ClothShoesStandardStripeSlipon_07.png")</f>
        <v/>
      </c>
      <c r="K60" s="63" t="s">
        <v>6051</v>
      </c>
      <c r="L60" s="23">
        <v>6.0</v>
      </c>
      <c r="M60" s="22" t="s">
        <v>3097</v>
      </c>
      <c r="N60" s="22" t="s">
        <v>3099</v>
      </c>
      <c r="O60" s="22" t="s">
        <v>45</v>
      </c>
      <c r="P60" s="22" t="s">
        <v>45</v>
      </c>
      <c r="Q60" s="22" t="s">
        <v>45</v>
      </c>
      <c r="R60" s="22" t="s">
        <v>45</v>
      </c>
      <c r="S60" s="22" t="s">
        <v>45</v>
      </c>
      <c r="T60" s="22" t="s">
        <v>2002</v>
      </c>
      <c r="U60" s="22" t="s">
        <v>45</v>
      </c>
      <c r="V60" s="22" t="s">
        <v>45</v>
      </c>
      <c r="W60" s="22" t="s">
        <v>6122</v>
      </c>
      <c r="X60" s="22" t="s">
        <v>3095</v>
      </c>
      <c r="Y60" s="22" t="s">
        <v>3095</v>
      </c>
      <c r="Z60" s="22" t="s">
        <v>3095</v>
      </c>
      <c r="AA60" s="22" t="s">
        <v>3095</v>
      </c>
      <c r="AB60" s="22" t="s">
        <v>3095</v>
      </c>
      <c r="AC60" s="22" t="s">
        <v>3095</v>
      </c>
      <c r="AD60" s="22" t="s">
        <v>3095</v>
      </c>
      <c r="AE60" s="22" t="s">
        <v>3095</v>
      </c>
      <c r="AF60" s="22" t="s">
        <v>3095</v>
      </c>
    </row>
    <row r="61" ht="45.0" customHeight="1">
      <c r="A61" s="55" t="s">
        <v>313</v>
      </c>
      <c r="B61" s="62" t="s">
        <v>6123</v>
      </c>
      <c r="C61" s="22" t="str">
        <f>IMAGE("https://raw.githubusercontent.com/ltdimages/images/refs/heads/main/ClothShoesSandalSlipperBorder_00.png")</f>
        <v/>
      </c>
      <c r="D61" s="22" t="str">
        <f>IMAGE("https://raw.githubusercontent.com/ltdimages/images/refs/heads/main/ClothShoesSandalSlipperBorder_01.png")</f>
        <v/>
      </c>
      <c r="E61" s="22" t="str">
        <f>IMAGE("https://raw.githubusercontent.com/ltdimages/images/refs/heads/main/ClothShoesSandalSlipperBorder_02.png")</f>
        <v/>
      </c>
      <c r="F61" s="22" t="str">
        <f>IMAGE("https://raw.githubusercontent.com/ltdimages/images/refs/heads/main/ClothShoesSandalSlipperBorder_03.png")</f>
        <v/>
      </c>
      <c r="G61" s="22" t="str">
        <f>IMAGE("https://raw.githubusercontent.com/ltdimages/images/refs/heads/main/ClothShoesSandalSlipperBorder_04.png")</f>
        <v/>
      </c>
      <c r="H61" s="22" t="str">
        <f>IMAGE("https://raw.githubusercontent.com/ltdimages/images/refs/heads/main/ClothShoesSandalSlipperBorder_05.png")</f>
        <v/>
      </c>
      <c r="I61" s="22" t="str">
        <f>IMAGE("https://raw.githubusercontent.com/ltdimages/images/refs/heads/main/ClothShoesSandalSlipperBorder_06.png")</f>
        <v/>
      </c>
      <c r="J61" s="22" t="str">
        <f>IMAGE("https://raw.githubusercontent.com/ltdimages/images/refs/heads/main/ClothShoesSandalSlipperBorder_07.png")</f>
        <v/>
      </c>
      <c r="K61" s="63" t="s">
        <v>6051</v>
      </c>
      <c r="L61" s="23">
        <v>6.0</v>
      </c>
      <c r="M61" s="22" t="s">
        <v>3097</v>
      </c>
      <c r="N61" s="22" t="s">
        <v>3099</v>
      </c>
      <c r="O61" s="22" t="s">
        <v>45</v>
      </c>
      <c r="P61" s="22" t="s">
        <v>45</v>
      </c>
      <c r="Q61" s="22" t="s">
        <v>45</v>
      </c>
      <c r="R61" s="22" t="s">
        <v>45</v>
      </c>
      <c r="S61" s="22" t="s">
        <v>45</v>
      </c>
      <c r="T61" s="22" t="s">
        <v>2002</v>
      </c>
      <c r="U61" s="22" t="s">
        <v>45</v>
      </c>
      <c r="V61" s="22" t="s">
        <v>45</v>
      </c>
      <c r="W61" s="22" t="s">
        <v>6124</v>
      </c>
      <c r="X61" s="22" t="s">
        <v>3095</v>
      </c>
      <c r="Y61" s="22" t="s">
        <v>3095</v>
      </c>
      <c r="Z61" s="22" t="s">
        <v>3095</v>
      </c>
      <c r="AA61" s="22" t="s">
        <v>3095</v>
      </c>
      <c r="AB61" s="22" t="s">
        <v>3095</v>
      </c>
      <c r="AC61" s="22" t="s">
        <v>3095</v>
      </c>
      <c r="AD61" s="22" t="s">
        <v>3095</v>
      </c>
      <c r="AE61" s="22" t="s">
        <v>3095</v>
      </c>
      <c r="AF61" s="22" t="s">
        <v>3095</v>
      </c>
    </row>
    <row r="62" ht="45.0" customHeight="1">
      <c r="A62" s="55" t="s">
        <v>317</v>
      </c>
      <c r="B62" s="62" t="s">
        <v>4276</v>
      </c>
      <c r="C62" s="22" t="str">
        <f>IMAGE("https://raw.githubusercontent.com/ltdimages/images/refs/heads/main/ClothShoesBootsShortStuds_00.png")</f>
        <v/>
      </c>
      <c r="D62" s="22" t="str">
        <f>IMAGE("https://raw.githubusercontent.com/ltdimages/images/refs/heads/main/ClothShoesBootsShortStuds_01.png")</f>
        <v/>
      </c>
      <c r="E62" s="22" t="str">
        <f>IMAGE("https://raw.githubusercontent.com/ltdimages/images/refs/heads/main/ClothShoesBootsShortStuds_02.png")</f>
        <v/>
      </c>
      <c r="F62" s="22" t="str">
        <f>IMAGE("https://raw.githubusercontent.com/ltdimages/images/refs/heads/main/ClothShoesBootsShortStuds_03.png")</f>
        <v/>
      </c>
      <c r="G62" s="22" t="str">
        <f>IMAGE("https://raw.githubusercontent.com/ltdimages/images/refs/heads/main/ClothShoesBootsShortStuds_04.png")</f>
        <v/>
      </c>
      <c r="H62" s="22" t="str">
        <f>IMAGE("https://raw.githubusercontent.com/ltdimages/images/refs/heads/main/ClothShoesBootsShortStuds_05.png")</f>
        <v/>
      </c>
      <c r="I62" s="22" t="s">
        <v>3095</v>
      </c>
      <c r="J62" s="22" t="s">
        <v>3095</v>
      </c>
      <c r="K62" s="63" t="s">
        <v>6051</v>
      </c>
      <c r="L62" s="23">
        <v>8.3</v>
      </c>
      <c r="M62" s="22" t="s">
        <v>3097</v>
      </c>
      <c r="N62" s="22" t="s">
        <v>3099</v>
      </c>
      <c r="O62" s="22" t="s">
        <v>45</v>
      </c>
      <c r="P62" s="22" t="s">
        <v>45</v>
      </c>
      <c r="Q62" s="22" t="s">
        <v>45</v>
      </c>
      <c r="R62" s="22" t="s">
        <v>45</v>
      </c>
      <c r="S62" s="22" t="s">
        <v>45</v>
      </c>
      <c r="T62" s="22" t="s">
        <v>2002</v>
      </c>
      <c r="U62" s="22" t="s">
        <v>45</v>
      </c>
      <c r="V62" s="22" t="s">
        <v>45</v>
      </c>
      <c r="W62" s="22" t="s">
        <v>6125</v>
      </c>
      <c r="X62" s="22" t="s">
        <v>3095</v>
      </c>
      <c r="Y62" s="22" t="s">
        <v>3095</v>
      </c>
      <c r="Z62" s="22" t="s">
        <v>3095</v>
      </c>
      <c r="AA62" s="22" t="s">
        <v>3095</v>
      </c>
      <c r="AB62" s="22" t="s">
        <v>3095</v>
      </c>
      <c r="AC62" s="22" t="s">
        <v>3095</v>
      </c>
      <c r="AD62" s="22" t="s">
        <v>3095</v>
      </c>
      <c r="AE62" s="22" t="s">
        <v>3095</v>
      </c>
      <c r="AF62" s="22" t="s">
        <v>3095</v>
      </c>
    </row>
    <row r="63" ht="45.0" customHeight="1">
      <c r="A63" s="55" t="s">
        <v>321</v>
      </c>
      <c r="B63" s="62" t="s">
        <v>3119</v>
      </c>
      <c r="C63" s="22" t="str">
        <f>IMAGE("https://raw.githubusercontent.com/ltdimages/images/refs/heads/main/ClothShoesPointedStuds_00.png")</f>
        <v/>
      </c>
      <c r="D63" s="22" t="str">
        <f>IMAGE("https://raw.githubusercontent.com/ltdimages/images/refs/heads/main/ClothShoesPointedStuds_01.png")</f>
        <v/>
      </c>
      <c r="E63" s="22" t="str">
        <f>IMAGE("https://raw.githubusercontent.com/ltdimages/images/refs/heads/main/ClothShoesPointedStuds_02.png")</f>
        <v/>
      </c>
      <c r="F63" s="22" t="str">
        <f>IMAGE("https://raw.githubusercontent.com/ltdimages/images/refs/heads/main/ClothShoesPointedStuds_03.png")</f>
        <v/>
      </c>
      <c r="G63" s="22" t="str">
        <f>IMAGE("https://raw.githubusercontent.com/ltdimages/images/refs/heads/main/ClothShoesPointedStuds_04.png")</f>
        <v/>
      </c>
      <c r="H63" s="22" t="str">
        <f>IMAGE("https://raw.githubusercontent.com/ltdimages/images/refs/heads/main/ClothShoesPointedStuds_05.png")</f>
        <v/>
      </c>
      <c r="I63" s="22" t="str">
        <f>IMAGE("https://raw.githubusercontent.com/ltdimages/images/refs/heads/main/ClothShoesPointedStuds_06.png")</f>
        <v/>
      </c>
      <c r="J63" s="22" t="str">
        <f>IMAGE("https://raw.githubusercontent.com/ltdimages/images/refs/heads/main/ClothShoesPointedStuds_07.png")</f>
        <v/>
      </c>
      <c r="K63" s="63" t="s">
        <v>6051</v>
      </c>
      <c r="L63" s="23">
        <v>11.0</v>
      </c>
      <c r="M63" s="22" t="s">
        <v>3097</v>
      </c>
      <c r="N63" s="22" t="s">
        <v>3099</v>
      </c>
      <c r="O63" s="22" t="s">
        <v>45</v>
      </c>
      <c r="P63" s="22" t="s">
        <v>45</v>
      </c>
      <c r="Q63" s="22" t="s">
        <v>45</v>
      </c>
      <c r="R63" s="22" t="s">
        <v>45</v>
      </c>
      <c r="S63" s="22" t="s">
        <v>45</v>
      </c>
      <c r="T63" s="22" t="s">
        <v>2002</v>
      </c>
      <c r="U63" s="22" t="s">
        <v>45</v>
      </c>
      <c r="V63" s="22" t="s">
        <v>45</v>
      </c>
      <c r="W63" s="22" t="s">
        <v>6126</v>
      </c>
      <c r="X63" s="22" t="s">
        <v>3095</v>
      </c>
      <c r="Y63" s="22" t="s">
        <v>3095</v>
      </c>
      <c r="Z63" s="22" t="s">
        <v>3095</v>
      </c>
      <c r="AA63" s="22" t="s">
        <v>3095</v>
      </c>
      <c r="AB63" s="22" t="s">
        <v>3095</v>
      </c>
      <c r="AC63" s="22" t="s">
        <v>3095</v>
      </c>
      <c r="AD63" s="22" t="s">
        <v>3095</v>
      </c>
      <c r="AE63" s="22" t="s">
        <v>3095</v>
      </c>
      <c r="AF63" s="22" t="s">
        <v>3095</v>
      </c>
    </row>
    <row r="64" ht="45.0" customHeight="1">
      <c r="A64" s="55" t="s">
        <v>325</v>
      </c>
      <c r="B64" s="62" t="s">
        <v>3194</v>
      </c>
      <c r="C64" s="22" t="str">
        <f>IMAGE("https://raw.githubusercontent.com/ltdimages/images/refs/heads/main/ClothShoesMuleGatshin_00.png")</f>
        <v/>
      </c>
      <c r="D64" s="22" t="str">
        <f>IMAGE("https://raw.githubusercontent.com/ltdimages/images/refs/heads/main/ClothShoesMuleGatshin_01.png")</f>
        <v/>
      </c>
      <c r="E64" s="22" t="str">
        <f>IMAGE("https://raw.githubusercontent.com/ltdimages/images/refs/heads/main/ClothShoesMuleGatshin_02.png")</f>
        <v/>
      </c>
      <c r="F64" s="22" t="str">
        <f>IMAGE("https://raw.githubusercontent.com/ltdimages/images/refs/heads/main/ClothShoesMuleGatshin_03.png")</f>
        <v/>
      </c>
      <c r="G64" s="22" t="str">
        <f>IMAGE("https://raw.githubusercontent.com/ltdimages/images/refs/heads/main/ClothShoesMuleGatshin_04.png")</f>
        <v/>
      </c>
      <c r="H64" s="22" t="str">
        <f>IMAGE("https://raw.githubusercontent.com/ltdimages/images/refs/heads/main/ClothShoesMuleGatshin_05.png")</f>
        <v/>
      </c>
      <c r="I64" s="22" t="s">
        <v>3095</v>
      </c>
      <c r="J64" s="22" t="s">
        <v>3095</v>
      </c>
      <c r="K64" s="63" t="s">
        <v>6051</v>
      </c>
      <c r="L64" s="23">
        <v>12.0</v>
      </c>
      <c r="M64" s="22" t="s">
        <v>3097</v>
      </c>
      <c r="N64" s="22" t="s">
        <v>3099</v>
      </c>
      <c r="O64" s="22" t="s">
        <v>45</v>
      </c>
      <c r="P64" s="22" t="s">
        <v>45</v>
      </c>
      <c r="Q64" s="22" t="s">
        <v>45</v>
      </c>
      <c r="R64" s="22" t="s">
        <v>45</v>
      </c>
      <c r="S64" s="22" t="s">
        <v>45</v>
      </c>
      <c r="T64" s="22" t="s">
        <v>2002</v>
      </c>
      <c r="U64" s="22" t="s">
        <v>45</v>
      </c>
      <c r="V64" s="22" t="s">
        <v>45</v>
      </c>
      <c r="W64" s="22" t="s">
        <v>6127</v>
      </c>
      <c r="X64" s="22" t="s">
        <v>3095</v>
      </c>
      <c r="Y64" s="22" t="s">
        <v>3095</v>
      </c>
      <c r="Z64" s="22" t="s">
        <v>3095</v>
      </c>
      <c r="AA64" s="22" t="s">
        <v>3095</v>
      </c>
      <c r="AB64" s="22" t="s">
        <v>3095</v>
      </c>
      <c r="AC64" s="22" t="s">
        <v>3095</v>
      </c>
      <c r="AD64" s="22" t="s">
        <v>3095</v>
      </c>
      <c r="AE64" s="22" t="s">
        <v>3095</v>
      </c>
      <c r="AF64" s="22" t="s">
        <v>3095</v>
      </c>
    </row>
    <row r="65" ht="45.0" customHeight="1">
      <c r="A65" s="55" t="s">
        <v>329</v>
      </c>
      <c r="B65" s="62" t="s">
        <v>3896</v>
      </c>
      <c r="C65" s="22" t="str">
        <f>IMAGE("https://raw.githubusercontent.com/ltdimages/images/refs/heads/main/ClothShoesStandardMarine_00.png")</f>
        <v/>
      </c>
      <c r="D65" s="22" t="str">
        <f>IMAGE("https://raw.githubusercontent.com/ltdimages/images/refs/heads/main/ClothShoesStandardMarine_01.png")</f>
        <v/>
      </c>
      <c r="E65" s="22" t="str">
        <f>IMAGE("https://raw.githubusercontent.com/ltdimages/images/refs/heads/main/ClothShoesStandardMarine_02.png")</f>
        <v/>
      </c>
      <c r="F65" s="22" t="str">
        <f>IMAGE("https://raw.githubusercontent.com/ltdimages/images/refs/heads/main/ClothShoesStandardMarine_03.png")</f>
        <v/>
      </c>
      <c r="G65" s="22" t="str">
        <f>IMAGE("https://raw.githubusercontent.com/ltdimages/images/refs/heads/main/ClothShoesStandardMarine_04.png")</f>
        <v/>
      </c>
      <c r="H65" s="22" t="str">
        <f>IMAGE("https://raw.githubusercontent.com/ltdimages/images/refs/heads/main/ClothShoesStandardMarine_05.png")</f>
        <v/>
      </c>
      <c r="I65" s="22" t="str">
        <f>IMAGE("https://raw.githubusercontent.com/ltdimages/images/refs/heads/main/ClothShoesStandardMarine_06.png")</f>
        <v/>
      </c>
      <c r="J65" s="22" t="str">
        <f>IMAGE("https://raw.githubusercontent.com/ltdimages/images/refs/heads/main/ClothShoesStandardMarine_07.png")</f>
        <v/>
      </c>
      <c r="K65" s="63" t="s">
        <v>6051</v>
      </c>
      <c r="L65" s="23">
        <v>8.0</v>
      </c>
      <c r="M65" s="22" t="s">
        <v>3097</v>
      </c>
      <c r="N65" s="22" t="s">
        <v>3123</v>
      </c>
      <c r="O65" s="22" t="s">
        <v>45</v>
      </c>
      <c r="P65" s="22" t="s">
        <v>45</v>
      </c>
      <c r="Q65" s="22" t="s">
        <v>45</v>
      </c>
      <c r="R65" s="22" t="s">
        <v>45</v>
      </c>
      <c r="S65" s="22" t="s">
        <v>45</v>
      </c>
      <c r="T65" s="22" t="s">
        <v>2002</v>
      </c>
      <c r="U65" s="22" t="s">
        <v>45</v>
      </c>
      <c r="V65" s="22" t="s">
        <v>45</v>
      </c>
      <c r="W65" s="22" t="s">
        <v>6128</v>
      </c>
      <c r="X65" s="22" t="s">
        <v>3095</v>
      </c>
      <c r="Y65" s="22" t="s">
        <v>3095</v>
      </c>
      <c r="Z65" s="22" t="s">
        <v>3095</v>
      </c>
      <c r="AA65" s="22" t="s">
        <v>3095</v>
      </c>
      <c r="AB65" s="22" t="s">
        <v>3095</v>
      </c>
      <c r="AC65" s="22" t="s">
        <v>3095</v>
      </c>
      <c r="AD65" s="22" t="s">
        <v>3095</v>
      </c>
      <c r="AE65" s="22" t="s">
        <v>3095</v>
      </c>
      <c r="AF65" s="22" t="s">
        <v>3095</v>
      </c>
    </row>
    <row r="66" ht="45.0" customHeight="1">
      <c r="A66" s="55" t="s">
        <v>333</v>
      </c>
      <c r="B66" s="62" t="s">
        <v>3908</v>
      </c>
      <c r="C66" s="22" t="str">
        <f>IMAGE("https://raw.githubusercontent.com/ltdimages/images/refs/heads/main/ClothShoesBootsLongWestern_00.png")</f>
        <v/>
      </c>
      <c r="D66" s="22" t="str">
        <f>IMAGE("https://raw.githubusercontent.com/ltdimages/images/refs/heads/main/ClothShoesBootsLongWestern_01.png")</f>
        <v/>
      </c>
      <c r="E66" s="22" t="str">
        <f>IMAGE("https://raw.githubusercontent.com/ltdimages/images/refs/heads/main/ClothShoesBootsLongWestern_02.png")</f>
        <v/>
      </c>
      <c r="F66" s="22" t="str">
        <f>IMAGE("https://raw.githubusercontent.com/ltdimages/images/refs/heads/main/ClothShoesBootsLongWestern_03.png")</f>
        <v/>
      </c>
      <c r="G66" s="22" t="str">
        <f>IMAGE("https://raw.githubusercontent.com/ltdimages/images/refs/heads/main/ClothShoesBootsLongWestern_04.png")</f>
        <v/>
      </c>
      <c r="H66" s="22" t="str">
        <f>IMAGE("https://raw.githubusercontent.com/ltdimages/images/refs/heads/main/ClothShoesBootsLongWestern_05.png")</f>
        <v/>
      </c>
      <c r="I66" s="22" t="s">
        <v>3095</v>
      </c>
      <c r="J66" s="22" t="s">
        <v>3095</v>
      </c>
      <c r="K66" s="63" t="s">
        <v>6051</v>
      </c>
      <c r="L66" s="23">
        <v>9.1</v>
      </c>
      <c r="M66" s="22" t="s">
        <v>3097</v>
      </c>
      <c r="N66" s="22" t="s">
        <v>3099</v>
      </c>
      <c r="O66" s="22" t="s">
        <v>45</v>
      </c>
      <c r="P66" s="22" t="s">
        <v>45</v>
      </c>
      <c r="Q66" s="22" t="s">
        <v>45</v>
      </c>
      <c r="R66" s="22" t="s">
        <v>45</v>
      </c>
      <c r="S66" s="22" t="s">
        <v>45</v>
      </c>
      <c r="T66" s="22" t="s">
        <v>2002</v>
      </c>
      <c r="U66" s="22" t="s">
        <v>45</v>
      </c>
      <c r="V66" s="22" t="s">
        <v>45</v>
      </c>
      <c r="W66" s="22" t="s">
        <v>6129</v>
      </c>
      <c r="X66" s="22" t="s">
        <v>3095</v>
      </c>
      <c r="Y66" s="22" t="s">
        <v>3095</v>
      </c>
      <c r="Z66" s="22" t="s">
        <v>3095</v>
      </c>
      <c r="AA66" s="22" t="s">
        <v>3095</v>
      </c>
      <c r="AB66" s="22" t="s">
        <v>3095</v>
      </c>
      <c r="AC66" s="22" t="s">
        <v>3095</v>
      </c>
      <c r="AD66" s="22" t="s">
        <v>3095</v>
      </c>
      <c r="AE66" s="22" t="s">
        <v>3095</v>
      </c>
      <c r="AF66" s="22" t="s">
        <v>3095</v>
      </c>
    </row>
    <row r="67" ht="45.0" customHeight="1">
      <c r="A67" s="55" t="s">
        <v>337</v>
      </c>
      <c r="B67" s="62" t="s">
        <v>6130</v>
      </c>
      <c r="C67" s="22" t="str">
        <f>IMAGE("https://raw.githubusercontent.com/ltdimages/images/refs/heads/main/ClothShoesPointedWingTip_00.png")</f>
        <v/>
      </c>
      <c r="D67" s="22" t="str">
        <f>IMAGE("https://raw.githubusercontent.com/ltdimages/images/refs/heads/main/ClothShoesPointedWingTip_01.png")</f>
        <v/>
      </c>
      <c r="E67" s="22" t="str">
        <f>IMAGE("https://raw.githubusercontent.com/ltdimages/images/refs/heads/main/ClothShoesPointedWingTip_02.png")</f>
        <v/>
      </c>
      <c r="F67" s="22" t="str">
        <f>IMAGE("https://raw.githubusercontent.com/ltdimages/images/refs/heads/main/ClothShoesPointedWingTip_03.png")</f>
        <v/>
      </c>
      <c r="G67" s="22" t="s">
        <v>3095</v>
      </c>
      <c r="H67" s="22" t="s">
        <v>3095</v>
      </c>
      <c r="I67" s="22" t="s">
        <v>3095</v>
      </c>
      <c r="J67" s="22" t="s">
        <v>3095</v>
      </c>
      <c r="K67" s="63" t="s">
        <v>6051</v>
      </c>
      <c r="L67" s="23">
        <v>11.0</v>
      </c>
      <c r="M67" s="22" t="s">
        <v>3097</v>
      </c>
      <c r="N67" s="22" t="s">
        <v>3099</v>
      </c>
      <c r="O67" s="22" t="s">
        <v>45</v>
      </c>
      <c r="P67" s="22" t="s">
        <v>45</v>
      </c>
      <c r="Q67" s="22" t="s">
        <v>45</v>
      </c>
      <c r="R67" s="22" t="s">
        <v>45</v>
      </c>
      <c r="S67" s="22" t="s">
        <v>45</v>
      </c>
      <c r="T67" s="22" t="s">
        <v>2002</v>
      </c>
      <c r="U67" s="22" t="s">
        <v>45</v>
      </c>
      <c r="V67" s="22" t="s">
        <v>45</v>
      </c>
      <c r="W67" s="22" t="s">
        <v>6131</v>
      </c>
      <c r="X67" s="22" t="s">
        <v>3095</v>
      </c>
      <c r="Y67" s="22" t="s">
        <v>3095</v>
      </c>
      <c r="Z67" s="22" t="s">
        <v>3095</v>
      </c>
      <c r="AA67" s="22" t="s">
        <v>3095</v>
      </c>
      <c r="AB67" s="22" t="s">
        <v>3095</v>
      </c>
      <c r="AC67" s="22" t="s">
        <v>3095</v>
      </c>
      <c r="AD67" s="22" t="s">
        <v>3095</v>
      </c>
      <c r="AE67" s="22" t="s">
        <v>3095</v>
      </c>
      <c r="AF67" s="22" t="s">
        <v>3095</v>
      </c>
    </row>
    <row r="68" ht="45.0" customHeight="1">
      <c r="A68" s="55" t="s">
        <v>341</v>
      </c>
      <c r="B68" s="62" t="s">
        <v>4716</v>
      </c>
      <c r="C68" s="22" t="str">
        <f>IMAGE("https://raw.githubusercontent.com/ltdimages/images/refs/heads/main/ClothShoesPointedWooden_00.png")</f>
        <v/>
      </c>
      <c r="D68" s="22" t="str">
        <f>IMAGE("https://raw.githubusercontent.com/ltdimages/images/refs/heads/main/ClothShoesPointedWooden_01.png")</f>
        <v/>
      </c>
      <c r="E68" s="22" t="str">
        <f>IMAGE("https://raw.githubusercontent.com/ltdimages/images/refs/heads/main/ClothShoesPointedWooden_02.png")</f>
        <v/>
      </c>
      <c r="F68" s="22" t="str">
        <f>IMAGE("https://raw.githubusercontent.com/ltdimages/images/refs/heads/main/ClothShoesPointedWooden_03.png")</f>
        <v/>
      </c>
      <c r="G68" s="22" t="str">
        <f>IMAGE("https://raw.githubusercontent.com/ltdimages/images/refs/heads/main/ClothShoesPointedWooden_04.png")</f>
        <v/>
      </c>
      <c r="H68" s="22" t="str">
        <f>IMAGE("https://raw.githubusercontent.com/ltdimages/images/refs/heads/main/ClothShoesPointedWooden_05.png")</f>
        <v/>
      </c>
      <c r="I68" s="22" t="s">
        <v>3095</v>
      </c>
      <c r="J68" s="22" t="s">
        <v>3095</v>
      </c>
      <c r="K68" s="63" t="s">
        <v>6051</v>
      </c>
      <c r="L68" s="23">
        <v>9.0</v>
      </c>
      <c r="M68" s="22" t="s">
        <v>3097</v>
      </c>
      <c r="N68" s="22" t="s">
        <v>3099</v>
      </c>
      <c r="O68" s="22" t="s">
        <v>45</v>
      </c>
      <c r="P68" s="22" t="s">
        <v>45</v>
      </c>
      <c r="Q68" s="22" t="s">
        <v>45</v>
      </c>
      <c r="R68" s="22" t="s">
        <v>45</v>
      </c>
      <c r="S68" s="22" t="s">
        <v>45</v>
      </c>
      <c r="T68" s="22" t="s">
        <v>2002</v>
      </c>
      <c r="U68" s="22" t="s">
        <v>45</v>
      </c>
      <c r="V68" s="22" t="s">
        <v>45</v>
      </c>
      <c r="W68" s="22" t="s">
        <v>6132</v>
      </c>
      <c r="X68" s="22" t="s">
        <v>3095</v>
      </c>
      <c r="Y68" s="22" t="s">
        <v>3095</v>
      </c>
      <c r="Z68" s="22" t="s">
        <v>3095</v>
      </c>
      <c r="AA68" s="22" t="s">
        <v>3095</v>
      </c>
      <c r="AB68" s="22" t="s">
        <v>3095</v>
      </c>
      <c r="AC68" s="22" t="s">
        <v>3095</v>
      </c>
      <c r="AD68" s="22" t="s">
        <v>3095</v>
      </c>
      <c r="AE68" s="22" t="s">
        <v>3095</v>
      </c>
      <c r="AF68" s="22" t="s">
        <v>3095</v>
      </c>
    </row>
    <row r="69" ht="45.0" customHeight="1">
      <c r="A69" s="55" t="s">
        <v>345</v>
      </c>
      <c r="B69" s="62" t="s">
        <v>3719</v>
      </c>
      <c r="C69" s="22" t="str">
        <f>IMAGE("https://raw.githubusercontent.com/ltdimages/images/refs/heads/main/ClothShoesBootsLongWrestling_00.png")</f>
        <v/>
      </c>
      <c r="D69" s="22" t="str">
        <f>IMAGE("https://raw.githubusercontent.com/ltdimages/images/refs/heads/main/ClothShoesBootsLongWrestling_01.png")</f>
        <v/>
      </c>
      <c r="E69" s="22" t="str">
        <f>IMAGE("https://raw.githubusercontent.com/ltdimages/images/refs/heads/main/ClothShoesBootsLongWrestling_02.png")</f>
        <v/>
      </c>
      <c r="F69" s="22" t="str">
        <f>IMAGE("https://raw.githubusercontent.com/ltdimages/images/refs/heads/main/ClothShoesBootsLongWrestling_03.png")</f>
        <v/>
      </c>
      <c r="G69" s="22" t="str">
        <f>IMAGE("https://raw.githubusercontent.com/ltdimages/images/refs/heads/main/ClothShoesBootsLongWrestling_04.png")</f>
        <v/>
      </c>
      <c r="H69" s="22" t="str">
        <f>IMAGE("https://raw.githubusercontent.com/ltdimages/images/refs/heads/main/ClothShoesBootsLongWrestling_05.png")</f>
        <v/>
      </c>
      <c r="I69" s="22" t="str">
        <f>IMAGE("https://raw.githubusercontent.com/ltdimages/images/refs/heads/main/ClothShoesBootsLongWrestling_06.png")</f>
        <v/>
      </c>
      <c r="J69" s="22" t="str">
        <f>IMAGE("https://raw.githubusercontent.com/ltdimages/images/refs/heads/main/ClothShoesBootsLongWrestling_07.png")</f>
        <v/>
      </c>
      <c r="K69" s="63" t="s">
        <v>6051</v>
      </c>
      <c r="L69" s="23">
        <v>9.1</v>
      </c>
      <c r="M69" s="22" t="s">
        <v>3097</v>
      </c>
      <c r="N69" s="22" t="s">
        <v>3099</v>
      </c>
      <c r="O69" s="22" t="s">
        <v>45</v>
      </c>
      <c r="P69" s="22" t="s">
        <v>45</v>
      </c>
      <c r="Q69" s="22" t="s">
        <v>45</v>
      </c>
      <c r="R69" s="22" t="s">
        <v>45</v>
      </c>
      <c r="S69" s="22" t="s">
        <v>45</v>
      </c>
      <c r="T69" s="22" t="s">
        <v>2002</v>
      </c>
      <c r="U69" s="22" t="s">
        <v>45</v>
      </c>
      <c r="V69" s="22" t="s">
        <v>45</v>
      </c>
      <c r="W69" s="22" t="s">
        <v>6133</v>
      </c>
      <c r="X69" s="22" t="s">
        <v>3095</v>
      </c>
      <c r="Y69" s="22" t="s">
        <v>3095</v>
      </c>
      <c r="Z69" s="22" t="s">
        <v>3095</v>
      </c>
      <c r="AA69" s="22" t="s">
        <v>3095</v>
      </c>
      <c r="AB69" s="22" t="s">
        <v>3095</v>
      </c>
      <c r="AC69" s="22" t="s">
        <v>3095</v>
      </c>
      <c r="AD69" s="22" t="s">
        <v>3095</v>
      </c>
      <c r="AE69" s="22" t="s">
        <v>3095</v>
      </c>
      <c r="AF69" s="22" t="s">
        <v>3095</v>
      </c>
    </row>
    <row r="70" ht="45.0" customHeight="1">
      <c r="A70" s="55" t="s">
        <v>349</v>
      </c>
      <c r="B70" s="62" t="s">
        <v>4257</v>
      </c>
      <c r="C70" s="22" t="str">
        <f>IMAGE("https://raw.githubusercontent.com/ltdimages/images/refs/heads/main/ClothShoesSandalBallet_00.png")</f>
        <v/>
      </c>
      <c r="D70" s="22" t="str">
        <f>IMAGE("https://raw.githubusercontent.com/ltdimages/images/refs/heads/main/ClothShoesSandalBallet_01.png")</f>
        <v/>
      </c>
      <c r="E70" s="22" t="str">
        <f>IMAGE("https://raw.githubusercontent.com/ltdimages/images/refs/heads/main/ClothShoesSandalBallet_02.png")</f>
        <v/>
      </c>
      <c r="F70" s="22" t="str">
        <f>IMAGE("https://raw.githubusercontent.com/ltdimages/images/refs/heads/main/ClothShoesSandalBallet_03.png")</f>
        <v/>
      </c>
      <c r="G70" s="22" t="str">
        <f>IMAGE("https://raw.githubusercontent.com/ltdimages/images/refs/heads/main/ClothShoesSandalBallet_04.png")</f>
        <v/>
      </c>
      <c r="H70" s="22" t="str">
        <f>IMAGE("https://raw.githubusercontent.com/ltdimages/images/refs/heads/main/ClothShoesSandalBallet_05.png")</f>
        <v/>
      </c>
      <c r="I70" s="22" t="str">
        <f>IMAGE("https://raw.githubusercontent.com/ltdimages/images/refs/heads/main/ClothShoesSandalBallet_06.png")</f>
        <v/>
      </c>
      <c r="J70" s="22" t="str">
        <f>IMAGE("https://raw.githubusercontent.com/ltdimages/images/refs/heads/main/ClothShoesSandalBallet_07.png")</f>
        <v/>
      </c>
      <c r="K70" s="63" t="s">
        <v>6051</v>
      </c>
      <c r="L70" s="23">
        <v>8.8</v>
      </c>
      <c r="M70" s="22" t="s">
        <v>4231</v>
      </c>
      <c r="N70" s="22" t="s">
        <v>3099</v>
      </c>
      <c r="O70" s="22" t="s">
        <v>45</v>
      </c>
      <c r="P70" s="22" t="s">
        <v>45</v>
      </c>
      <c r="Q70" s="22" t="s">
        <v>45</v>
      </c>
      <c r="R70" s="22" t="s">
        <v>45</v>
      </c>
      <c r="S70" s="22" t="s">
        <v>45</v>
      </c>
      <c r="T70" s="22" t="s">
        <v>2002</v>
      </c>
      <c r="U70" s="22" t="s">
        <v>45</v>
      </c>
      <c r="V70" s="22" t="s">
        <v>45</v>
      </c>
      <c r="W70" s="22" t="s">
        <v>6134</v>
      </c>
      <c r="X70" s="22" t="s">
        <v>3095</v>
      </c>
      <c r="Y70" s="22" t="s">
        <v>3095</v>
      </c>
      <c r="Z70" s="22" t="s">
        <v>3095</v>
      </c>
      <c r="AA70" s="22" t="s">
        <v>3095</v>
      </c>
      <c r="AB70" s="22" t="s">
        <v>3095</v>
      </c>
      <c r="AC70" s="22" t="s">
        <v>3095</v>
      </c>
      <c r="AD70" s="22" t="s">
        <v>3095</v>
      </c>
      <c r="AE70" s="22" t="s">
        <v>3095</v>
      </c>
      <c r="AF70" s="22" t="s">
        <v>3095</v>
      </c>
    </row>
    <row r="71" ht="45.0" customHeight="1">
      <c r="A71" s="55" t="s">
        <v>354</v>
      </c>
      <c r="B71" s="62" t="s">
        <v>4251</v>
      </c>
      <c r="C71" s="22" t="str">
        <f>IMAGE("https://raw.githubusercontent.com/ltdimages/images/refs/heads/main/ClothShoesPumpsSimple_00.png")</f>
        <v/>
      </c>
      <c r="D71" s="22" t="str">
        <f>IMAGE("https://raw.githubusercontent.com/ltdimages/images/refs/heads/main/ClothShoesPumpsSimple_01.png")</f>
        <v/>
      </c>
      <c r="E71" s="22" t="str">
        <f>IMAGE("https://raw.githubusercontent.com/ltdimages/images/refs/heads/main/ClothShoesPumpsSimple_02.png")</f>
        <v/>
      </c>
      <c r="F71" s="22" t="str">
        <f>IMAGE("https://raw.githubusercontent.com/ltdimages/images/refs/heads/main/ClothShoesPumpsSimple_03.png")</f>
        <v/>
      </c>
      <c r="G71" s="22" t="str">
        <f>IMAGE("https://raw.githubusercontent.com/ltdimages/images/refs/heads/main/ClothShoesPumpsSimple_04.png")</f>
        <v/>
      </c>
      <c r="H71" s="22" t="str">
        <f>IMAGE("https://raw.githubusercontent.com/ltdimages/images/refs/heads/main/ClothShoesPumpsSimple_05.png")</f>
        <v/>
      </c>
      <c r="I71" s="22" t="str">
        <f>IMAGE("https://raw.githubusercontent.com/ltdimages/images/refs/heads/main/ClothShoesPumpsSimple_06.png")</f>
        <v/>
      </c>
      <c r="J71" s="22" t="str">
        <f>IMAGE("https://raw.githubusercontent.com/ltdimages/images/refs/heads/main/ClothShoesPumpsSimple_07.png")</f>
        <v/>
      </c>
      <c r="K71" s="63" t="s">
        <v>6051</v>
      </c>
      <c r="L71" s="23">
        <v>7.0</v>
      </c>
      <c r="M71" s="22" t="s">
        <v>4231</v>
      </c>
      <c r="N71" s="22" t="s">
        <v>3099</v>
      </c>
      <c r="O71" s="22" t="s">
        <v>45</v>
      </c>
      <c r="P71" s="22" t="s">
        <v>45</v>
      </c>
      <c r="Q71" s="22" t="s">
        <v>45</v>
      </c>
      <c r="R71" s="22" t="s">
        <v>45</v>
      </c>
      <c r="S71" s="22" t="s">
        <v>45</v>
      </c>
      <c r="T71" s="22" t="s">
        <v>2002</v>
      </c>
      <c r="U71" s="22" t="s">
        <v>45</v>
      </c>
      <c r="V71" s="22" t="s">
        <v>45</v>
      </c>
      <c r="W71" s="22" t="s">
        <v>6135</v>
      </c>
      <c r="X71" s="22" t="s">
        <v>3095</v>
      </c>
      <c r="Y71" s="22" t="s">
        <v>3095</v>
      </c>
      <c r="Z71" s="22" t="s">
        <v>3095</v>
      </c>
      <c r="AA71" s="22" t="s">
        <v>3095</v>
      </c>
      <c r="AB71" s="22" t="s">
        <v>3095</v>
      </c>
      <c r="AC71" s="22" t="s">
        <v>3095</v>
      </c>
      <c r="AD71" s="22" t="s">
        <v>3095</v>
      </c>
      <c r="AE71" s="22" t="s">
        <v>3095</v>
      </c>
      <c r="AF71" s="22" t="s">
        <v>3095</v>
      </c>
    </row>
    <row r="72" ht="45.0" customHeight="1">
      <c r="A72" s="55" t="s">
        <v>358</v>
      </c>
      <c r="B72" s="62" t="s">
        <v>4644</v>
      </c>
      <c r="C72" s="22" t="str">
        <f>IMAGE("https://raw.githubusercontent.com/ltdimages/images/refs/heads/main/ClothShoesSandalBijoux_00.png")</f>
        <v/>
      </c>
      <c r="D72" s="22" t="str">
        <f>IMAGE("https://raw.githubusercontent.com/ltdimages/images/refs/heads/main/ClothShoesSandalBijoux_01.png")</f>
        <v/>
      </c>
      <c r="E72" s="22" t="str">
        <f>IMAGE("https://raw.githubusercontent.com/ltdimages/images/refs/heads/main/ClothShoesSandalBijoux_02.png")</f>
        <v/>
      </c>
      <c r="F72" s="22" t="str">
        <f>IMAGE("https://raw.githubusercontent.com/ltdimages/images/refs/heads/main/ClothShoesSandalBijoux_03.png")</f>
        <v/>
      </c>
      <c r="G72" s="22" t="s">
        <v>3095</v>
      </c>
      <c r="H72" s="22" t="s">
        <v>3095</v>
      </c>
      <c r="I72" s="22" t="s">
        <v>3095</v>
      </c>
      <c r="J72" s="22" t="s">
        <v>3095</v>
      </c>
      <c r="K72" s="63" t="s">
        <v>6051</v>
      </c>
      <c r="L72" s="23">
        <v>6.1</v>
      </c>
      <c r="M72" s="22" t="s">
        <v>4231</v>
      </c>
      <c r="N72" s="22" t="s">
        <v>3123</v>
      </c>
      <c r="O72" s="22" t="s">
        <v>45</v>
      </c>
      <c r="P72" s="22" t="s">
        <v>45</v>
      </c>
      <c r="Q72" s="22" t="s">
        <v>45</v>
      </c>
      <c r="R72" s="22" t="s">
        <v>45</v>
      </c>
      <c r="S72" s="22" t="s">
        <v>45</v>
      </c>
      <c r="T72" s="22" t="s">
        <v>2002</v>
      </c>
      <c r="U72" s="22" t="s">
        <v>45</v>
      </c>
      <c r="V72" s="22" t="s">
        <v>45</v>
      </c>
      <c r="W72" s="22" t="s">
        <v>6136</v>
      </c>
      <c r="X72" s="22" t="s">
        <v>3095</v>
      </c>
      <c r="Y72" s="22" t="s">
        <v>3095</v>
      </c>
      <c r="Z72" s="22" t="s">
        <v>3095</v>
      </c>
      <c r="AA72" s="22" t="s">
        <v>3095</v>
      </c>
      <c r="AB72" s="22" t="s">
        <v>3095</v>
      </c>
      <c r="AC72" s="22" t="s">
        <v>3095</v>
      </c>
      <c r="AD72" s="22" t="s">
        <v>3095</v>
      </c>
      <c r="AE72" s="22" t="s">
        <v>3095</v>
      </c>
      <c r="AF72" s="22" t="s">
        <v>3095</v>
      </c>
    </row>
    <row r="73" ht="45.0" customHeight="1">
      <c r="A73" s="55" t="s">
        <v>362</v>
      </c>
      <c r="B73" s="62" t="s">
        <v>4376</v>
      </c>
      <c r="C73" s="22" t="str">
        <f>IMAGE("https://raw.githubusercontent.com/ltdimages/images/refs/heads/main/ClothShoesBootsShortRibbon_00.png")</f>
        <v/>
      </c>
      <c r="D73" s="22" t="str">
        <f>IMAGE("https://raw.githubusercontent.com/ltdimages/images/refs/heads/main/ClothShoesBootsShortRibbon_01.png")</f>
        <v/>
      </c>
      <c r="E73" s="22" t="str">
        <f>IMAGE("https://raw.githubusercontent.com/ltdimages/images/refs/heads/main/ClothShoesBootsShortRibbon_02.png")</f>
        <v/>
      </c>
      <c r="F73" s="22" t="str">
        <f>IMAGE("https://raw.githubusercontent.com/ltdimages/images/refs/heads/main/ClothShoesBootsShortRibbon_03.png")</f>
        <v/>
      </c>
      <c r="G73" s="22" t="str">
        <f>IMAGE("https://raw.githubusercontent.com/ltdimages/images/refs/heads/main/ClothShoesBootsShortRibbon_04.png")</f>
        <v/>
      </c>
      <c r="H73" s="22" t="str">
        <f>IMAGE("https://raw.githubusercontent.com/ltdimages/images/refs/heads/main/ClothShoesBootsShortRibbon_05.png")</f>
        <v/>
      </c>
      <c r="I73" s="22" t="str">
        <f>IMAGE("https://raw.githubusercontent.com/ltdimages/images/refs/heads/main/ClothShoesBootsShortRibbon_06.png")</f>
        <v/>
      </c>
      <c r="J73" s="22" t="str">
        <f>IMAGE("https://raw.githubusercontent.com/ltdimages/images/refs/heads/main/ClothShoesBootsShortRibbon_07.png")</f>
        <v/>
      </c>
      <c r="K73" s="63" t="s">
        <v>6051</v>
      </c>
      <c r="L73" s="23">
        <v>7.6</v>
      </c>
      <c r="M73" s="22" t="s">
        <v>4231</v>
      </c>
      <c r="N73" s="22" t="s">
        <v>3114</v>
      </c>
      <c r="O73" s="22" t="s">
        <v>45</v>
      </c>
      <c r="P73" s="22" t="s">
        <v>45</v>
      </c>
      <c r="Q73" s="22" t="s">
        <v>45</v>
      </c>
      <c r="R73" s="22" t="s">
        <v>45</v>
      </c>
      <c r="S73" s="22" t="s">
        <v>45</v>
      </c>
      <c r="T73" s="22" t="s">
        <v>2002</v>
      </c>
      <c r="U73" s="22" t="s">
        <v>45</v>
      </c>
      <c r="V73" s="22" t="s">
        <v>45</v>
      </c>
      <c r="W73" s="22" t="s">
        <v>6137</v>
      </c>
      <c r="X73" s="22" t="s">
        <v>3095</v>
      </c>
      <c r="Y73" s="22" t="s">
        <v>3095</v>
      </c>
      <c r="Z73" s="22" t="s">
        <v>3095</v>
      </c>
      <c r="AA73" s="22" t="s">
        <v>3095</v>
      </c>
      <c r="AB73" s="22" t="s">
        <v>3095</v>
      </c>
      <c r="AC73" s="22" t="s">
        <v>3095</v>
      </c>
      <c r="AD73" s="22" t="s">
        <v>3095</v>
      </c>
      <c r="AE73" s="22" t="s">
        <v>3095</v>
      </c>
      <c r="AF73" s="22" t="s">
        <v>3095</v>
      </c>
    </row>
    <row r="74" ht="45.0" customHeight="1">
      <c r="A74" s="55" t="s">
        <v>367</v>
      </c>
      <c r="B74" s="62" t="s">
        <v>4297</v>
      </c>
      <c r="C74" s="22" t="str">
        <f>IMAGE("https://raw.githubusercontent.com/ltdimages/images/refs/heads/main/ClothShoesPumpsRibbon_00.png")</f>
        <v/>
      </c>
      <c r="D74" s="22" t="str">
        <f>IMAGE("https://raw.githubusercontent.com/ltdimages/images/refs/heads/main/ClothShoesPumpsRibbon_01.png")</f>
        <v/>
      </c>
      <c r="E74" s="22" t="str">
        <f>IMAGE("https://raw.githubusercontent.com/ltdimages/images/refs/heads/main/ClothShoesPumpsRibbon_02.png")</f>
        <v/>
      </c>
      <c r="F74" s="22" t="str">
        <f>IMAGE("https://raw.githubusercontent.com/ltdimages/images/refs/heads/main/ClothShoesPumpsRibbon_03.png")</f>
        <v/>
      </c>
      <c r="G74" s="22" t="str">
        <f>IMAGE("https://raw.githubusercontent.com/ltdimages/images/refs/heads/main/ClothShoesPumpsRibbon_04.png")</f>
        <v/>
      </c>
      <c r="H74" s="22" t="str">
        <f>IMAGE("https://raw.githubusercontent.com/ltdimages/images/refs/heads/main/ClothShoesPumpsRibbon_05.png")</f>
        <v/>
      </c>
      <c r="I74" s="22" t="s">
        <v>3095</v>
      </c>
      <c r="J74" s="22" t="s">
        <v>3095</v>
      </c>
      <c r="K74" s="63" t="s">
        <v>6051</v>
      </c>
      <c r="L74" s="23">
        <v>7.5</v>
      </c>
      <c r="M74" s="22" t="s">
        <v>4231</v>
      </c>
      <c r="N74" s="22" t="s">
        <v>3099</v>
      </c>
      <c r="O74" s="22" t="s">
        <v>45</v>
      </c>
      <c r="P74" s="22" t="s">
        <v>45</v>
      </c>
      <c r="Q74" s="22" t="s">
        <v>45</v>
      </c>
      <c r="R74" s="22" t="s">
        <v>45</v>
      </c>
      <c r="S74" s="22" t="s">
        <v>45</v>
      </c>
      <c r="T74" s="22" t="s">
        <v>2002</v>
      </c>
      <c r="U74" s="22" t="s">
        <v>45</v>
      </c>
      <c r="V74" s="22" t="s">
        <v>45</v>
      </c>
      <c r="W74" s="22" t="s">
        <v>6138</v>
      </c>
      <c r="X74" s="22" t="s">
        <v>3095</v>
      </c>
      <c r="Y74" s="22" t="s">
        <v>3095</v>
      </c>
      <c r="Z74" s="22" t="s">
        <v>3095</v>
      </c>
      <c r="AA74" s="22" t="s">
        <v>3095</v>
      </c>
      <c r="AB74" s="22" t="s">
        <v>3095</v>
      </c>
      <c r="AC74" s="22" t="s">
        <v>3095</v>
      </c>
      <c r="AD74" s="22" t="s">
        <v>3095</v>
      </c>
      <c r="AE74" s="22" t="s">
        <v>3095</v>
      </c>
      <c r="AF74" s="22" t="s">
        <v>3095</v>
      </c>
    </row>
    <row r="75" ht="45.0" customHeight="1">
      <c r="A75" s="55" t="s">
        <v>371</v>
      </c>
      <c r="B75" s="62" t="s">
        <v>4660</v>
      </c>
      <c r="C75" s="22" t="str">
        <f>IMAGE("https://raw.githubusercontent.com/ltdimages/images/refs/heads/main/ClothShoesSandalRibbon_00.png")</f>
        <v/>
      </c>
      <c r="D75" s="22" t="str">
        <f>IMAGE("https://raw.githubusercontent.com/ltdimages/images/refs/heads/main/ClothShoesSandalRibbon_01.png")</f>
        <v/>
      </c>
      <c r="E75" s="22" t="str">
        <f>IMAGE("https://raw.githubusercontent.com/ltdimages/images/refs/heads/main/ClothShoesSandalRibbon_02.png")</f>
        <v/>
      </c>
      <c r="F75" s="22" t="str">
        <f>IMAGE("https://raw.githubusercontent.com/ltdimages/images/refs/heads/main/ClothShoesSandalRibbon_03.png")</f>
        <v/>
      </c>
      <c r="G75" s="22" t="str">
        <f>IMAGE("https://raw.githubusercontent.com/ltdimages/images/refs/heads/main/ClothShoesSandalRibbon_04.png")</f>
        <v/>
      </c>
      <c r="H75" s="22" t="str">
        <f>IMAGE("https://raw.githubusercontent.com/ltdimages/images/refs/heads/main/ClothShoesSandalRibbon_05.png")</f>
        <v/>
      </c>
      <c r="I75" s="22" t="str">
        <f>IMAGE("https://raw.githubusercontent.com/ltdimages/images/refs/heads/main/ClothShoesSandalRibbon_06.png")</f>
        <v/>
      </c>
      <c r="J75" s="22" t="str">
        <f>IMAGE("https://raw.githubusercontent.com/ltdimages/images/refs/heads/main/ClothShoesSandalRibbon_07.png")</f>
        <v/>
      </c>
      <c r="K75" s="63" t="s">
        <v>6051</v>
      </c>
      <c r="L75" s="23">
        <v>6.1</v>
      </c>
      <c r="M75" s="22" t="s">
        <v>4231</v>
      </c>
      <c r="N75" s="22" t="s">
        <v>3123</v>
      </c>
      <c r="O75" s="22" t="s">
        <v>45</v>
      </c>
      <c r="P75" s="22" t="s">
        <v>45</v>
      </c>
      <c r="Q75" s="22" t="s">
        <v>45</v>
      </c>
      <c r="R75" s="22" t="s">
        <v>45</v>
      </c>
      <c r="S75" s="22" t="s">
        <v>45</v>
      </c>
      <c r="T75" s="22" t="s">
        <v>2002</v>
      </c>
      <c r="U75" s="22" t="s">
        <v>45</v>
      </c>
      <c r="V75" s="22" t="s">
        <v>45</v>
      </c>
      <c r="W75" s="22" t="s">
        <v>6139</v>
      </c>
      <c r="X75" s="22" t="s">
        <v>3095</v>
      </c>
      <c r="Y75" s="22" t="s">
        <v>3095</v>
      </c>
      <c r="Z75" s="22" t="s">
        <v>3095</v>
      </c>
      <c r="AA75" s="22" t="s">
        <v>3095</v>
      </c>
      <c r="AB75" s="22" t="s">
        <v>3095</v>
      </c>
      <c r="AC75" s="22" t="s">
        <v>3095</v>
      </c>
      <c r="AD75" s="22" t="s">
        <v>3095</v>
      </c>
      <c r="AE75" s="22" t="s">
        <v>3095</v>
      </c>
      <c r="AF75" s="22" t="s">
        <v>3095</v>
      </c>
    </row>
    <row r="76" ht="45.0" customHeight="1">
      <c r="A76" s="55" t="s">
        <v>375</v>
      </c>
      <c r="B76" s="62" t="s">
        <v>4530</v>
      </c>
      <c r="C76" s="22" t="str">
        <f>IMAGE("https://raw.githubusercontent.com/ltdimages/images/refs/heads/main/ClothShoesMuleRibbon_00.png")</f>
        <v/>
      </c>
      <c r="D76" s="22" t="str">
        <f>IMAGE("https://raw.githubusercontent.com/ltdimages/images/refs/heads/main/ClothShoesMuleRibbon_01.png")</f>
        <v/>
      </c>
      <c r="E76" s="22" t="str">
        <f>IMAGE("https://raw.githubusercontent.com/ltdimages/images/refs/heads/main/ClothShoesMuleRibbon_02.png")</f>
        <v/>
      </c>
      <c r="F76" s="22" t="str">
        <f>IMAGE("https://raw.githubusercontent.com/ltdimages/images/refs/heads/main/ClothShoesMuleRibbon_03.png")</f>
        <v/>
      </c>
      <c r="G76" s="22" t="str">
        <f>IMAGE("https://raw.githubusercontent.com/ltdimages/images/refs/heads/main/ClothShoesMuleRibbon_04.png")</f>
        <v/>
      </c>
      <c r="H76" s="22" t="str">
        <f>IMAGE("https://raw.githubusercontent.com/ltdimages/images/refs/heads/main/ClothShoesMuleRibbon_05.png")</f>
        <v/>
      </c>
      <c r="I76" s="22" t="str">
        <f>IMAGE("https://raw.githubusercontent.com/ltdimages/images/refs/heads/main/ClothShoesMuleRibbon_06.png")</f>
        <v/>
      </c>
      <c r="J76" s="22" t="str">
        <f>IMAGE("https://raw.githubusercontent.com/ltdimages/images/refs/heads/main/ClothShoesMuleRibbon_07.png")</f>
        <v/>
      </c>
      <c r="K76" s="63" t="s">
        <v>6051</v>
      </c>
      <c r="L76" s="23">
        <v>7.7</v>
      </c>
      <c r="M76" s="22" t="s">
        <v>4231</v>
      </c>
      <c r="N76" s="22" t="s">
        <v>3099</v>
      </c>
      <c r="O76" s="22" t="s">
        <v>45</v>
      </c>
      <c r="P76" s="22" t="s">
        <v>45</v>
      </c>
      <c r="Q76" s="22" t="s">
        <v>45</v>
      </c>
      <c r="R76" s="22" t="s">
        <v>45</v>
      </c>
      <c r="S76" s="22" t="s">
        <v>45</v>
      </c>
      <c r="T76" s="22" t="s">
        <v>2002</v>
      </c>
      <c r="U76" s="22" t="s">
        <v>45</v>
      </c>
      <c r="V76" s="22" t="s">
        <v>45</v>
      </c>
      <c r="W76" s="22" t="s">
        <v>6140</v>
      </c>
      <c r="X76" s="22" t="s">
        <v>3095</v>
      </c>
      <c r="Y76" s="22" t="s">
        <v>3095</v>
      </c>
      <c r="Z76" s="22" t="s">
        <v>3095</v>
      </c>
      <c r="AA76" s="22" t="s">
        <v>3095</v>
      </c>
      <c r="AB76" s="22" t="s">
        <v>3095</v>
      </c>
      <c r="AC76" s="22" t="s">
        <v>3095</v>
      </c>
      <c r="AD76" s="22" t="s">
        <v>3095</v>
      </c>
      <c r="AE76" s="22" t="s">
        <v>3095</v>
      </c>
      <c r="AF76" s="22" t="s">
        <v>3095</v>
      </c>
    </row>
    <row r="77" ht="45.0" customHeight="1">
      <c r="A77" s="55" t="s">
        <v>380</v>
      </c>
      <c r="B77" s="62" t="s">
        <v>4239</v>
      </c>
      <c r="C77" s="22" t="str">
        <f>IMAGE("https://raw.githubusercontent.com/ltdimages/images/refs/heads/main/ClothShoesSandalFlower_00.png")</f>
        <v/>
      </c>
      <c r="D77" s="22" t="str">
        <f>IMAGE("https://raw.githubusercontent.com/ltdimages/images/refs/heads/main/ClothShoesSandalFlower_01.png")</f>
        <v/>
      </c>
      <c r="E77" s="22" t="str">
        <f>IMAGE("https://raw.githubusercontent.com/ltdimages/images/refs/heads/main/ClothShoesSandalFlower_02.png")</f>
        <v/>
      </c>
      <c r="F77" s="22" t="str">
        <f>IMAGE("https://raw.githubusercontent.com/ltdimages/images/refs/heads/main/ClothShoesSandalFlower_03.png")</f>
        <v/>
      </c>
      <c r="G77" s="22" t="str">
        <f>IMAGE("https://raw.githubusercontent.com/ltdimages/images/refs/heads/main/ClothShoesSandalFlower_04.png")</f>
        <v/>
      </c>
      <c r="H77" s="22" t="str">
        <f>IMAGE("https://raw.githubusercontent.com/ltdimages/images/refs/heads/main/ClothShoesSandalFlower_05.png")</f>
        <v/>
      </c>
      <c r="I77" s="22" t="s">
        <v>3095</v>
      </c>
      <c r="J77" s="22" t="s">
        <v>3095</v>
      </c>
      <c r="K77" s="63" t="s">
        <v>6051</v>
      </c>
      <c r="L77" s="23">
        <v>6.0</v>
      </c>
      <c r="M77" s="22" t="s">
        <v>4231</v>
      </c>
      <c r="N77" s="22" t="s">
        <v>3123</v>
      </c>
      <c r="O77" s="22" t="s">
        <v>45</v>
      </c>
      <c r="P77" s="22" t="s">
        <v>45</v>
      </c>
      <c r="Q77" s="22" t="s">
        <v>45</v>
      </c>
      <c r="R77" s="22" t="s">
        <v>45</v>
      </c>
      <c r="S77" s="22" t="s">
        <v>45</v>
      </c>
      <c r="T77" s="22" t="s">
        <v>2002</v>
      </c>
      <c r="U77" s="22" t="s">
        <v>45</v>
      </c>
      <c r="V77" s="22" t="s">
        <v>45</v>
      </c>
      <c r="W77" s="22" t="s">
        <v>6141</v>
      </c>
      <c r="X77" s="22" t="s">
        <v>3095</v>
      </c>
      <c r="Y77" s="22" t="s">
        <v>3095</v>
      </c>
      <c r="Z77" s="22" t="s">
        <v>3095</v>
      </c>
      <c r="AA77" s="22" t="s">
        <v>3095</v>
      </c>
      <c r="AB77" s="22" t="s">
        <v>3095</v>
      </c>
      <c r="AC77" s="22" t="s">
        <v>3095</v>
      </c>
      <c r="AD77" s="22" t="s">
        <v>3095</v>
      </c>
      <c r="AE77" s="22" t="s">
        <v>3095</v>
      </c>
      <c r="AF77" s="22" t="s">
        <v>3095</v>
      </c>
    </row>
    <row r="78" ht="45.0" customHeight="1">
      <c r="A78" s="55" t="s">
        <v>384</v>
      </c>
      <c r="B78" s="62" t="s">
        <v>4310</v>
      </c>
      <c r="C78" s="22" t="str">
        <f>IMAGE("https://raw.githubusercontent.com/ltdimages/images/refs/heads/main/ClothShoesPumpsKkotshin_00.png")</f>
        <v/>
      </c>
      <c r="D78" s="22" t="str">
        <f>IMAGE("https://raw.githubusercontent.com/ltdimages/images/refs/heads/main/ClothShoesPumpsKkotshin_01.png")</f>
        <v/>
      </c>
      <c r="E78" s="22" t="str">
        <f>IMAGE("https://raw.githubusercontent.com/ltdimages/images/refs/heads/main/ClothShoesPumpsKkotshin_02.png")</f>
        <v/>
      </c>
      <c r="F78" s="22" t="str">
        <f>IMAGE("https://raw.githubusercontent.com/ltdimages/images/refs/heads/main/ClothShoesPumpsKkotshin_03.png")</f>
        <v/>
      </c>
      <c r="G78" s="22" t="str">
        <f>IMAGE("https://raw.githubusercontent.com/ltdimages/images/refs/heads/main/ClothShoesPumpsKkotshin_04.png")</f>
        <v/>
      </c>
      <c r="H78" s="22" t="str">
        <f>IMAGE("https://raw.githubusercontent.com/ltdimages/images/refs/heads/main/ClothShoesPumpsKkotshin_05.png")</f>
        <v/>
      </c>
      <c r="I78" s="22" t="str">
        <f>IMAGE("https://raw.githubusercontent.com/ltdimages/images/refs/heads/main/ClothShoesPumpsKkotshin_06.png")</f>
        <v/>
      </c>
      <c r="J78" s="22" t="str">
        <f>IMAGE("https://raw.githubusercontent.com/ltdimages/images/refs/heads/main/ClothShoesPumpsKkotshin_07.png")</f>
        <v/>
      </c>
      <c r="K78" s="63" t="s">
        <v>6051</v>
      </c>
      <c r="L78" s="23">
        <v>12.0</v>
      </c>
      <c r="M78" s="22" t="s">
        <v>4231</v>
      </c>
      <c r="N78" s="22" t="s">
        <v>3099</v>
      </c>
      <c r="O78" s="22" t="s">
        <v>45</v>
      </c>
      <c r="P78" s="22" t="s">
        <v>45</v>
      </c>
      <c r="Q78" s="22" t="s">
        <v>45</v>
      </c>
      <c r="R78" s="22" t="s">
        <v>45</v>
      </c>
      <c r="S78" s="22" t="s">
        <v>45</v>
      </c>
      <c r="T78" s="22" t="s">
        <v>2002</v>
      </c>
      <c r="U78" s="22" t="s">
        <v>45</v>
      </c>
      <c r="V78" s="22" t="s">
        <v>45</v>
      </c>
      <c r="W78" s="22" t="s">
        <v>6142</v>
      </c>
      <c r="X78" s="22" t="s">
        <v>3095</v>
      </c>
      <c r="Y78" s="22" t="s">
        <v>3095</v>
      </c>
      <c r="Z78" s="22" t="s">
        <v>3095</v>
      </c>
      <c r="AA78" s="22" t="s">
        <v>3095</v>
      </c>
      <c r="AB78" s="22" t="s">
        <v>3095</v>
      </c>
      <c r="AC78" s="22" t="s">
        <v>3095</v>
      </c>
      <c r="AD78" s="22" t="s">
        <v>3095</v>
      </c>
      <c r="AE78" s="22" t="s">
        <v>3095</v>
      </c>
      <c r="AF78" s="22" t="s">
        <v>3095</v>
      </c>
    </row>
    <row r="79" ht="45.0" customHeight="1">
      <c r="A79" s="55" t="s">
        <v>388</v>
      </c>
      <c r="B79" s="62" t="s">
        <v>4443</v>
      </c>
      <c r="C79" s="22" t="str">
        <f>IMAGE("https://raw.githubusercontent.com/ltdimages/images/refs/heads/main/ClothShoesPumpsLeopard_00.png")</f>
        <v/>
      </c>
      <c r="D79" s="22" t="str">
        <f>IMAGE("https://raw.githubusercontent.com/ltdimages/images/refs/heads/main/ClothShoesPumpsLeopard_01.png")</f>
        <v/>
      </c>
      <c r="E79" s="22" t="str">
        <f>IMAGE("https://raw.githubusercontent.com/ltdimages/images/refs/heads/main/ClothShoesPumpsLeopard_02.png")</f>
        <v/>
      </c>
      <c r="F79" s="22" t="s">
        <v>3095</v>
      </c>
      <c r="G79" s="22" t="s">
        <v>3095</v>
      </c>
      <c r="H79" s="22" t="s">
        <v>3095</v>
      </c>
      <c r="I79" s="22" t="s">
        <v>3095</v>
      </c>
      <c r="J79" s="22" t="s">
        <v>3095</v>
      </c>
      <c r="K79" s="63" t="s">
        <v>6051</v>
      </c>
      <c r="L79" s="23">
        <v>7.2</v>
      </c>
      <c r="M79" s="22" t="s">
        <v>4231</v>
      </c>
      <c r="N79" s="22" t="s">
        <v>3099</v>
      </c>
      <c r="O79" s="22" t="s">
        <v>45</v>
      </c>
      <c r="P79" s="22" t="s">
        <v>45</v>
      </c>
      <c r="Q79" s="22" t="s">
        <v>45</v>
      </c>
      <c r="R79" s="22" t="s">
        <v>45</v>
      </c>
      <c r="S79" s="22" t="s">
        <v>45</v>
      </c>
      <c r="T79" s="22" t="s">
        <v>2002</v>
      </c>
      <c r="U79" s="22" t="s">
        <v>45</v>
      </c>
      <c r="V79" s="22" t="s">
        <v>45</v>
      </c>
      <c r="W79" s="22" t="s">
        <v>6143</v>
      </c>
      <c r="X79" s="22" t="s">
        <v>3095</v>
      </c>
      <c r="Y79" s="22" t="s">
        <v>3095</v>
      </c>
      <c r="Z79" s="22" t="s">
        <v>3095</v>
      </c>
      <c r="AA79" s="22" t="s">
        <v>3095</v>
      </c>
      <c r="AB79" s="22" t="s">
        <v>3095</v>
      </c>
      <c r="AC79" s="22" t="s">
        <v>3095</v>
      </c>
      <c r="AD79" s="22" t="s">
        <v>3095</v>
      </c>
      <c r="AE79" s="22" t="s">
        <v>3095</v>
      </c>
      <c r="AF79" s="22" t="s">
        <v>3095</v>
      </c>
    </row>
    <row r="80" ht="45.0" customHeight="1">
      <c r="A80" s="55" t="s">
        <v>392</v>
      </c>
      <c r="B80" s="62" t="s">
        <v>4286</v>
      </c>
      <c r="C80" s="22" t="str">
        <f>IMAGE("https://raw.githubusercontent.com/ltdimages/images/refs/heads/main/ClothShoesPumpsPearls_00.png")</f>
        <v/>
      </c>
      <c r="D80" s="22" t="str">
        <f>IMAGE("https://raw.githubusercontent.com/ltdimages/images/refs/heads/main/ClothShoesPumpsPearls_01.png")</f>
        <v/>
      </c>
      <c r="E80" s="22" t="str">
        <f>IMAGE("https://raw.githubusercontent.com/ltdimages/images/refs/heads/main/ClothShoesPumpsPearls_02.png")</f>
        <v/>
      </c>
      <c r="F80" s="22" t="str">
        <f>IMAGE("https://raw.githubusercontent.com/ltdimages/images/refs/heads/main/ClothShoesPumpsPearls_03.png")</f>
        <v/>
      </c>
      <c r="G80" s="22" t="str">
        <f>IMAGE("https://raw.githubusercontent.com/ltdimages/images/refs/heads/main/ClothShoesPumpsPearls_04.png")</f>
        <v/>
      </c>
      <c r="H80" s="22" t="str">
        <f>IMAGE("https://raw.githubusercontent.com/ltdimages/images/refs/heads/main/ClothShoesPumpsPearls_05.png")</f>
        <v/>
      </c>
      <c r="I80" s="22" t="s">
        <v>3095</v>
      </c>
      <c r="J80" s="22" t="s">
        <v>3095</v>
      </c>
      <c r="K80" s="63" t="s">
        <v>6051</v>
      </c>
      <c r="L80" s="23">
        <v>7.1</v>
      </c>
      <c r="M80" s="22" t="s">
        <v>4231</v>
      </c>
      <c r="N80" s="22" t="s">
        <v>3099</v>
      </c>
      <c r="O80" s="22" t="s">
        <v>45</v>
      </c>
      <c r="P80" s="22" t="s">
        <v>45</v>
      </c>
      <c r="Q80" s="22" t="s">
        <v>45</v>
      </c>
      <c r="R80" s="22" t="s">
        <v>45</v>
      </c>
      <c r="S80" s="22" t="s">
        <v>45</v>
      </c>
      <c r="T80" s="22" t="s">
        <v>2002</v>
      </c>
      <c r="U80" s="22" t="s">
        <v>45</v>
      </c>
      <c r="V80" s="22" t="s">
        <v>45</v>
      </c>
      <c r="W80" s="22" t="s">
        <v>6144</v>
      </c>
      <c r="X80" s="22" t="s">
        <v>3095</v>
      </c>
      <c r="Y80" s="22" t="s">
        <v>3095</v>
      </c>
      <c r="Z80" s="22" t="s">
        <v>3095</v>
      </c>
      <c r="AA80" s="22" t="s">
        <v>3095</v>
      </c>
      <c r="AB80" s="22" t="s">
        <v>3095</v>
      </c>
      <c r="AC80" s="22" t="s">
        <v>3095</v>
      </c>
      <c r="AD80" s="22" t="s">
        <v>3095</v>
      </c>
      <c r="AE80" s="22" t="s">
        <v>3095</v>
      </c>
      <c r="AF80" s="22" t="s">
        <v>3095</v>
      </c>
    </row>
    <row r="81" ht="45.0" customHeight="1">
      <c r="A81" s="55" t="s">
        <v>396</v>
      </c>
      <c r="B81" s="62" t="s">
        <v>4568</v>
      </c>
      <c r="C81" s="22" t="str">
        <f>IMAGE("https://raw.githubusercontent.com/ltdimages/images/refs/heads/main/ClothShoesPumpsGlass_00.png")</f>
        <v/>
      </c>
      <c r="D81" s="22" t="str">
        <f>IMAGE("https://raw.githubusercontent.com/ltdimages/images/refs/heads/main/ClothShoesPumpsGlass_01.png")</f>
        <v/>
      </c>
      <c r="E81" s="22" t="str">
        <f>IMAGE("https://raw.githubusercontent.com/ltdimages/images/refs/heads/main/ClothShoesPumpsGlass_02.png")</f>
        <v/>
      </c>
      <c r="F81" s="22" t="str">
        <f>IMAGE("https://raw.githubusercontent.com/ltdimages/images/refs/heads/main/ClothShoesPumpsGlass_03.png")</f>
        <v/>
      </c>
      <c r="G81" s="22" t="str">
        <f>IMAGE("https://raw.githubusercontent.com/ltdimages/images/refs/heads/main/ClothShoesPumpsGlass_04.png")</f>
        <v/>
      </c>
      <c r="H81" s="22" t="str">
        <f>IMAGE("https://raw.githubusercontent.com/ltdimages/images/refs/heads/main/ClothShoesPumpsGlass_05.png")</f>
        <v/>
      </c>
      <c r="I81" s="22" t="str">
        <f>IMAGE("https://raw.githubusercontent.com/ltdimages/images/refs/heads/main/ClothShoesPumpsGlass_06.png")</f>
        <v/>
      </c>
      <c r="J81" s="22" t="str">
        <f>IMAGE("https://raw.githubusercontent.com/ltdimages/images/refs/heads/main/ClothShoesPumpsGlass_07.png")</f>
        <v/>
      </c>
      <c r="K81" s="63" t="s">
        <v>6051</v>
      </c>
      <c r="L81" s="23">
        <v>30.0</v>
      </c>
      <c r="M81" s="22" t="s">
        <v>4231</v>
      </c>
      <c r="N81" s="22" t="s">
        <v>3099</v>
      </c>
      <c r="O81" s="22" t="s">
        <v>45</v>
      </c>
      <c r="P81" s="22" t="s">
        <v>45</v>
      </c>
      <c r="Q81" s="22" t="s">
        <v>45</v>
      </c>
      <c r="R81" s="22" t="s">
        <v>45</v>
      </c>
      <c r="S81" s="22" t="s">
        <v>45</v>
      </c>
      <c r="T81" s="22" t="s">
        <v>2002</v>
      </c>
      <c r="U81" s="22" t="s">
        <v>45</v>
      </c>
      <c r="V81" s="22" t="s">
        <v>45</v>
      </c>
      <c r="W81" s="22" t="s">
        <v>6145</v>
      </c>
      <c r="X81" s="22" t="s">
        <v>3095</v>
      </c>
      <c r="Y81" s="22" t="s">
        <v>3095</v>
      </c>
      <c r="Z81" s="22" t="s">
        <v>3095</v>
      </c>
      <c r="AA81" s="22" t="s">
        <v>3095</v>
      </c>
      <c r="AB81" s="22" t="s">
        <v>3095</v>
      </c>
      <c r="AC81" s="22" t="s">
        <v>3095</v>
      </c>
      <c r="AD81" s="22" t="s">
        <v>3095</v>
      </c>
      <c r="AE81" s="22" t="s">
        <v>3095</v>
      </c>
      <c r="AF81" s="22" t="s">
        <v>3095</v>
      </c>
    </row>
    <row r="82" ht="45.0" customHeight="1">
      <c r="A82" s="55" t="s">
        <v>400</v>
      </c>
      <c r="B82" s="62" t="s">
        <v>4302</v>
      </c>
      <c r="C82" s="22" t="str">
        <f>IMAGE("https://raw.githubusercontent.com/ltdimages/images/refs/heads/main/ClothShoesPumpsGlitter_00.png")</f>
        <v/>
      </c>
      <c r="D82" s="22" t="str">
        <f>IMAGE("https://raw.githubusercontent.com/ltdimages/images/refs/heads/main/ClothShoesPumpsGlitter_01.png")</f>
        <v/>
      </c>
      <c r="E82" s="22" t="str">
        <f>IMAGE("https://raw.githubusercontent.com/ltdimages/images/refs/heads/main/ClothShoesPumpsGlitter_02.png")</f>
        <v/>
      </c>
      <c r="F82" s="22" t="str">
        <f>IMAGE("https://raw.githubusercontent.com/ltdimages/images/refs/heads/main/ClothShoesPumpsGlitter_03.png")</f>
        <v/>
      </c>
      <c r="G82" s="22" t="str">
        <f>IMAGE("https://raw.githubusercontent.com/ltdimages/images/refs/heads/main/ClothShoesPumpsGlitter_04.png")</f>
        <v/>
      </c>
      <c r="H82" s="22" t="str">
        <f>IMAGE("https://raw.githubusercontent.com/ltdimages/images/refs/heads/main/ClothShoesPumpsGlitter_05.png")</f>
        <v/>
      </c>
      <c r="I82" s="22" t="str">
        <f>IMAGE("https://raw.githubusercontent.com/ltdimages/images/refs/heads/main/ClothShoesPumpsGlitter_06.png")</f>
        <v/>
      </c>
      <c r="J82" s="22" t="str">
        <f>IMAGE("https://raw.githubusercontent.com/ltdimages/images/refs/heads/main/ClothShoesPumpsGlitter_07.png")</f>
        <v/>
      </c>
      <c r="K82" s="63" t="s">
        <v>6051</v>
      </c>
      <c r="L82" s="23">
        <v>15.0</v>
      </c>
      <c r="M82" s="22" t="s">
        <v>4231</v>
      </c>
      <c r="N82" s="22" t="s">
        <v>3099</v>
      </c>
      <c r="O82" s="22" t="s">
        <v>45</v>
      </c>
      <c r="P82" s="22" t="s">
        <v>45</v>
      </c>
      <c r="Q82" s="22" t="s">
        <v>45</v>
      </c>
      <c r="R82" s="22" t="s">
        <v>45</v>
      </c>
      <c r="S82" s="22" t="s">
        <v>45</v>
      </c>
      <c r="T82" s="22" t="s">
        <v>2002</v>
      </c>
      <c r="U82" s="22" t="s">
        <v>45</v>
      </c>
      <c r="V82" s="22" t="s">
        <v>45</v>
      </c>
      <c r="W82" s="22" t="s">
        <v>6146</v>
      </c>
      <c r="X82" s="22" t="s">
        <v>3095</v>
      </c>
      <c r="Y82" s="22" t="s">
        <v>3095</v>
      </c>
      <c r="Z82" s="22" t="s">
        <v>3095</v>
      </c>
      <c r="AA82" s="22" t="s">
        <v>3095</v>
      </c>
      <c r="AB82" s="22" t="s">
        <v>3095</v>
      </c>
      <c r="AC82" s="22" t="s">
        <v>3095</v>
      </c>
      <c r="AD82" s="22" t="s">
        <v>3095</v>
      </c>
      <c r="AE82" s="22" t="s">
        <v>3095</v>
      </c>
      <c r="AF82" s="22" t="s">
        <v>3095</v>
      </c>
    </row>
    <row r="83" ht="45.0" customHeight="1">
      <c r="A83" s="55" t="s">
        <v>404</v>
      </c>
      <c r="B83" s="62" t="s">
        <v>3109</v>
      </c>
      <c r="C83" s="22" t="str">
        <f>IMAGE("https://raw.githubusercontent.com/ltdimages/images/refs/heads/main/ClothShoesLooseSocksColor_00.png")</f>
        <v/>
      </c>
      <c r="D83" s="22" t="str">
        <f>IMAGE("https://raw.githubusercontent.com/ltdimages/images/refs/heads/main/ClothShoesLooseSocksColor_01.png")</f>
        <v/>
      </c>
      <c r="E83" s="22" t="str">
        <f>IMAGE("https://raw.githubusercontent.com/ltdimages/images/refs/heads/main/ClothShoesLooseSocksColor_02.png")</f>
        <v/>
      </c>
      <c r="F83" s="22" t="str">
        <f>IMAGE("https://raw.githubusercontent.com/ltdimages/images/refs/heads/main/ClothShoesLooseSocksColor_03.png")</f>
        <v/>
      </c>
      <c r="G83" s="22" t="str">
        <f>IMAGE("https://raw.githubusercontent.com/ltdimages/images/refs/heads/main/ClothShoesLooseSocksColor_04.png")</f>
        <v/>
      </c>
      <c r="H83" s="22" t="str">
        <f>IMAGE("https://raw.githubusercontent.com/ltdimages/images/refs/heads/main/ClothShoesLooseSocksColor_05.png")</f>
        <v/>
      </c>
      <c r="I83" s="22" t="str">
        <f>IMAGE("https://raw.githubusercontent.com/ltdimages/images/refs/heads/main/ClothShoesLooseSocksColor_06.png")</f>
        <v/>
      </c>
      <c r="J83" s="22" t="str">
        <f>IMAGE("https://raw.githubusercontent.com/ltdimages/images/refs/heads/main/ClothShoesLooseSocksColor_07.png")</f>
        <v/>
      </c>
      <c r="K83" s="63" t="s">
        <v>6051</v>
      </c>
      <c r="L83" s="23">
        <v>6.5</v>
      </c>
      <c r="M83" s="22" t="s">
        <v>4231</v>
      </c>
      <c r="N83" s="22" t="s">
        <v>3099</v>
      </c>
      <c r="O83" s="22" t="s">
        <v>45</v>
      </c>
      <c r="P83" s="22" t="s">
        <v>45</v>
      </c>
      <c r="Q83" s="22" t="s">
        <v>45</v>
      </c>
      <c r="R83" s="22" t="s">
        <v>45</v>
      </c>
      <c r="S83" s="22" t="s">
        <v>45</v>
      </c>
      <c r="T83" s="22" t="s">
        <v>2002</v>
      </c>
      <c r="U83" s="22" t="s">
        <v>45</v>
      </c>
      <c r="V83" s="22" t="s">
        <v>45</v>
      </c>
      <c r="W83" s="22" t="s">
        <v>6147</v>
      </c>
      <c r="X83" s="22" t="s">
        <v>3095</v>
      </c>
      <c r="Y83" s="22" t="s">
        <v>3095</v>
      </c>
      <c r="Z83" s="22" t="s">
        <v>3095</v>
      </c>
      <c r="AA83" s="22" t="s">
        <v>3095</v>
      </c>
      <c r="AB83" s="22" t="s">
        <v>3095</v>
      </c>
      <c r="AC83" s="22" t="s">
        <v>3095</v>
      </c>
      <c r="AD83" s="22" t="s">
        <v>3095</v>
      </c>
      <c r="AE83" s="22" t="s">
        <v>3095</v>
      </c>
      <c r="AF83" s="22" t="s">
        <v>3095</v>
      </c>
    </row>
    <row r="84" ht="45.0" customHeight="1">
      <c r="A84" s="55" t="s">
        <v>410</v>
      </c>
      <c r="B84" s="62" t="s">
        <v>6148</v>
      </c>
      <c r="C84" s="22" t="str">
        <f>IMAGE("https://raw.githubusercontent.com/ltdimages/images/refs/heads/main/ClothShoesLooseSocksSchool_00.png")</f>
        <v/>
      </c>
      <c r="D84" s="22" t="str">
        <f>IMAGE("https://raw.githubusercontent.com/ltdimages/images/refs/heads/main/ClothShoesLooseSocksSchool_01.png")</f>
        <v/>
      </c>
      <c r="E84" s="22" t="str">
        <f>IMAGE("https://raw.githubusercontent.com/ltdimages/images/refs/heads/main/ClothShoesLooseSocksSchool_02.png")</f>
        <v/>
      </c>
      <c r="F84" s="22" t="str">
        <f>IMAGE("https://raw.githubusercontent.com/ltdimages/images/refs/heads/main/ClothShoesLooseSocksSchool_03.png")</f>
        <v/>
      </c>
      <c r="G84" s="22" t="str">
        <f>IMAGE("https://raw.githubusercontent.com/ltdimages/images/refs/heads/main/ClothShoesLooseSocksSchool_04.png")</f>
        <v/>
      </c>
      <c r="H84" s="22" t="str">
        <f>IMAGE("https://raw.githubusercontent.com/ltdimages/images/refs/heads/main/ClothShoesLooseSocksSchool_05.png")</f>
        <v/>
      </c>
      <c r="I84" s="22" t="str">
        <f>IMAGE("https://raw.githubusercontent.com/ltdimages/images/refs/heads/main/ClothShoesLooseSocksSchool_06.png")</f>
        <v/>
      </c>
      <c r="J84" s="22" t="str">
        <f>IMAGE("https://raw.githubusercontent.com/ltdimages/images/refs/heads/main/ClothShoesLooseSocksSchool_07.png")</f>
        <v/>
      </c>
      <c r="K84" s="63" t="s">
        <v>6051</v>
      </c>
      <c r="L84" s="23">
        <v>8.5</v>
      </c>
      <c r="M84" s="22" t="s">
        <v>4231</v>
      </c>
      <c r="N84" s="22" t="s">
        <v>3099</v>
      </c>
      <c r="O84" s="22" t="s">
        <v>45</v>
      </c>
      <c r="P84" s="22" t="s">
        <v>45</v>
      </c>
      <c r="Q84" s="22" t="s">
        <v>45</v>
      </c>
      <c r="R84" s="22" t="s">
        <v>45</v>
      </c>
      <c r="S84" s="22" t="s">
        <v>45</v>
      </c>
      <c r="T84" s="22" t="s">
        <v>2002</v>
      </c>
      <c r="U84" s="22" t="s">
        <v>45</v>
      </c>
      <c r="V84" s="22" t="s">
        <v>45</v>
      </c>
      <c r="W84" s="22" t="s">
        <v>6149</v>
      </c>
      <c r="X84" s="22" t="s">
        <v>3095</v>
      </c>
      <c r="Y84" s="22" t="s">
        <v>3095</v>
      </c>
      <c r="Z84" s="22" t="s">
        <v>3095</v>
      </c>
      <c r="AA84" s="22" t="s">
        <v>3095</v>
      </c>
      <c r="AB84" s="22" t="s">
        <v>3095</v>
      </c>
      <c r="AC84" s="22" t="s">
        <v>3095</v>
      </c>
      <c r="AD84" s="22" t="s">
        <v>3095</v>
      </c>
      <c r="AE84" s="22" t="s">
        <v>3095</v>
      </c>
      <c r="AF84" s="22" t="s">
        <v>3095</v>
      </c>
    </row>
    <row r="85" ht="45.0" customHeight="1">
      <c r="A85" s="55" t="s">
        <v>414</v>
      </c>
      <c r="B85" s="62" t="s">
        <v>4315</v>
      </c>
      <c r="C85" s="22" t="str">
        <f>IMAGE("https://raw.githubusercontent.com/ltdimages/images/refs/heads/main/ClothShoesMuleStrap_00.png")</f>
        <v/>
      </c>
      <c r="D85" s="22" t="str">
        <f>IMAGE("https://raw.githubusercontent.com/ltdimages/images/refs/heads/main/ClothShoesMuleStrap_01.png")</f>
        <v/>
      </c>
      <c r="E85" s="22" t="str">
        <f>IMAGE("https://raw.githubusercontent.com/ltdimages/images/refs/heads/main/ClothShoesMuleStrap_02.png")</f>
        <v/>
      </c>
      <c r="F85" s="22" t="str">
        <f>IMAGE("https://raw.githubusercontent.com/ltdimages/images/refs/heads/main/ClothShoesMuleStrap_03.png")</f>
        <v/>
      </c>
      <c r="G85" s="22" t="str">
        <f>IMAGE("https://raw.githubusercontent.com/ltdimages/images/refs/heads/main/ClothShoesMuleStrap_04.png")</f>
        <v/>
      </c>
      <c r="H85" s="22" t="str">
        <f>IMAGE("https://raw.githubusercontent.com/ltdimages/images/refs/heads/main/ClothShoesMuleStrap_05.png")</f>
        <v/>
      </c>
      <c r="I85" s="22" t="str">
        <f>IMAGE("https://raw.githubusercontent.com/ltdimages/images/refs/heads/main/ClothShoesMuleStrap_06.png")</f>
        <v/>
      </c>
      <c r="J85" s="22" t="str">
        <f>IMAGE("https://raw.githubusercontent.com/ltdimages/images/refs/heads/main/ClothShoesMuleStrap_07.png")</f>
        <v/>
      </c>
      <c r="K85" s="63" t="s">
        <v>6051</v>
      </c>
      <c r="L85" s="23">
        <v>6.9</v>
      </c>
      <c r="M85" s="22" t="s">
        <v>4231</v>
      </c>
      <c r="N85" s="22" t="s">
        <v>3099</v>
      </c>
      <c r="O85" s="22" t="s">
        <v>45</v>
      </c>
      <c r="P85" s="22" t="s">
        <v>45</v>
      </c>
      <c r="Q85" s="22" t="s">
        <v>45</v>
      </c>
      <c r="R85" s="22" t="s">
        <v>45</v>
      </c>
      <c r="S85" s="22" t="s">
        <v>45</v>
      </c>
      <c r="T85" s="22" t="s">
        <v>2002</v>
      </c>
      <c r="U85" s="22" t="s">
        <v>45</v>
      </c>
      <c r="V85" s="22" t="s">
        <v>45</v>
      </c>
      <c r="W85" s="22" t="s">
        <v>6150</v>
      </c>
      <c r="X85" s="22" t="s">
        <v>3095</v>
      </c>
      <c r="Y85" s="22" t="s">
        <v>3095</v>
      </c>
      <c r="Z85" s="22" t="s">
        <v>3095</v>
      </c>
      <c r="AA85" s="22" t="s">
        <v>3095</v>
      </c>
      <c r="AB85" s="22" t="s">
        <v>3095</v>
      </c>
      <c r="AC85" s="22" t="s">
        <v>3095</v>
      </c>
      <c r="AD85" s="22" t="s">
        <v>3095</v>
      </c>
      <c r="AE85" s="22" t="s">
        <v>3095</v>
      </c>
      <c r="AF85" s="22" t="s">
        <v>3095</v>
      </c>
    </row>
    <row r="86" ht="45.0" customHeight="1">
      <c r="A86" s="55" t="s">
        <v>418</v>
      </c>
      <c r="B86" s="62" t="s">
        <v>6151</v>
      </c>
      <c r="C86" s="22" t="str">
        <f>IMAGE("https://raw.githubusercontent.com/ltdimages/images/refs/heads/main/ClothShoesMuleStrappy_00.png")</f>
        <v/>
      </c>
      <c r="D86" s="22" t="str">
        <f>IMAGE("https://raw.githubusercontent.com/ltdimages/images/refs/heads/main/ClothShoesMuleStrappy_01.png")</f>
        <v/>
      </c>
      <c r="E86" s="22" t="str">
        <f>IMAGE("https://raw.githubusercontent.com/ltdimages/images/refs/heads/main/ClothShoesMuleStrappy_02.png")</f>
        <v/>
      </c>
      <c r="F86" s="22" t="str">
        <f>IMAGE("https://raw.githubusercontent.com/ltdimages/images/refs/heads/main/ClothShoesMuleStrappy_03.png")</f>
        <v/>
      </c>
      <c r="G86" s="22" t="str">
        <f>IMAGE("https://raw.githubusercontent.com/ltdimages/images/refs/heads/main/ClothShoesMuleStrappy_04.png")</f>
        <v/>
      </c>
      <c r="H86" s="22" t="str">
        <f>IMAGE("https://raw.githubusercontent.com/ltdimages/images/refs/heads/main/ClothShoesMuleStrappy_05.png")</f>
        <v/>
      </c>
      <c r="I86" s="22" t="str">
        <f>IMAGE("https://raw.githubusercontent.com/ltdimages/images/refs/heads/main/ClothShoesMuleStrappy_06.png")</f>
        <v/>
      </c>
      <c r="J86" s="22" t="str">
        <f>IMAGE("https://raw.githubusercontent.com/ltdimages/images/refs/heads/main/ClothShoesMuleStrappy_07.png")</f>
        <v/>
      </c>
      <c r="K86" s="63" t="s">
        <v>6051</v>
      </c>
      <c r="L86" s="23">
        <v>7.0</v>
      </c>
      <c r="M86" s="22" t="s">
        <v>4231</v>
      </c>
      <c r="N86" s="22" t="s">
        <v>3099</v>
      </c>
      <c r="O86" s="22" t="s">
        <v>45</v>
      </c>
      <c r="P86" s="22" t="s">
        <v>45</v>
      </c>
      <c r="Q86" s="22" t="s">
        <v>45</v>
      </c>
      <c r="R86" s="22" t="s">
        <v>45</v>
      </c>
      <c r="S86" s="22" t="s">
        <v>45</v>
      </c>
      <c r="T86" s="22" t="s">
        <v>2002</v>
      </c>
      <c r="U86" s="22" t="s">
        <v>45</v>
      </c>
      <c r="V86" s="22" t="s">
        <v>45</v>
      </c>
      <c r="W86" s="22" t="s">
        <v>6152</v>
      </c>
      <c r="X86" s="22" t="s">
        <v>3095</v>
      </c>
      <c r="Y86" s="22" t="s">
        <v>3095</v>
      </c>
      <c r="Z86" s="22" t="s">
        <v>3095</v>
      </c>
      <c r="AA86" s="22" t="s">
        <v>3095</v>
      </c>
      <c r="AB86" s="22" t="s">
        <v>3095</v>
      </c>
      <c r="AC86" s="22" t="s">
        <v>3095</v>
      </c>
      <c r="AD86" s="22" t="s">
        <v>3095</v>
      </c>
      <c r="AE86" s="22" t="s">
        <v>3095</v>
      </c>
      <c r="AF86" s="22" t="s">
        <v>3095</v>
      </c>
    </row>
    <row r="87" ht="45.0" customHeight="1">
      <c r="A87" s="55" t="s">
        <v>422</v>
      </c>
      <c r="B87" s="62" t="s">
        <v>4732</v>
      </c>
      <c r="C87" s="22" t="str">
        <f>IMAGE("https://raw.githubusercontent.com/ltdimages/images/refs/heads/main/ClothShoesPointedWitch_00.png")</f>
        <v/>
      </c>
      <c r="D87" s="22" t="str">
        <f>IMAGE("https://raw.githubusercontent.com/ltdimages/images/refs/heads/main/ClothShoesPointedWitch_01.png")</f>
        <v/>
      </c>
      <c r="E87" s="22" t="str">
        <f>IMAGE("https://raw.githubusercontent.com/ltdimages/images/refs/heads/main/ClothShoesPointedWitch_02.png")</f>
        <v/>
      </c>
      <c r="F87" s="22" t="str">
        <f>IMAGE("https://raw.githubusercontent.com/ltdimages/images/refs/heads/main/ClothShoesPointedWitch_03.png")</f>
        <v/>
      </c>
      <c r="G87" s="22" t="str">
        <f>IMAGE("https://raw.githubusercontent.com/ltdimages/images/refs/heads/main/ClothShoesPointedWitch_04.png")</f>
        <v/>
      </c>
      <c r="H87" s="22" t="str">
        <f>IMAGE("https://raw.githubusercontent.com/ltdimages/images/refs/heads/main/ClothShoesPointedWitch_05.png")</f>
        <v/>
      </c>
      <c r="I87" s="22" t="s">
        <v>3095</v>
      </c>
      <c r="J87" s="22" t="s">
        <v>3095</v>
      </c>
      <c r="K87" s="63" t="s">
        <v>6051</v>
      </c>
      <c r="L87" s="23">
        <v>8.2</v>
      </c>
      <c r="M87" s="22" t="s">
        <v>4231</v>
      </c>
      <c r="N87" s="22" t="s">
        <v>3099</v>
      </c>
      <c r="O87" s="22" t="s">
        <v>45</v>
      </c>
      <c r="P87" s="22" t="s">
        <v>45</v>
      </c>
      <c r="Q87" s="22" t="s">
        <v>45</v>
      </c>
      <c r="R87" s="22" t="s">
        <v>49</v>
      </c>
      <c r="S87" s="22" t="s">
        <v>45</v>
      </c>
      <c r="T87" s="22" t="s">
        <v>2002</v>
      </c>
      <c r="U87" s="22" t="s">
        <v>45</v>
      </c>
      <c r="V87" s="22" t="s">
        <v>45</v>
      </c>
      <c r="W87" s="22" t="s">
        <v>6153</v>
      </c>
      <c r="X87" s="22" t="s">
        <v>3095</v>
      </c>
      <c r="Y87" s="22" t="s">
        <v>3095</v>
      </c>
      <c r="Z87" s="22" t="s">
        <v>3095</v>
      </c>
      <c r="AA87" s="22" t="s">
        <v>3095</v>
      </c>
      <c r="AB87" s="22" t="s">
        <v>3095</v>
      </c>
      <c r="AC87" s="22" t="s">
        <v>3095</v>
      </c>
      <c r="AD87" s="22" t="s">
        <v>3095</v>
      </c>
      <c r="AE87" s="22" t="s">
        <v>3095</v>
      </c>
      <c r="AF87" s="22" t="s">
        <v>3095</v>
      </c>
    </row>
    <row r="88" ht="45.0" customHeight="1">
      <c r="A88" s="55" t="s">
        <v>426</v>
      </c>
      <c r="B88" s="62" t="s">
        <v>6154</v>
      </c>
      <c r="C88" s="22" t="str">
        <f>IMAGE("https://raw.githubusercontent.com/ltdimages/images/refs/heads/main/ClothShoesPumpsZebra_00.png")</f>
        <v/>
      </c>
      <c r="D88" s="22" t="str">
        <f>IMAGE("https://raw.githubusercontent.com/ltdimages/images/refs/heads/main/ClothShoesPumpsZebra_01.png")</f>
        <v/>
      </c>
      <c r="E88" s="22" t="str">
        <f>IMAGE("https://raw.githubusercontent.com/ltdimages/images/refs/heads/main/ClothShoesPumpsZebra_02.png")</f>
        <v/>
      </c>
      <c r="F88" s="22" t="str">
        <f>IMAGE("https://raw.githubusercontent.com/ltdimages/images/refs/heads/main/ClothShoesPumpsZebra_03.png")</f>
        <v/>
      </c>
      <c r="G88" s="22" t="str">
        <f>IMAGE("https://raw.githubusercontent.com/ltdimages/images/refs/heads/main/ClothShoesPumpsZebra_04.png")</f>
        <v/>
      </c>
      <c r="H88" s="22" t="str">
        <f>IMAGE("https://raw.githubusercontent.com/ltdimages/images/refs/heads/main/ClothShoesPumpsZebra_05.png")</f>
        <v/>
      </c>
      <c r="I88" s="22" t="s">
        <v>3095</v>
      </c>
      <c r="J88" s="22" t="s">
        <v>3095</v>
      </c>
      <c r="K88" s="63" t="s">
        <v>6051</v>
      </c>
      <c r="L88" s="23">
        <v>7.3</v>
      </c>
      <c r="M88" s="22" t="s">
        <v>4231</v>
      </c>
      <c r="N88" s="22" t="s">
        <v>3099</v>
      </c>
      <c r="O88" s="22" t="s">
        <v>45</v>
      </c>
      <c r="P88" s="22" t="s">
        <v>45</v>
      </c>
      <c r="Q88" s="22" t="s">
        <v>45</v>
      </c>
      <c r="R88" s="22" t="s">
        <v>45</v>
      </c>
      <c r="S88" s="22" t="s">
        <v>45</v>
      </c>
      <c r="T88" s="22" t="s">
        <v>2002</v>
      </c>
      <c r="U88" s="22" t="s">
        <v>45</v>
      </c>
      <c r="V88" s="22" t="s">
        <v>45</v>
      </c>
      <c r="W88" s="22" t="s">
        <v>6155</v>
      </c>
      <c r="X88" s="22" t="s">
        <v>3095</v>
      </c>
      <c r="Y88" s="22" t="s">
        <v>3095</v>
      </c>
      <c r="Z88" s="22" t="s">
        <v>3095</v>
      </c>
      <c r="AA88" s="22" t="s">
        <v>3095</v>
      </c>
      <c r="AB88" s="22" t="s">
        <v>3095</v>
      </c>
      <c r="AC88" s="22" t="s">
        <v>3095</v>
      </c>
      <c r="AD88" s="22" t="s">
        <v>3095</v>
      </c>
      <c r="AE88" s="22" t="s">
        <v>3095</v>
      </c>
      <c r="AF88" s="22" t="s">
        <v>3095</v>
      </c>
    </row>
    <row r="89" ht="45.0" customHeight="1">
      <c r="A89" s="55" t="s">
        <v>3095</v>
      </c>
      <c r="B89" s="62" t="s">
        <v>4747</v>
      </c>
      <c r="C89" s="22" t="str">
        <f>IMAGE("https://raw.githubusercontent.com/ltdimages/images/refs/heads/main/ClothShoesStandardDefault_00.png")</f>
        <v/>
      </c>
      <c r="D89" s="22" t="str">
        <f>IMAGE("https://raw.githubusercontent.com/ltdimages/images/refs/heads/main/ClothShoesStandardDefault_01.png")</f>
        <v/>
      </c>
      <c r="E89" s="22" t="str">
        <f>IMAGE("https://raw.githubusercontent.com/ltdimages/images/refs/heads/main/ClothShoesStandardDefault_02.png")</f>
        <v/>
      </c>
      <c r="F89" s="22" t="str">
        <f>IMAGE("https://raw.githubusercontent.com/ltdimages/images/refs/heads/main/ClothShoesStandardDefault_03.png")</f>
        <v/>
      </c>
      <c r="G89" s="22" t="str">
        <f>IMAGE("https://raw.githubusercontent.com/ltdimages/images/refs/heads/main/ClothShoesStandardDefault_04.png")</f>
        <v/>
      </c>
      <c r="H89" s="22" t="str">
        <f>IMAGE("https://raw.githubusercontent.com/ltdimages/images/refs/heads/main/ClothShoesStandardDefault_05.png")</f>
        <v/>
      </c>
      <c r="I89" s="22" t="str">
        <f>IMAGE("https://raw.githubusercontent.com/ltdimages/images/refs/heads/main/ClothShoesStandardDefault_06.png")</f>
        <v/>
      </c>
      <c r="J89" s="22" t="str">
        <f>IMAGE("https://raw.githubusercontent.com/ltdimages/images/refs/heads/main/ClothShoesStandardDefault_07.png")</f>
        <v/>
      </c>
      <c r="K89" s="63" t="s">
        <v>6051</v>
      </c>
      <c r="L89" s="23">
        <v>0.0</v>
      </c>
      <c r="M89" s="22" t="s">
        <v>3097</v>
      </c>
      <c r="N89" s="22" t="s">
        <v>3099</v>
      </c>
      <c r="O89" s="22" t="s">
        <v>45</v>
      </c>
      <c r="P89" s="22" t="s">
        <v>45</v>
      </c>
      <c r="Q89" s="22" t="s">
        <v>45</v>
      </c>
      <c r="R89" s="22" t="s">
        <v>45</v>
      </c>
      <c r="S89" s="22" t="s">
        <v>49</v>
      </c>
      <c r="T89" s="22" t="s">
        <v>2002</v>
      </c>
      <c r="U89" s="22" t="s">
        <v>45</v>
      </c>
      <c r="V89" s="22" t="s">
        <v>45</v>
      </c>
      <c r="W89" s="22" t="s">
        <v>6156</v>
      </c>
      <c r="X89" s="22" t="str">
        <f>IMAGE("https://raw.githubusercontent.com/ltdimages/images/refs/heads/main/ClothShoesStandardDefault_08.png")</f>
        <v/>
      </c>
      <c r="Y89" s="22" t="str">
        <f>IMAGE("https://raw.githubusercontent.com/ltdimages/images/refs/heads/main/ClothShoesStandardDefault_09.png")</f>
        <v/>
      </c>
      <c r="Z89" s="22" t="str">
        <f>IMAGE("https://raw.githubusercontent.com/ltdimages/images/refs/heads/main/ClothShoesStandardDefault_10.png")</f>
        <v/>
      </c>
      <c r="AA89" s="22" t="str">
        <f>IMAGE("https://raw.githubusercontent.com/ltdimages/images/refs/heads/main/ClothShoesStandardDefault_11.png")</f>
        <v/>
      </c>
      <c r="AB89" s="22" t="str">
        <f>IMAGE("https://raw.githubusercontent.com/ltdimages/images/refs/heads/main/ClothShoesStandardDefault_12.png")</f>
        <v/>
      </c>
      <c r="AC89" s="22" t="str">
        <f>IMAGE("https://raw.githubusercontent.com/ltdimages/images/refs/heads/main/ClothShoesStandardDefault_13.png")</f>
        <v/>
      </c>
      <c r="AD89" s="22" t="str">
        <f>IMAGE("https://raw.githubusercontent.com/ltdimages/images/refs/heads/main/ClothShoesStandardDefault_14.png")</f>
        <v/>
      </c>
      <c r="AE89" s="22" t="str">
        <f>IMAGE("https://raw.githubusercontent.com/ltdimages/images/refs/heads/main/ClothShoesStandardDefault_15.png")</f>
        <v/>
      </c>
      <c r="AF89" s="22" t="str">
        <f>IMAGE("https://raw.githubusercontent.com/ltdimages/images/refs/heads/main/ClothShoesStandardDefault_16.png")</f>
        <v/>
      </c>
    </row>
  </sheetData>
  <autoFilter ref="$A$1:$AF$89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88"/>
    <col customWidth="1" min="2" max="2" width="18.0"/>
    <col customWidth="1" min="3" max="10" width="7.63"/>
    <col customWidth="1" min="11" max="11" width="15.13"/>
    <col customWidth="1" min="12" max="12" width="13.63"/>
    <col customWidth="1" min="13" max="13" width="9.5"/>
    <col customWidth="1" min="14" max="14" width="13.63"/>
    <col customWidth="1" min="15" max="15" width="8.63"/>
    <col customWidth="1" min="16" max="16" width="8.5"/>
    <col customWidth="1" min="17" max="17" width="12.63"/>
    <col customWidth="1" min="18" max="18" width="9.75"/>
    <col customWidth="1" min="19" max="19" width="15.13"/>
    <col customWidth="1" min="20" max="20" width="11.38"/>
    <col customWidth="1" min="21" max="21" width="8.38"/>
    <col customWidth="1" min="22" max="22" width="9.38"/>
    <col customWidth="1" min="23" max="32" width="31.0"/>
  </cols>
  <sheetData>
    <row r="1" ht="31.5" customHeight="1">
      <c r="A1" s="58" t="s">
        <v>23</v>
      </c>
      <c r="B1" s="59" t="s">
        <v>25</v>
      </c>
      <c r="C1" s="60" t="s">
        <v>3059</v>
      </c>
      <c r="D1" s="60" t="s">
        <v>3060</v>
      </c>
      <c r="E1" s="60" t="s">
        <v>3061</v>
      </c>
      <c r="F1" s="60" t="s">
        <v>3062</v>
      </c>
      <c r="G1" s="60" t="s">
        <v>3063</v>
      </c>
      <c r="H1" s="60" t="s">
        <v>3064</v>
      </c>
      <c r="I1" s="60" t="s">
        <v>3065</v>
      </c>
      <c r="J1" s="60" t="s">
        <v>3066</v>
      </c>
      <c r="K1" s="19" t="s">
        <v>1993</v>
      </c>
      <c r="L1" s="19" t="s">
        <v>29</v>
      </c>
      <c r="M1" s="19" t="s">
        <v>3067</v>
      </c>
      <c r="N1" s="19" t="s">
        <v>3069</v>
      </c>
      <c r="O1" s="19" t="s">
        <v>3070</v>
      </c>
      <c r="P1" s="19" t="s">
        <v>3071</v>
      </c>
      <c r="Q1" s="19" t="s">
        <v>3072</v>
      </c>
      <c r="R1" s="19" t="s">
        <v>3073</v>
      </c>
      <c r="S1" s="19" t="s">
        <v>3075</v>
      </c>
      <c r="T1" s="19" t="s">
        <v>4749</v>
      </c>
      <c r="U1" s="19" t="s">
        <v>4750</v>
      </c>
      <c r="V1" s="19" t="s">
        <v>4751</v>
      </c>
      <c r="W1" s="19" t="s">
        <v>40</v>
      </c>
      <c r="X1" s="19"/>
      <c r="Y1" s="19"/>
      <c r="Z1" s="19"/>
      <c r="AA1" s="19"/>
      <c r="AB1" s="19"/>
      <c r="AC1" s="19"/>
      <c r="AD1" s="19"/>
      <c r="AE1" s="19"/>
      <c r="AF1" s="19"/>
    </row>
    <row r="2" ht="45.0" customHeight="1">
      <c r="A2" s="55" t="s">
        <v>41</v>
      </c>
      <c r="B2" s="62" t="s">
        <v>3170</v>
      </c>
      <c r="C2" s="22" t="str">
        <f>IMAGE("https://raw.githubusercontent.com/ltdimages/images/refs/heads/main/ClothAllMascotLongAstronaut_00.png")</f>
        <v/>
      </c>
      <c r="D2" s="22" t="str">
        <f>IMAGE("https://raw.githubusercontent.com/ltdimages/images/refs/heads/main/ClothAllMascotLongAstronaut_01.png")</f>
        <v/>
      </c>
      <c r="E2" s="22" t="s">
        <v>3095</v>
      </c>
      <c r="F2" s="22" t="s">
        <v>3095</v>
      </c>
      <c r="G2" s="22" t="s">
        <v>3095</v>
      </c>
      <c r="H2" s="22" t="s">
        <v>3095</v>
      </c>
      <c r="I2" s="22" t="s">
        <v>3095</v>
      </c>
      <c r="J2" s="22" t="s">
        <v>3095</v>
      </c>
      <c r="K2" s="63" t="s">
        <v>3099</v>
      </c>
      <c r="L2" s="23">
        <v>3000.0</v>
      </c>
      <c r="M2" s="22" t="s">
        <v>3097</v>
      </c>
      <c r="N2" s="22" t="s">
        <v>3099</v>
      </c>
      <c r="O2" s="22" t="s">
        <v>45</v>
      </c>
      <c r="P2" s="22" t="s">
        <v>45</v>
      </c>
      <c r="Q2" s="22" t="s">
        <v>45</v>
      </c>
      <c r="R2" s="22" t="s">
        <v>49</v>
      </c>
      <c r="S2" s="22" t="s">
        <v>45</v>
      </c>
      <c r="T2" s="22" t="s">
        <v>2002</v>
      </c>
      <c r="U2" s="22" t="s">
        <v>45</v>
      </c>
      <c r="V2" s="22" t="s">
        <v>45</v>
      </c>
      <c r="W2" s="22" t="s">
        <v>6157</v>
      </c>
      <c r="X2" s="22" t="s">
        <v>3095</v>
      </c>
      <c r="Y2" s="22" t="s">
        <v>3095</v>
      </c>
      <c r="Z2" s="22" t="s">
        <v>3095</v>
      </c>
      <c r="AA2" s="22" t="s">
        <v>3095</v>
      </c>
      <c r="AB2" s="22" t="s">
        <v>3095</v>
      </c>
      <c r="AC2" s="22" t="s">
        <v>3095</v>
      </c>
      <c r="AD2" s="22" t="s">
        <v>3095</v>
      </c>
      <c r="AE2" s="22" t="s">
        <v>3095</v>
      </c>
      <c r="AF2" s="22" t="s">
        <v>3095</v>
      </c>
    </row>
    <row r="3" ht="45.0" customHeight="1">
      <c r="A3" s="55" t="s">
        <v>52</v>
      </c>
      <c r="B3" s="62" t="s">
        <v>6158</v>
      </c>
      <c r="C3" s="22" t="str">
        <f>IMAGE("https://raw.githubusercontent.com/ltdimages/images/refs/heads/main/ClothAllCostumeLongAvocado_00.png")</f>
        <v/>
      </c>
      <c r="D3" s="22" t="s">
        <v>3095</v>
      </c>
      <c r="E3" s="22" t="s">
        <v>3095</v>
      </c>
      <c r="F3" s="22" t="s">
        <v>3095</v>
      </c>
      <c r="G3" s="22" t="s">
        <v>3095</v>
      </c>
      <c r="H3" s="22" t="s">
        <v>3095</v>
      </c>
      <c r="I3" s="22" t="s">
        <v>3095</v>
      </c>
      <c r="J3" s="22" t="s">
        <v>3095</v>
      </c>
      <c r="K3" s="63" t="s">
        <v>3099</v>
      </c>
      <c r="L3" s="23">
        <v>26.0</v>
      </c>
      <c r="M3" s="22" t="s">
        <v>3097</v>
      </c>
      <c r="N3" s="22" t="s">
        <v>3099</v>
      </c>
      <c r="O3" s="22" t="s">
        <v>45</v>
      </c>
      <c r="P3" s="22" t="s">
        <v>45</v>
      </c>
      <c r="Q3" s="22" t="s">
        <v>45</v>
      </c>
      <c r="R3" s="22" t="s">
        <v>49</v>
      </c>
      <c r="S3" s="22" t="s">
        <v>45</v>
      </c>
      <c r="T3" s="22" t="s">
        <v>2002</v>
      </c>
      <c r="U3" s="22" t="s">
        <v>45</v>
      </c>
      <c r="V3" s="22" t="s">
        <v>45</v>
      </c>
      <c r="W3" s="22" t="s">
        <v>6159</v>
      </c>
      <c r="X3" s="22" t="s">
        <v>3095</v>
      </c>
      <c r="Y3" s="22" t="s">
        <v>3095</v>
      </c>
      <c r="Z3" s="22" t="s">
        <v>3095</v>
      </c>
      <c r="AA3" s="22" t="s">
        <v>3095</v>
      </c>
      <c r="AB3" s="22" t="s">
        <v>3095</v>
      </c>
      <c r="AC3" s="22" t="s">
        <v>3095</v>
      </c>
      <c r="AD3" s="22" t="s">
        <v>3095</v>
      </c>
      <c r="AE3" s="22" t="s">
        <v>3095</v>
      </c>
      <c r="AF3" s="22" t="s">
        <v>3095</v>
      </c>
    </row>
    <row r="4" ht="45.0" customHeight="1">
      <c r="A4" s="55" t="s">
        <v>60</v>
      </c>
      <c r="B4" s="62" t="s">
        <v>3188</v>
      </c>
      <c r="C4" s="22" t="str">
        <f>IMAGE("https://raw.githubusercontent.com/ltdimages/images/refs/heads/main/ClothAllBodySuitLongBaby_00.png")</f>
        <v/>
      </c>
      <c r="D4" s="22" t="str">
        <f>IMAGE("https://raw.githubusercontent.com/ltdimages/images/refs/heads/main/ClothAllBodySuitLongBaby_01.png")</f>
        <v/>
      </c>
      <c r="E4" s="22" t="str">
        <f>IMAGE("https://raw.githubusercontent.com/ltdimages/images/refs/heads/main/ClothAllBodySuitLongBaby_02.png")</f>
        <v/>
      </c>
      <c r="F4" s="22" t="str">
        <f>IMAGE("https://raw.githubusercontent.com/ltdimages/images/refs/heads/main/ClothAllBodySuitLongBaby_03.png")</f>
        <v/>
      </c>
      <c r="G4" s="22" t="str">
        <f>IMAGE("https://raw.githubusercontent.com/ltdimages/images/refs/heads/main/ClothAllBodySuitLongBaby_04.png")</f>
        <v/>
      </c>
      <c r="H4" s="22" t="str">
        <f>IMAGE("https://raw.githubusercontent.com/ltdimages/images/refs/heads/main/ClothAllBodySuitLongBaby_05.png")</f>
        <v/>
      </c>
      <c r="I4" s="22" t="str">
        <f>IMAGE("https://raw.githubusercontent.com/ltdimages/images/refs/heads/main/ClothAllBodySuitLongBaby_06.png")</f>
        <v/>
      </c>
      <c r="J4" s="22" t="str">
        <f>IMAGE("https://raw.githubusercontent.com/ltdimages/images/refs/heads/main/ClothAllBodySuitLongBaby_07.png")</f>
        <v/>
      </c>
      <c r="K4" s="63" t="s">
        <v>3099</v>
      </c>
      <c r="L4" s="23">
        <v>25.0</v>
      </c>
      <c r="M4" s="22" t="s">
        <v>3097</v>
      </c>
      <c r="N4" s="22" t="s">
        <v>3099</v>
      </c>
      <c r="O4" s="22" t="s">
        <v>49</v>
      </c>
      <c r="P4" s="22" t="s">
        <v>45</v>
      </c>
      <c r="Q4" s="22" t="s">
        <v>45</v>
      </c>
      <c r="R4" s="22" t="s">
        <v>45</v>
      </c>
      <c r="S4" s="22" t="s">
        <v>45</v>
      </c>
      <c r="T4" s="22" t="s">
        <v>2002</v>
      </c>
      <c r="U4" s="22" t="s">
        <v>45</v>
      </c>
      <c r="V4" s="22" t="s">
        <v>45</v>
      </c>
      <c r="W4" s="22" t="s">
        <v>6160</v>
      </c>
      <c r="X4" s="22" t="s">
        <v>3095</v>
      </c>
      <c r="Y4" s="22" t="s">
        <v>3095</v>
      </c>
      <c r="Z4" s="22" t="s">
        <v>3095</v>
      </c>
      <c r="AA4" s="22" t="s">
        <v>3095</v>
      </c>
      <c r="AB4" s="22" t="s">
        <v>3095</v>
      </c>
      <c r="AC4" s="22" t="s">
        <v>3095</v>
      </c>
      <c r="AD4" s="22" t="s">
        <v>3095</v>
      </c>
      <c r="AE4" s="22" t="s">
        <v>3095</v>
      </c>
      <c r="AF4" s="22" t="s">
        <v>3095</v>
      </c>
    </row>
    <row r="5" ht="45.0" customHeight="1">
      <c r="A5" s="55" t="s">
        <v>65</v>
      </c>
      <c r="B5" s="62" t="s">
        <v>6161</v>
      </c>
      <c r="C5" s="22" t="str">
        <f>IMAGE("https://raw.githubusercontent.com/ltdimages/images/refs/heads/main/ClothAllBodySuitLongBallet_00.png")</f>
        <v/>
      </c>
      <c r="D5" s="22" t="str">
        <f>IMAGE("https://raw.githubusercontent.com/ltdimages/images/refs/heads/main/ClothAllBodySuitLongBallet_01.png")</f>
        <v/>
      </c>
      <c r="E5" s="22" t="str">
        <f>IMAGE("https://raw.githubusercontent.com/ltdimages/images/refs/heads/main/ClothAllBodySuitLongBallet_02.png")</f>
        <v/>
      </c>
      <c r="F5" s="22" t="str">
        <f>IMAGE("https://raw.githubusercontent.com/ltdimages/images/refs/heads/main/ClothAllBodySuitLongBallet_03.png")</f>
        <v/>
      </c>
      <c r="G5" s="22" t="str">
        <f>IMAGE("https://raw.githubusercontent.com/ltdimages/images/refs/heads/main/ClothAllBodySuitLongBallet_04.png")</f>
        <v/>
      </c>
      <c r="H5" s="22" t="str">
        <f>IMAGE("https://raw.githubusercontent.com/ltdimages/images/refs/heads/main/ClothAllBodySuitLongBallet_05.png")</f>
        <v/>
      </c>
      <c r="I5" s="22" t="str">
        <f>IMAGE("https://raw.githubusercontent.com/ltdimages/images/refs/heads/main/ClothAllBodySuitLongBallet_06.png")</f>
        <v/>
      </c>
      <c r="J5" s="22" t="str">
        <f>IMAGE("https://raw.githubusercontent.com/ltdimages/images/refs/heads/main/ClothAllBodySuitLongBallet_07.png")</f>
        <v/>
      </c>
      <c r="K5" s="63" t="s">
        <v>3099</v>
      </c>
      <c r="L5" s="23">
        <v>100.0</v>
      </c>
      <c r="M5" s="22" t="s">
        <v>3097</v>
      </c>
      <c r="N5" s="22" t="s">
        <v>3099</v>
      </c>
      <c r="O5" s="22" t="s">
        <v>45</v>
      </c>
      <c r="P5" s="22" t="s">
        <v>45</v>
      </c>
      <c r="Q5" s="22" t="s">
        <v>45</v>
      </c>
      <c r="R5" s="22" t="s">
        <v>45</v>
      </c>
      <c r="S5" s="22" t="s">
        <v>45</v>
      </c>
      <c r="T5" s="22" t="s">
        <v>2002</v>
      </c>
      <c r="U5" s="22" t="s">
        <v>45</v>
      </c>
      <c r="V5" s="22" t="s">
        <v>45</v>
      </c>
      <c r="W5" s="22" t="s">
        <v>6162</v>
      </c>
      <c r="X5" s="22" t="s">
        <v>3095</v>
      </c>
      <c r="Y5" s="22" t="s">
        <v>3095</v>
      </c>
      <c r="Z5" s="22" t="s">
        <v>3095</v>
      </c>
      <c r="AA5" s="22" t="s">
        <v>3095</v>
      </c>
      <c r="AB5" s="22" t="s">
        <v>3095</v>
      </c>
      <c r="AC5" s="22" t="s">
        <v>3095</v>
      </c>
      <c r="AD5" s="22" t="s">
        <v>3095</v>
      </c>
      <c r="AE5" s="22" t="s">
        <v>3095</v>
      </c>
      <c r="AF5" s="22" t="s">
        <v>3095</v>
      </c>
    </row>
    <row r="6" ht="45.0" customHeight="1">
      <c r="A6" s="55" t="s">
        <v>70</v>
      </c>
      <c r="B6" s="62" t="s">
        <v>3237</v>
      </c>
      <c r="C6" s="22" t="str">
        <f>IMAGE("https://raw.githubusercontent.com/ltdimages/images/refs/heads/main/ClothAllMascotLongBear_00.png")</f>
        <v/>
      </c>
      <c r="D6" s="22" t="str">
        <f>IMAGE("https://raw.githubusercontent.com/ltdimages/images/refs/heads/main/ClothAllMascotLongBear_01.png")</f>
        <v/>
      </c>
      <c r="E6" s="22" t="str">
        <f>IMAGE("https://raw.githubusercontent.com/ltdimages/images/refs/heads/main/ClothAllMascotLongBear_02.png")</f>
        <v/>
      </c>
      <c r="F6" s="22" t="str">
        <f>IMAGE("https://raw.githubusercontent.com/ltdimages/images/refs/heads/main/ClothAllMascotLongBear_03.png")</f>
        <v/>
      </c>
      <c r="G6" s="22" t="str">
        <f>IMAGE("https://raw.githubusercontent.com/ltdimages/images/refs/heads/main/ClothAllMascotLongBear_04.png")</f>
        <v/>
      </c>
      <c r="H6" s="22" t="s">
        <v>3095</v>
      </c>
      <c r="I6" s="22" t="s">
        <v>3095</v>
      </c>
      <c r="J6" s="22" t="s">
        <v>3095</v>
      </c>
      <c r="K6" s="63" t="s">
        <v>3099</v>
      </c>
      <c r="L6" s="23">
        <v>31.0</v>
      </c>
      <c r="M6" s="22" t="s">
        <v>3097</v>
      </c>
      <c r="N6" s="22" t="s">
        <v>3099</v>
      </c>
      <c r="O6" s="22" t="s">
        <v>45</v>
      </c>
      <c r="P6" s="22" t="s">
        <v>45</v>
      </c>
      <c r="Q6" s="22" t="s">
        <v>45</v>
      </c>
      <c r="R6" s="22" t="s">
        <v>49</v>
      </c>
      <c r="S6" s="22" t="s">
        <v>45</v>
      </c>
      <c r="T6" s="22" t="s">
        <v>2002</v>
      </c>
      <c r="U6" s="22" t="s">
        <v>45</v>
      </c>
      <c r="V6" s="22" t="s">
        <v>45</v>
      </c>
      <c r="W6" s="22" t="s">
        <v>6163</v>
      </c>
      <c r="X6" s="22" t="s">
        <v>3095</v>
      </c>
      <c r="Y6" s="22" t="s">
        <v>3095</v>
      </c>
      <c r="Z6" s="22" t="s">
        <v>3095</v>
      </c>
      <c r="AA6" s="22" t="s">
        <v>3095</v>
      </c>
      <c r="AB6" s="22" t="s">
        <v>3095</v>
      </c>
      <c r="AC6" s="22" t="s">
        <v>3095</v>
      </c>
      <c r="AD6" s="22" t="s">
        <v>3095</v>
      </c>
      <c r="AE6" s="22" t="s">
        <v>3095</v>
      </c>
      <c r="AF6" s="22" t="s">
        <v>3095</v>
      </c>
    </row>
    <row r="7" ht="45.0" customHeight="1">
      <c r="A7" s="55" t="s">
        <v>74</v>
      </c>
      <c r="B7" s="62" t="s">
        <v>3249</v>
      </c>
      <c r="C7" s="22" t="str">
        <f>IMAGE("https://raw.githubusercontent.com/ltdimages/images/refs/heads/main/ClothAllCostumeLongBee_00.png")</f>
        <v/>
      </c>
      <c r="D7" s="22" t="s">
        <v>3095</v>
      </c>
      <c r="E7" s="22" t="s">
        <v>3095</v>
      </c>
      <c r="F7" s="22" t="s">
        <v>3095</v>
      </c>
      <c r="G7" s="22" t="s">
        <v>3095</v>
      </c>
      <c r="H7" s="22" t="s">
        <v>3095</v>
      </c>
      <c r="I7" s="22" t="s">
        <v>3095</v>
      </c>
      <c r="J7" s="22" t="s">
        <v>3095</v>
      </c>
      <c r="K7" s="63" t="s">
        <v>3099</v>
      </c>
      <c r="L7" s="23">
        <v>27.0</v>
      </c>
      <c r="M7" s="22" t="s">
        <v>3097</v>
      </c>
      <c r="N7" s="22" t="s">
        <v>3099</v>
      </c>
      <c r="O7" s="22" t="s">
        <v>45</v>
      </c>
      <c r="P7" s="22" t="s">
        <v>45</v>
      </c>
      <c r="Q7" s="22" t="s">
        <v>45</v>
      </c>
      <c r="R7" s="22" t="s">
        <v>49</v>
      </c>
      <c r="S7" s="22" t="s">
        <v>45</v>
      </c>
      <c r="T7" s="22" t="s">
        <v>2002</v>
      </c>
      <c r="U7" s="22" t="s">
        <v>45</v>
      </c>
      <c r="V7" s="22" t="s">
        <v>45</v>
      </c>
      <c r="W7" s="22" t="s">
        <v>6164</v>
      </c>
      <c r="X7" s="22" t="s">
        <v>3095</v>
      </c>
      <c r="Y7" s="22" t="s">
        <v>3095</v>
      </c>
      <c r="Z7" s="22" t="s">
        <v>3095</v>
      </c>
      <c r="AA7" s="22" t="s">
        <v>3095</v>
      </c>
      <c r="AB7" s="22" t="s">
        <v>3095</v>
      </c>
      <c r="AC7" s="22" t="s">
        <v>3095</v>
      </c>
      <c r="AD7" s="22" t="s">
        <v>3095</v>
      </c>
      <c r="AE7" s="22" t="s">
        <v>3095</v>
      </c>
      <c r="AF7" s="22" t="s">
        <v>3095</v>
      </c>
    </row>
    <row r="8" ht="45.0" customHeight="1">
      <c r="A8" s="55" t="s">
        <v>78</v>
      </c>
      <c r="B8" s="62" t="s">
        <v>3183</v>
      </c>
      <c r="C8" s="22" t="str">
        <f>IMAGE("https://raw.githubusercontent.com/ltdimages/images/refs/heads/main/ClothAllCostumeLongBird_00.png")</f>
        <v/>
      </c>
      <c r="D8" s="22" t="str">
        <f>IMAGE("https://raw.githubusercontent.com/ltdimages/images/refs/heads/main/ClothAllCostumeLongBird_01.png")</f>
        <v/>
      </c>
      <c r="E8" s="22" t="str">
        <f>IMAGE("https://raw.githubusercontent.com/ltdimages/images/refs/heads/main/ClothAllCostumeLongBird_02.png")</f>
        <v/>
      </c>
      <c r="F8" s="22" t="str">
        <f>IMAGE("https://raw.githubusercontent.com/ltdimages/images/refs/heads/main/ClothAllCostumeLongBird_03.png")</f>
        <v/>
      </c>
      <c r="G8" s="22" t="str">
        <f>IMAGE("https://raw.githubusercontent.com/ltdimages/images/refs/heads/main/ClothAllCostumeLongBird_04.png")</f>
        <v/>
      </c>
      <c r="H8" s="22" t="str">
        <f>IMAGE("https://raw.githubusercontent.com/ltdimages/images/refs/heads/main/ClothAllCostumeLongBird_05.png")</f>
        <v/>
      </c>
      <c r="I8" s="22" t="str">
        <f>IMAGE("https://raw.githubusercontent.com/ltdimages/images/refs/heads/main/ClothAllCostumeLongBird_06.png")</f>
        <v/>
      </c>
      <c r="J8" s="22" t="str">
        <f>IMAGE("https://raw.githubusercontent.com/ltdimages/images/refs/heads/main/ClothAllCostumeLongBird_07.png")</f>
        <v/>
      </c>
      <c r="K8" s="63" t="s">
        <v>3099</v>
      </c>
      <c r="L8" s="23">
        <v>31.0</v>
      </c>
      <c r="M8" s="22" t="s">
        <v>3097</v>
      </c>
      <c r="N8" s="22" t="s">
        <v>3099</v>
      </c>
      <c r="O8" s="22" t="s">
        <v>45</v>
      </c>
      <c r="P8" s="22" t="s">
        <v>45</v>
      </c>
      <c r="Q8" s="22" t="s">
        <v>45</v>
      </c>
      <c r="R8" s="22" t="s">
        <v>49</v>
      </c>
      <c r="S8" s="22" t="s">
        <v>45</v>
      </c>
      <c r="T8" s="22" t="s">
        <v>2002</v>
      </c>
      <c r="U8" s="22" t="s">
        <v>45</v>
      </c>
      <c r="V8" s="22" t="s">
        <v>45</v>
      </c>
      <c r="W8" s="22" t="s">
        <v>6165</v>
      </c>
      <c r="X8" s="22" t="s">
        <v>3095</v>
      </c>
      <c r="Y8" s="22" t="s">
        <v>3095</v>
      </c>
      <c r="Z8" s="22" t="s">
        <v>3095</v>
      </c>
      <c r="AA8" s="22" t="s">
        <v>3095</v>
      </c>
      <c r="AB8" s="22" t="s">
        <v>3095</v>
      </c>
      <c r="AC8" s="22" t="s">
        <v>3095</v>
      </c>
      <c r="AD8" s="22" t="s">
        <v>3095</v>
      </c>
      <c r="AE8" s="22" t="s">
        <v>3095</v>
      </c>
      <c r="AF8" s="22" t="s">
        <v>3095</v>
      </c>
    </row>
    <row r="9" ht="45.0" customHeight="1">
      <c r="A9" s="55" t="s">
        <v>83</v>
      </c>
      <c r="B9" s="62" t="s">
        <v>3269</v>
      </c>
      <c r="C9" s="22" t="str">
        <f>IMAGE("https://raw.githubusercontent.com/ltdimages/images/refs/heads/main/ClothAllBodySuitLongBodySuit_00.png")</f>
        <v/>
      </c>
      <c r="D9" s="22" t="str">
        <f>IMAGE("https://raw.githubusercontent.com/ltdimages/images/refs/heads/main/ClothAllBodySuitLongBodySuit_01.png")</f>
        <v/>
      </c>
      <c r="E9" s="22" t="str">
        <f>IMAGE("https://raw.githubusercontent.com/ltdimages/images/refs/heads/main/ClothAllBodySuitLongBodySuit_02.png")</f>
        <v/>
      </c>
      <c r="F9" s="22" t="str">
        <f>IMAGE("https://raw.githubusercontent.com/ltdimages/images/refs/heads/main/ClothAllBodySuitLongBodySuit_03.png")</f>
        <v/>
      </c>
      <c r="G9" s="22" t="str">
        <f>IMAGE("https://raw.githubusercontent.com/ltdimages/images/refs/heads/main/ClothAllBodySuitLongBodySuit_04.png")</f>
        <v/>
      </c>
      <c r="H9" s="22" t="str">
        <f>IMAGE("https://raw.githubusercontent.com/ltdimages/images/refs/heads/main/ClothAllBodySuitLongBodySuit_05.png")</f>
        <v/>
      </c>
      <c r="I9" s="22" t="str">
        <f>IMAGE("https://raw.githubusercontent.com/ltdimages/images/refs/heads/main/ClothAllBodySuitLongBodySuit_06.png")</f>
        <v/>
      </c>
      <c r="J9" s="22" t="str">
        <f>IMAGE("https://raw.githubusercontent.com/ltdimages/images/refs/heads/main/ClothAllBodySuitLongBodySuit_07.png")</f>
        <v/>
      </c>
      <c r="K9" s="63" t="s">
        <v>3099</v>
      </c>
      <c r="L9" s="23">
        <v>25.0</v>
      </c>
      <c r="M9" s="22" t="s">
        <v>3097</v>
      </c>
      <c r="N9" s="22" t="s">
        <v>3099</v>
      </c>
      <c r="O9" s="22" t="s">
        <v>45</v>
      </c>
      <c r="P9" s="22" t="s">
        <v>45</v>
      </c>
      <c r="Q9" s="22" t="s">
        <v>45</v>
      </c>
      <c r="R9" s="22" t="s">
        <v>49</v>
      </c>
      <c r="S9" s="22" t="s">
        <v>45</v>
      </c>
      <c r="T9" s="22" t="s">
        <v>2002</v>
      </c>
      <c r="U9" s="22" t="s">
        <v>45</v>
      </c>
      <c r="V9" s="22" t="s">
        <v>45</v>
      </c>
      <c r="W9" s="22" t="s">
        <v>6166</v>
      </c>
      <c r="X9" s="22" t="s">
        <v>3095</v>
      </c>
      <c r="Y9" s="22" t="s">
        <v>3095</v>
      </c>
      <c r="Z9" s="22" t="s">
        <v>3095</v>
      </c>
      <c r="AA9" s="22" t="s">
        <v>3095</v>
      </c>
      <c r="AB9" s="22" t="s">
        <v>3095</v>
      </c>
      <c r="AC9" s="22" t="s">
        <v>3095</v>
      </c>
      <c r="AD9" s="22" t="s">
        <v>3095</v>
      </c>
      <c r="AE9" s="22" t="s">
        <v>3095</v>
      </c>
      <c r="AF9" s="22" t="s">
        <v>3095</v>
      </c>
    </row>
    <row r="10" ht="45.0" customHeight="1">
      <c r="A10" s="55" t="s">
        <v>89</v>
      </c>
      <c r="B10" s="62" t="s">
        <v>6167</v>
      </c>
      <c r="C10" s="22" t="str">
        <f>IMAGE("https://raw.githubusercontent.com/ltdimages/images/refs/heads/main/ClothAllCupLongTapioca_00.png")</f>
        <v/>
      </c>
      <c r="D10" s="22" t="str">
        <f>IMAGE("https://raw.githubusercontent.com/ltdimages/images/refs/heads/main/ClothAllCupLongTapioca_01.png")</f>
        <v/>
      </c>
      <c r="E10" s="22" t="str">
        <f>IMAGE("https://raw.githubusercontent.com/ltdimages/images/refs/heads/main/ClothAllCupLongTapioca_02.png")</f>
        <v/>
      </c>
      <c r="F10" s="22" t="s">
        <v>3095</v>
      </c>
      <c r="G10" s="22" t="s">
        <v>3095</v>
      </c>
      <c r="H10" s="22" t="s">
        <v>3095</v>
      </c>
      <c r="I10" s="22" t="s">
        <v>3095</v>
      </c>
      <c r="J10" s="22" t="s">
        <v>3095</v>
      </c>
      <c r="K10" s="63" t="s">
        <v>3099</v>
      </c>
      <c r="L10" s="23">
        <v>25.0</v>
      </c>
      <c r="M10" s="22" t="s">
        <v>3097</v>
      </c>
      <c r="N10" s="22" t="s">
        <v>3099</v>
      </c>
      <c r="O10" s="22" t="s">
        <v>45</v>
      </c>
      <c r="P10" s="22" t="s">
        <v>45</v>
      </c>
      <c r="Q10" s="22" t="s">
        <v>45</v>
      </c>
      <c r="R10" s="22" t="s">
        <v>49</v>
      </c>
      <c r="S10" s="22" t="s">
        <v>45</v>
      </c>
      <c r="T10" s="22" t="s">
        <v>2002</v>
      </c>
      <c r="U10" s="22" t="s">
        <v>45</v>
      </c>
      <c r="V10" s="22" t="s">
        <v>45</v>
      </c>
      <c r="W10" s="22" t="s">
        <v>6168</v>
      </c>
      <c r="X10" s="22" t="s">
        <v>3095</v>
      </c>
      <c r="Y10" s="22" t="s">
        <v>3095</v>
      </c>
      <c r="Z10" s="22" t="s">
        <v>3095</v>
      </c>
      <c r="AA10" s="22" t="s">
        <v>3095</v>
      </c>
      <c r="AB10" s="22" t="s">
        <v>3095</v>
      </c>
      <c r="AC10" s="22" t="s">
        <v>3095</v>
      </c>
      <c r="AD10" s="22" t="s">
        <v>3095</v>
      </c>
      <c r="AE10" s="22" t="s">
        <v>3095</v>
      </c>
      <c r="AF10" s="22" t="s">
        <v>3095</v>
      </c>
    </row>
    <row r="11" ht="45.0" customHeight="1">
      <c r="A11" s="55" t="s">
        <v>94</v>
      </c>
      <c r="B11" s="62" t="s">
        <v>6169</v>
      </c>
      <c r="C11" s="22" t="str">
        <f>IMAGE("https://raw.githubusercontent.com/ltdimages/images/refs/heads/main/ClothAllBoxLongBuilding_00.png")</f>
        <v/>
      </c>
      <c r="D11" s="22" t="str">
        <f>IMAGE("https://raw.githubusercontent.com/ltdimages/images/refs/heads/main/ClothAllBoxLongBuilding_01.png")</f>
        <v/>
      </c>
      <c r="E11" s="22" t="s">
        <v>3095</v>
      </c>
      <c r="F11" s="22" t="s">
        <v>3095</v>
      </c>
      <c r="G11" s="22" t="s">
        <v>3095</v>
      </c>
      <c r="H11" s="22" t="s">
        <v>3095</v>
      </c>
      <c r="I11" s="22" t="s">
        <v>3095</v>
      </c>
      <c r="J11" s="22" t="s">
        <v>3095</v>
      </c>
      <c r="K11" s="63" t="s">
        <v>3099</v>
      </c>
      <c r="L11" s="23">
        <v>40.0</v>
      </c>
      <c r="M11" s="22" t="s">
        <v>3097</v>
      </c>
      <c r="N11" s="22" t="s">
        <v>3099</v>
      </c>
      <c r="O11" s="22" t="s">
        <v>45</v>
      </c>
      <c r="P11" s="22" t="s">
        <v>45</v>
      </c>
      <c r="Q11" s="22" t="s">
        <v>45</v>
      </c>
      <c r="R11" s="22" t="s">
        <v>49</v>
      </c>
      <c r="S11" s="22" t="s">
        <v>45</v>
      </c>
      <c r="T11" s="22" t="s">
        <v>2002</v>
      </c>
      <c r="U11" s="22" t="s">
        <v>45</v>
      </c>
      <c r="V11" s="22" t="s">
        <v>45</v>
      </c>
      <c r="W11" s="22" t="s">
        <v>6170</v>
      </c>
      <c r="X11" s="22" t="s">
        <v>3095</v>
      </c>
      <c r="Y11" s="22" t="s">
        <v>3095</v>
      </c>
      <c r="Z11" s="22" t="s">
        <v>3095</v>
      </c>
      <c r="AA11" s="22" t="s">
        <v>3095</v>
      </c>
      <c r="AB11" s="22" t="s">
        <v>3095</v>
      </c>
      <c r="AC11" s="22" t="s">
        <v>3095</v>
      </c>
      <c r="AD11" s="22" t="s">
        <v>3095</v>
      </c>
      <c r="AE11" s="22" t="s">
        <v>3095</v>
      </c>
      <c r="AF11" s="22" t="s">
        <v>3095</v>
      </c>
    </row>
    <row r="12" ht="45.0" customHeight="1">
      <c r="A12" s="55" t="s">
        <v>98</v>
      </c>
      <c r="B12" s="62" t="s">
        <v>6171</v>
      </c>
      <c r="C12" s="22" t="str">
        <f>IMAGE("https://raw.githubusercontent.com/ltdimages/images/refs/heads/main/ClothAllCylinderLongCake_00.png")</f>
        <v/>
      </c>
      <c r="D12" s="22" t="str">
        <f>IMAGE("https://raw.githubusercontent.com/ltdimages/images/refs/heads/main/ClothAllCylinderLongCake_01.png")</f>
        <v/>
      </c>
      <c r="E12" s="22" t="str">
        <f>IMAGE("https://raw.githubusercontent.com/ltdimages/images/refs/heads/main/ClothAllCylinderLongCake_02.png")</f>
        <v/>
      </c>
      <c r="F12" s="22" t="s">
        <v>3095</v>
      </c>
      <c r="G12" s="22" t="s">
        <v>3095</v>
      </c>
      <c r="H12" s="22" t="s">
        <v>3095</v>
      </c>
      <c r="I12" s="22" t="s">
        <v>3095</v>
      </c>
      <c r="J12" s="22" t="s">
        <v>3095</v>
      </c>
      <c r="K12" s="63" t="s">
        <v>3099</v>
      </c>
      <c r="L12" s="23">
        <v>35.5</v>
      </c>
      <c r="M12" s="22" t="s">
        <v>3097</v>
      </c>
      <c r="N12" s="22" t="s">
        <v>3099</v>
      </c>
      <c r="O12" s="22" t="s">
        <v>45</v>
      </c>
      <c r="P12" s="22" t="s">
        <v>45</v>
      </c>
      <c r="Q12" s="22" t="s">
        <v>45</v>
      </c>
      <c r="R12" s="22" t="s">
        <v>49</v>
      </c>
      <c r="S12" s="22" t="s">
        <v>45</v>
      </c>
      <c r="T12" s="22" t="s">
        <v>2002</v>
      </c>
      <c r="U12" s="22" t="s">
        <v>45</v>
      </c>
      <c r="V12" s="22" t="s">
        <v>45</v>
      </c>
      <c r="W12" s="22" t="s">
        <v>6172</v>
      </c>
      <c r="X12" s="22" t="s">
        <v>3095</v>
      </c>
      <c r="Y12" s="22" t="s">
        <v>3095</v>
      </c>
      <c r="Z12" s="22" t="s">
        <v>3095</v>
      </c>
      <c r="AA12" s="22" t="s">
        <v>3095</v>
      </c>
      <c r="AB12" s="22" t="s">
        <v>3095</v>
      </c>
      <c r="AC12" s="22" t="s">
        <v>3095</v>
      </c>
      <c r="AD12" s="22" t="s">
        <v>3095</v>
      </c>
      <c r="AE12" s="22" t="s">
        <v>3095</v>
      </c>
      <c r="AF12" s="22" t="s">
        <v>3095</v>
      </c>
    </row>
    <row r="13" ht="45.0" customHeight="1">
      <c r="A13" s="55" t="s">
        <v>104</v>
      </c>
      <c r="B13" s="62" t="s">
        <v>3286</v>
      </c>
      <c r="C13" s="22" t="str">
        <f>IMAGE("https://raw.githubusercontent.com/ltdimages/images/refs/heads/main/ClothAllBoxLongCardboard_00.png")</f>
        <v/>
      </c>
      <c r="D13" s="22" t="s">
        <v>3095</v>
      </c>
      <c r="E13" s="22" t="s">
        <v>3095</v>
      </c>
      <c r="F13" s="22" t="s">
        <v>3095</v>
      </c>
      <c r="G13" s="22" t="s">
        <v>3095</v>
      </c>
      <c r="H13" s="22" t="s">
        <v>3095</v>
      </c>
      <c r="I13" s="22" t="s">
        <v>3095</v>
      </c>
      <c r="J13" s="22" t="s">
        <v>3095</v>
      </c>
      <c r="K13" s="63" t="s">
        <v>3099</v>
      </c>
      <c r="L13" s="23">
        <v>5.0</v>
      </c>
      <c r="M13" s="22" t="s">
        <v>3097</v>
      </c>
      <c r="N13" s="22" t="s">
        <v>3099</v>
      </c>
      <c r="O13" s="22" t="s">
        <v>45</v>
      </c>
      <c r="P13" s="22" t="s">
        <v>45</v>
      </c>
      <c r="Q13" s="22" t="s">
        <v>45</v>
      </c>
      <c r="R13" s="22" t="s">
        <v>49</v>
      </c>
      <c r="S13" s="22" t="s">
        <v>45</v>
      </c>
      <c r="T13" s="22" t="s">
        <v>2002</v>
      </c>
      <c r="U13" s="22" t="s">
        <v>45</v>
      </c>
      <c r="V13" s="22" t="s">
        <v>45</v>
      </c>
      <c r="W13" s="22" t="s">
        <v>6173</v>
      </c>
      <c r="X13" s="22" t="s">
        <v>3095</v>
      </c>
      <c r="Y13" s="22" t="s">
        <v>3095</v>
      </c>
      <c r="Z13" s="22" t="s">
        <v>3095</v>
      </c>
      <c r="AA13" s="22" t="s">
        <v>3095</v>
      </c>
      <c r="AB13" s="22" t="s">
        <v>3095</v>
      </c>
      <c r="AC13" s="22" t="s">
        <v>3095</v>
      </c>
      <c r="AD13" s="22" t="s">
        <v>3095</v>
      </c>
      <c r="AE13" s="22" t="s">
        <v>3095</v>
      </c>
      <c r="AF13" s="22" t="s">
        <v>3095</v>
      </c>
    </row>
    <row r="14" ht="45.0" customHeight="1">
      <c r="A14" s="55" t="s">
        <v>109</v>
      </c>
      <c r="B14" s="62" t="s">
        <v>3290</v>
      </c>
      <c r="C14" s="22" t="str">
        <f>IMAGE("https://raw.githubusercontent.com/ltdimages/images/refs/heads/main/ClothAllBoxLongCardboardRobot_00.png")</f>
        <v/>
      </c>
      <c r="D14" s="22" t="s">
        <v>3095</v>
      </c>
      <c r="E14" s="22" t="s">
        <v>3095</v>
      </c>
      <c r="F14" s="22" t="s">
        <v>3095</v>
      </c>
      <c r="G14" s="22" t="s">
        <v>3095</v>
      </c>
      <c r="H14" s="22" t="s">
        <v>3095</v>
      </c>
      <c r="I14" s="22" t="s">
        <v>3095</v>
      </c>
      <c r="J14" s="22" t="s">
        <v>3095</v>
      </c>
      <c r="K14" s="63" t="s">
        <v>3099</v>
      </c>
      <c r="L14" s="23">
        <v>7.0</v>
      </c>
      <c r="M14" s="22" t="s">
        <v>3097</v>
      </c>
      <c r="N14" s="22" t="s">
        <v>3099</v>
      </c>
      <c r="O14" s="22" t="s">
        <v>45</v>
      </c>
      <c r="P14" s="22" t="s">
        <v>45</v>
      </c>
      <c r="Q14" s="22" t="s">
        <v>45</v>
      </c>
      <c r="R14" s="22" t="s">
        <v>49</v>
      </c>
      <c r="S14" s="22" t="s">
        <v>45</v>
      </c>
      <c r="T14" s="22" t="s">
        <v>2002</v>
      </c>
      <c r="U14" s="22" t="s">
        <v>45</v>
      </c>
      <c r="V14" s="22" t="s">
        <v>45</v>
      </c>
      <c r="W14" s="22" t="s">
        <v>6174</v>
      </c>
      <c r="X14" s="22" t="s">
        <v>3095</v>
      </c>
      <c r="Y14" s="22" t="s">
        <v>3095</v>
      </c>
      <c r="Z14" s="22" t="s">
        <v>3095</v>
      </c>
      <c r="AA14" s="22" t="s">
        <v>3095</v>
      </c>
      <c r="AB14" s="22" t="s">
        <v>3095</v>
      </c>
      <c r="AC14" s="22" t="s">
        <v>3095</v>
      </c>
      <c r="AD14" s="22" t="s">
        <v>3095</v>
      </c>
      <c r="AE14" s="22" t="s">
        <v>3095</v>
      </c>
      <c r="AF14" s="22" t="s">
        <v>3095</v>
      </c>
    </row>
    <row r="15" ht="45.0" customHeight="1">
      <c r="A15" s="55" t="s">
        <v>115</v>
      </c>
      <c r="B15" s="62" t="s">
        <v>6175</v>
      </c>
      <c r="C15" s="22" t="str">
        <f>IMAGE("https://raw.githubusercontent.com/ltdimages/images/refs/heads/main/ClothAllCarLongCar_00.png")</f>
        <v/>
      </c>
      <c r="D15" s="22" t="str">
        <f>IMAGE("https://raw.githubusercontent.com/ltdimages/images/refs/heads/main/ClothAllCarLongCar_01.png")</f>
        <v/>
      </c>
      <c r="E15" s="22" t="str">
        <f>IMAGE("https://raw.githubusercontent.com/ltdimages/images/refs/heads/main/ClothAllCarLongCar_02.png")</f>
        <v/>
      </c>
      <c r="F15" s="22" t="str">
        <f>IMAGE("https://raw.githubusercontent.com/ltdimages/images/refs/heads/main/ClothAllCarLongCar_03.png")</f>
        <v/>
      </c>
      <c r="G15" s="22" t="str">
        <f>IMAGE("https://raw.githubusercontent.com/ltdimages/images/refs/heads/main/ClothAllCarLongCar_04.png")</f>
        <v/>
      </c>
      <c r="H15" s="22" t="str">
        <f>IMAGE("https://raw.githubusercontent.com/ltdimages/images/refs/heads/main/ClothAllCarLongCar_05.png")</f>
        <v/>
      </c>
      <c r="I15" s="22" t="str">
        <f>IMAGE("https://raw.githubusercontent.com/ltdimages/images/refs/heads/main/ClothAllCarLongCar_06.png")</f>
        <v/>
      </c>
      <c r="J15" s="22" t="str">
        <f>IMAGE("https://raw.githubusercontent.com/ltdimages/images/refs/heads/main/ClothAllCarLongCar_07.png")</f>
        <v/>
      </c>
      <c r="K15" s="63" t="s">
        <v>3099</v>
      </c>
      <c r="L15" s="23">
        <v>40.0</v>
      </c>
      <c r="M15" s="22" t="s">
        <v>3097</v>
      </c>
      <c r="N15" s="22" t="s">
        <v>3099</v>
      </c>
      <c r="O15" s="22" t="s">
        <v>45</v>
      </c>
      <c r="P15" s="22" t="s">
        <v>45</v>
      </c>
      <c r="Q15" s="22" t="s">
        <v>45</v>
      </c>
      <c r="R15" s="22" t="s">
        <v>49</v>
      </c>
      <c r="S15" s="22" t="s">
        <v>45</v>
      </c>
      <c r="T15" s="22" t="s">
        <v>2002</v>
      </c>
      <c r="U15" s="22" t="s">
        <v>45</v>
      </c>
      <c r="V15" s="22" t="s">
        <v>45</v>
      </c>
      <c r="W15" s="22" t="s">
        <v>6176</v>
      </c>
      <c r="X15" s="22" t="s">
        <v>3095</v>
      </c>
      <c r="Y15" s="22" t="s">
        <v>3095</v>
      </c>
      <c r="Z15" s="22" t="s">
        <v>3095</v>
      </c>
      <c r="AA15" s="22" t="s">
        <v>3095</v>
      </c>
      <c r="AB15" s="22" t="s">
        <v>3095</v>
      </c>
      <c r="AC15" s="22" t="s">
        <v>3095</v>
      </c>
      <c r="AD15" s="22" t="s">
        <v>3095</v>
      </c>
      <c r="AE15" s="22" t="s">
        <v>3095</v>
      </c>
      <c r="AF15" s="22" t="s">
        <v>3095</v>
      </c>
    </row>
    <row r="16" ht="45.0" customHeight="1">
      <c r="A16" s="55" t="s">
        <v>119</v>
      </c>
      <c r="B16" s="62" t="s">
        <v>6177</v>
      </c>
      <c r="C16" s="22" t="str">
        <f>IMAGE("https://raw.githubusercontent.com/ltdimages/images/refs/heads/main/ClothAllCostumeLongCaterpillar_00.png")</f>
        <v/>
      </c>
      <c r="D16" s="22" t="str">
        <f>IMAGE("https://raw.githubusercontent.com/ltdimages/images/refs/heads/main/ClothAllCostumeLongCaterpillar_01.png")</f>
        <v/>
      </c>
      <c r="E16" s="22" t="str">
        <f>IMAGE("https://raw.githubusercontent.com/ltdimages/images/refs/heads/main/ClothAllCostumeLongCaterpillar_02.png")</f>
        <v/>
      </c>
      <c r="F16" s="22" t="s">
        <v>3095</v>
      </c>
      <c r="G16" s="22" t="s">
        <v>3095</v>
      </c>
      <c r="H16" s="22" t="s">
        <v>3095</v>
      </c>
      <c r="I16" s="22" t="s">
        <v>3095</v>
      </c>
      <c r="J16" s="22" t="s">
        <v>3095</v>
      </c>
      <c r="K16" s="63" t="s">
        <v>3099</v>
      </c>
      <c r="L16" s="23">
        <v>22.0</v>
      </c>
      <c r="M16" s="22" t="s">
        <v>3097</v>
      </c>
      <c r="N16" s="22" t="s">
        <v>3099</v>
      </c>
      <c r="O16" s="22" t="s">
        <v>45</v>
      </c>
      <c r="P16" s="22" t="s">
        <v>45</v>
      </c>
      <c r="Q16" s="22" t="s">
        <v>45</v>
      </c>
      <c r="R16" s="22" t="s">
        <v>49</v>
      </c>
      <c r="S16" s="22" t="s">
        <v>45</v>
      </c>
      <c r="T16" s="22" t="s">
        <v>2002</v>
      </c>
      <c r="U16" s="22" t="s">
        <v>45</v>
      </c>
      <c r="V16" s="22" t="s">
        <v>45</v>
      </c>
      <c r="W16" s="22" t="s">
        <v>6178</v>
      </c>
      <c r="X16" s="22" t="s">
        <v>3095</v>
      </c>
      <c r="Y16" s="22" t="s">
        <v>3095</v>
      </c>
      <c r="Z16" s="22" t="s">
        <v>3095</v>
      </c>
      <c r="AA16" s="22" t="s">
        <v>3095</v>
      </c>
      <c r="AB16" s="22" t="s">
        <v>3095</v>
      </c>
      <c r="AC16" s="22" t="s">
        <v>3095</v>
      </c>
      <c r="AD16" s="22" t="s">
        <v>3095</v>
      </c>
      <c r="AE16" s="22" t="s">
        <v>3095</v>
      </c>
      <c r="AF16" s="22" t="s">
        <v>3095</v>
      </c>
    </row>
    <row r="17" ht="45.0" customHeight="1">
      <c r="A17" s="55" t="s">
        <v>124</v>
      </c>
      <c r="B17" s="62" t="s">
        <v>3320</v>
      </c>
      <c r="C17" s="22" t="str">
        <f>IMAGE("https://raw.githubusercontent.com/ltdimages/images/refs/heads/main/ClothAllMascotLongCat_00.png")</f>
        <v/>
      </c>
      <c r="D17" s="22" t="str">
        <f>IMAGE("https://raw.githubusercontent.com/ltdimages/images/refs/heads/main/ClothAllMascotLongCat_01.png")</f>
        <v/>
      </c>
      <c r="E17" s="22" t="str">
        <f>IMAGE("https://raw.githubusercontent.com/ltdimages/images/refs/heads/main/ClothAllMascotLongCat_02.png")</f>
        <v/>
      </c>
      <c r="F17" s="22" t="str">
        <f>IMAGE("https://raw.githubusercontent.com/ltdimages/images/refs/heads/main/ClothAllMascotLongCat_03.png")</f>
        <v/>
      </c>
      <c r="G17" s="22" t="str">
        <f>IMAGE("https://raw.githubusercontent.com/ltdimages/images/refs/heads/main/ClothAllMascotLongCat_04.png")</f>
        <v/>
      </c>
      <c r="H17" s="22" t="str">
        <f>IMAGE("https://raw.githubusercontent.com/ltdimages/images/refs/heads/main/ClothAllMascotLongCat_05.png")</f>
        <v/>
      </c>
      <c r="I17" s="22" t="str">
        <f>IMAGE("https://raw.githubusercontent.com/ltdimages/images/refs/heads/main/ClothAllMascotLongCat_06.png")</f>
        <v/>
      </c>
      <c r="J17" s="22" t="str">
        <f>IMAGE("https://raw.githubusercontent.com/ltdimages/images/refs/heads/main/ClothAllMascotLongCat_07.png")</f>
        <v/>
      </c>
      <c r="K17" s="63" t="s">
        <v>3099</v>
      </c>
      <c r="L17" s="23">
        <v>22.0</v>
      </c>
      <c r="M17" s="22" t="s">
        <v>3097</v>
      </c>
      <c r="N17" s="22" t="s">
        <v>3099</v>
      </c>
      <c r="O17" s="22" t="s">
        <v>45</v>
      </c>
      <c r="P17" s="22" t="s">
        <v>45</v>
      </c>
      <c r="Q17" s="22" t="s">
        <v>45</v>
      </c>
      <c r="R17" s="22" t="s">
        <v>49</v>
      </c>
      <c r="S17" s="22" t="s">
        <v>45</v>
      </c>
      <c r="T17" s="22" t="s">
        <v>2002</v>
      </c>
      <c r="U17" s="22" t="s">
        <v>45</v>
      </c>
      <c r="V17" s="22" t="s">
        <v>45</v>
      </c>
      <c r="W17" s="22" t="s">
        <v>6179</v>
      </c>
      <c r="X17" s="22" t="s">
        <v>3095</v>
      </c>
      <c r="Y17" s="22" t="s">
        <v>3095</v>
      </c>
      <c r="Z17" s="22" t="s">
        <v>3095</v>
      </c>
      <c r="AA17" s="22" t="s">
        <v>3095</v>
      </c>
      <c r="AB17" s="22" t="s">
        <v>3095</v>
      </c>
      <c r="AC17" s="22" t="s">
        <v>3095</v>
      </c>
      <c r="AD17" s="22" t="s">
        <v>3095</v>
      </c>
      <c r="AE17" s="22" t="s">
        <v>3095</v>
      </c>
      <c r="AF17" s="22" t="s">
        <v>3095</v>
      </c>
    </row>
    <row r="18" ht="45.0" customHeight="1">
      <c r="A18" s="55" t="s">
        <v>129</v>
      </c>
      <c r="B18" s="62" t="s">
        <v>3334</v>
      </c>
      <c r="C18" s="22" t="str">
        <f>IMAGE("https://raw.githubusercontent.com/ltdimages/images/refs/heads/main/ClothAllCostumeLongHen_00.png")</f>
        <v/>
      </c>
      <c r="D18" s="22" t="s">
        <v>3095</v>
      </c>
      <c r="E18" s="22" t="s">
        <v>3095</v>
      </c>
      <c r="F18" s="22" t="s">
        <v>3095</v>
      </c>
      <c r="G18" s="22" t="s">
        <v>3095</v>
      </c>
      <c r="H18" s="22" t="s">
        <v>3095</v>
      </c>
      <c r="I18" s="22" t="s">
        <v>3095</v>
      </c>
      <c r="J18" s="22" t="s">
        <v>3095</v>
      </c>
      <c r="K18" s="63" t="s">
        <v>3099</v>
      </c>
      <c r="L18" s="23">
        <v>28.0</v>
      </c>
      <c r="M18" s="22" t="s">
        <v>3097</v>
      </c>
      <c r="N18" s="22" t="s">
        <v>3099</v>
      </c>
      <c r="O18" s="22" t="s">
        <v>45</v>
      </c>
      <c r="P18" s="22" t="s">
        <v>45</v>
      </c>
      <c r="Q18" s="22" t="s">
        <v>45</v>
      </c>
      <c r="R18" s="22" t="s">
        <v>49</v>
      </c>
      <c r="S18" s="22" t="s">
        <v>45</v>
      </c>
      <c r="T18" s="22" t="s">
        <v>2002</v>
      </c>
      <c r="U18" s="22" t="s">
        <v>45</v>
      </c>
      <c r="V18" s="22" t="s">
        <v>45</v>
      </c>
      <c r="W18" s="22" t="s">
        <v>6180</v>
      </c>
      <c r="X18" s="22" t="s">
        <v>3095</v>
      </c>
      <c r="Y18" s="22" t="s">
        <v>3095</v>
      </c>
      <c r="Z18" s="22" t="s">
        <v>3095</v>
      </c>
      <c r="AA18" s="22" t="s">
        <v>3095</v>
      </c>
      <c r="AB18" s="22" t="s">
        <v>3095</v>
      </c>
      <c r="AC18" s="22" t="s">
        <v>3095</v>
      </c>
      <c r="AD18" s="22" t="s">
        <v>3095</v>
      </c>
      <c r="AE18" s="22" t="s">
        <v>3095</v>
      </c>
      <c r="AF18" s="22" t="s">
        <v>3095</v>
      </c>
    </row>
    <row r="19" ht="45.0" customHeight="1">
      <c r="A19" s="55" t="s">
        <v>134</v>
      </c>
      <c r="B19" s="62" t="s">
        <v>6181</v>
      </c>
      <c r="C19" s="22" t="str">
        <f>IMAGE("https://raw.githubusercontent.com/ltdimages/images/refs/heads/main/ClothAllCylinderLongCorn_00.png")</f>
        <v/>
      </c>
      <c r="D19" s="22" t="str">
        <f>IMAGE("https://raw.githubusercontent.com/ltdimages/images/refs/heads/main/ClothAllCylinderLongCorn_01.png")</f>
        <v/>
      </c>
      <c r="E19" s="22" t="s">
        <v>3095</v>
      </c>
      <c r="F19" s="22" t="s">
        <v>3095</v>
      </c>
      <c r="G19" s="22" t="s">
        <v>3095</v>
      </c>
      <c r="H19" s="22" t="s">
        <v>3095</v>
      </c>
      <c r="I19" s="22" t="s">
        <v>3095</v>
      </c>
      <c r="J19" s="22" t="s">
        <v>3095</v>
      </c>
      <c r="K19" s="63" t="s">
        <v>3099</v>
      </c>
      <c r="L19" s="23">
        <v>26.0</v>
      </c>
      <c r="M19" s="22" t="s">
        <v>3097</v>
      </c>
      <c r="N19" s="22" t="s">
        <v>3099</v>
      </c>
      <c r="O19" s="22" t="s">
        <v>45</v>
      </c>
      <c r="P19" s="22" t="s">
        <v>45</v>
      </c>
      <c r="Q19" s="22" t="s">
        <v>45</v>
      </c>
      <c r="R19" s="22" t="s">
        <v>49</v>
      </c>
      <c r="S19" s="22" t="s">
        <v>45</v>
      </c>
      <c r="T19" s="22" t="s">
        <v>2002</v>
      </c>
      <c r="U19" s="22" t="s">
        <v>45</v>
      </c>
      <c r="V19" s="22" t="s">
        <v>45</v>
      </c>
      <c r="W19" s="22" t="s">
        <v>6182</v>
      </c>
      <c r="X19" s="22" t="s">
        <v>3095</v>
      </c>
      <c r="Y19" s="22" t="s">
        <v>3095</v>
      </c>
      <c r="Z19" s="22" t="s">
        <v>3095</v>
      </c>
      <c r="AA19" s="22" t="s">
        <v>3095</v>
      </c>
      <c r="AB19" s="22" t="s">
        <v>3095</v>
      </c>
      <c r="AC19" s="22" t="s">
        <v>3095</v>
      </c>
      <c r="AD19" s="22" t="s">
        <v>3095</v>
      </c>
      <c r="AE19" s="22" t="s">
        <v>3095</v>
      </c>
      <c r="AF19" s="22" t="s">
        <v>3095</v>
      </c>
    </row>
    <row r="20" ht="45.0" customHeight="1">
      <c r="A20" s="55" t="s">
        <v>138</v>
      </c>
      <c r="B20" s="62" t="s">
        <v>3393</v>
      </c>
      <c r="C20" s="22" t="str">
        <f>IMAGE("https://raw.githubusercontent.com/ltdimages/images/refs/heads/main/ClothAllCostumeLongCow_00.png")</f>
        <v/>
      </c>
      <c r="D20" s="22" t="str">
        <f>IMAGE("https://raw.githubusercontent.com/ltdimages/images/refs/heads/main/ClothAllCostumeLongCow_01.png")</f>
        <v/>
      </c>
      <c r="E20" s="22" t="str">
        <f>IMAGE("https://raw.githubusercontent.com/ltdimages/images/refs/heads/main/ClothAllCostumeLongCow_02.png")</f>
        <v/>
      </c>
      <c r="F20" s="22" t="str">
        <f>IMAGE("https://raw.githubusercontent.com/ltdimages/images/refs/heads/main/ClothAllCostumeLongCow_03.png")</f>
        <v/>
      </c>
      <c r="G20" s="22" t="s">
        <v>3095</v>
      </c>
      <c r="H20" s="22" t="s">
        <v>3095</v>
      </c>
      <c r="I20" s="22" t="s">
        <v>3095</v>
      </c>
      <c r="J20" s="22" t="s">
        <v>3095</v>
      </c>
      <c r="K20" s="63" t="s">
        <v>3099</v>
      </c>
      <c r="L20" s="23">
        <v>25.0</v>
      </c>
      <c r="M20" s="22" t="s">
        <v>3097</v>
      </c>
      <c r="N20" s="22" t="s">
        <v>3099</v>
      </c>
      <c r="O20" s="22" t="s">
        <v>45</v>
      </c>
      <c r="P20" s="22" t="s">
        <v>45</v>
      </c>
      <c r="Q20" s="22" t="s">
        <v>45</v>
      </c>
      <c r="R20" s="22" t="s">
        <v>49</v>
      </c>
      <c r="S20" s="22" t="s">
        <v>45</v>
      </c>
      <c r="T20" s="22" t="s">
        <v>2002</v>
      </c>
      <c r="U20" s="22" t="s">
        <v>45</v>
      </c>
      <c r="V20" s="22" t="s">
        <v>45</v>
      </c>
      <c r="W20" s="22" t="s">
        <v>6183</v>
      </c>
      <c r="X20" s="22" t="s">
        <v>3095</v>
      </c>
      <c r="Y20" s="22" t="s">
        <v>3095</v>
      </c>
      <c r="Z20" s="22" t="s">
        <v>3095</v>
      </c>
      <c r="AA20" s="22" t="s">
        <v>3095</v>
      </c>
      <c r="AB20" s="22" t="s">
        <v>3095</v>
      </c>
      <c r="AC20" s="22" t="s">
        <v>3095</v>
      </c>
      <c r="AD20" s="22" t="s">
        <v>3095</v>
      </c>
      <c r="AE20" s="22" t="s">
        <v>3095</v>
      </c>
      <c r="AF20" s="22" t="s">
        <v>3095</v>
      </c>
    </row>
    <row r="21" ht="45.0" customHeight="1">
      <c r="A21" s="55" t="s">
        <v>142</v>
      </c>
      <c r="B21" s="62" t="s">
        <v>3406</v>
      </c>
      <c r="C21" s="22" t="str">
        <f>IMAGE("https://raw.githubusercontent.com/ltdimages/images/refs/heads/main/ClothAllMascotLongCyber_00.png")</f>
        <v/>
      </c>
      <c r="D21" s="22" t="str">
        <f>IMAGE("https://raw.githubusercontent.com/ltdimages/images/refs/heads/main/ClothAllMascotLongCyber_01.png")</f>
        <v/>
      </c>
      <c r="E21" s="22" t="str">
        <f>IMAGE("https://raw.githubusercontent.com/ltdimages/images/refs/heads/main/ClothAllMascotLongCyber_02.png")</f>
        <v/>
      </c>
      <c r="F21" s="22" t="str">
        <f>IMAGE("https://raw.githubusercontent.com/ltdimages/images/refs/heads/main/ClothAllMascotLongCyber_03.png")</f>
        <v/>
      </c>
      <c r="G21" s="22" t="str">
        <f>IMAGE("https://raw.githubusercontent.com/ltdimages/images/refs/heads/main/ClothAllMascotLongCyber_04.png")</f>
        <v/>
      </c>
      <c r="H21" s="22" t="str">
        <f>IMAGE("https://raw.githubusercontent.com/ltdimages/images/refs/heads/main/ClothAllMascotLongCyber_05.png")</f>
        <v/>
      </c>
      <c r="I21" s="22" t="s">
        <v>3095</v>
      </c>
      <c r="J21" s="22" t="s">
        <v>3095</v>
      </c>
      <c r="K21" s="63" t="s">
        <v>3099</v>
      </c>
      <c r="L21" s="23">
        <v>138.0</v>
      </c>
      <c r="M21" s="22" t="s">
        <v>3097</v>
      </c>
      <c r="N21" s="22" t="s">
        <v>3099</v>
      </c>
      <c r="O21" s="22" t="s">
        <v>45</v>
      </c>
      <c r="P21" s="22" t="s">
        <v>45</v>
      </c>
      <c r="Q21" s="22" t="s">
        <v>45</v>
      </c>
      <c r="R21" s="22" t="s">
        <v>49</v>
      </c>
      <c r="S21" s="22" t="s">
        <v>45</v>
      </c>
      <c r="T21" s="22" t="s">
        <v>2002</v>
      </c>
      <c r="U21" s="22" t="s">
        <v>45</v>
      </c>
      <c r="V21" s="22" t="s">
        <v>45</v>
      </c>
      <c r="W21" s="22" t="s">
        <v>6184</v>
      </c>
      <c r="X21" s="22" t="s">
        <v>3095</v>
      </c>
      <c r="Y21" s="22" t="s">
        <v>3095</v>
      </c>
      <c r="Z21" s="22" t="s">
        <v>3095</v>
      </c>
      <c r="AA21" s="22" t="s">
        <v>3095</v>
      </c>
      <c r="AB21" s="22" t="s">
        <v>3095</v>
      </c>
      <c r="AC21" s="22" t="s">
        <v>3095</v>
      </c>
      <c r="AD21" s="22" t="s">
        <v>3095</v>
      </c>
      <c r="AE21" s="22" t="s">
        <v>3095</v>
      </c>
      <c r="AF21" s="22" t="s">
        <v>3095</v>
      </c>
    </row>
    <row r="22" ht="45.0" customHeight="1">
      <c r="A22" s="55" t="s">
        <v>147</v>
      </c>
      <c r="B22" s="62" t="s">
        <v>6185</v>
      </c>
      <c r="C22" s="22" t="str">
        <f>IMAGE("https://raw.githubusercontent.com/ltdimages/images/refs/heads/main/ClothAllCostumeLongDaruma_00.png")</f>
        <v/>
      </c>
      <c r="D22" s="22" t="str">
        <f>IMAGE("https://raw.githubusercontent.com/ltdimages/images/refs/heads/main/ClothAllCostumeLongDaruma_01.png")</f>
        <v/>
      </c>
      <c r="E22" s="22" t="str">
        <f>IMAGE("https://raw.githubusercontent.com/ltdimages/images/refs/heads/main/ClothAllCostumeLongDaruma_02.png")</f>
        <v/>
      </c>
      <c r="F22" s="22" t="str">
        <f>IMAGE("https://raw.githubusercontent.com/ltdimages/images/refs/heads/main/ClothAllCostumeLongDaruma_03.png")</f>
        <v/>
      </c>
      <c r="G22" s="22" t="str">
        <f>IMAGE("https://raw.githubusercontent.com/ltdimages/images/refs/heads/main/ClothAllCostumeLongDaruma_04.png")</f>
        <v/>
      </c>
      <c r="H22" s="22" t="str">
        <f>IMAGE("https://raw.githubusercontent.com/ltdimages/images/refs/heads/main/ClothAllCostumeLongDaruma_05.png")</f>
        <v/>
      </c>
      <c r="I22" s="22" t="str">
        <f>IMAGE("https://raw.githubusercontent.com/ltdimages/images/refs/heads/main/ClothAllCostumeLongDaruma_06.png")</f>
        <v/>
      </c>
      <c r="J22" s="22" t="str">
        <f>IMAGE("https://raw.githubusercontent.com/ltdimages/images/refs/heads/main/ClothAllCostumeLongDaruma_07.png")</f>
        <v/>
      </c>
      <c r="K22" s="63" t="s">
        <v>3099</v>
      </c>
      <c r="L22" s="23">
        <v>23.0</v>
      </c>
      <c r="M22" s="22" t="s">
        <v>3097</v>
      </c>
      <c r="N22" s="22" t="s">
        <v>3099</v>
      </c>
      <c r="O22" s="22" t="s">
        <v>45</v>
      </c>
      <c r="P22" s="22" t="s">
        <v>45</v>
      </c>
      <c r="Q22" s="22" t="s">
        <v>45</v>
      </c>
      <c r="R22" s="22" t="s">
        <v>49</v>
      </c>
      <c r="S22" s="22" t="s">
        <v>45</v>
      </c>
      <c r="T22" s="22" t="s">
        <v>2002</v>
      </c>
      <c r="U22" s="22" t="s">
        <v>45</v>
      </c>
      <c r="V22" s="22" t="s">
        <v>45</v>
      </c>
      <c r="W22" s="22" t="s">
        <v>6186</v>
      </c>
      <c r="X22" s="22" t="s">
        <v>3095</v>
      </c>
      <c r="Y22" s="22" t="s">
        <v>3095</v>
      </c>
      <c r="Z22" s="22" t="s">
        <v>3095</v>
      </c>
      <c r="AA22" s="22" t="s">
        <v>3095</v>
      </c>
      <c r="AB22" s="22" t="s">
        <v>3095</v>
      </c>
      <c r="AC22" s="22" t="s">
        <v>3095</v>
      </c>
      <c r="AD22" s="22" t="s">
        <v>3095</v>
      </c>
      <c r="AE22" s="22" t="s">
        <v>3095</v>
      </c>
      <c r="AF22" s="22" t="s">
        <v>3095</v>
      </c>
    </row>
    <row r="23" ht="45.0" customHeight="1">
      <c r="A23" s="55" t="s">
        <v>152</v>
      </c>
      <c r="B23" s="62" t="s">
        <v>3424</v>
      </c>
      <c r="C23" s="22" t="str">
        <f>IMAGE("https://raw.githubusercontent.com/ltdimages/images/refs/heads/main/ClothAllBodySuitLongDevil_00.png")</f>
        <v/>
      </c>
      <c r="D23" s="22" t="str">
        <f>IMAGE("https://raw.githubusercontent.com/ltdimages/images/refs/heads/main/ClothAllBodySuitLongDevil_01.png")</f>
        <v/>
      </c>
      <c r="E23" s="22" t="str">
        <f>IMAGE("https://raw.githubusercontent.com/ltdimages/images/refs/heads/main/ClothAllBodySuitLongDevil_02.png")</f>
        <v/>
      </c>
      <c r="F23" s="22" t="str">
        <f>IMAGE("https://raw.githubusercontent.com/ltdimages/images/refs/heads/main/ClothAllBodySuitLongDevil_03.png")</f>
        <v/>
      </c>
      <c r="G23" s="22" t="str">
        <f>IMAGE("https://raw.githubusercontent.com/ltdimages/images/refs/heads/main/ClothAllBodySuitLongDevil_04.png")</f>
        <v/>
      </c>
      <c r="H23" s="22" t="str">
        <f>IMAGE("https://raw.githubusercontent.com/ltdimages/images/refs/heads/main/ClothAllBodySuitLongDevil_05.png")</f>
        <v/>
      </c>
      <c r="I23" s="22" t="s">
        <v>3095</v>
      </c>
      <c r="J23" s="22" t="s">
        <v>3095</v>
      </c>
      <c r="K23" s="63" t="s">
        <v>3099</v>
      </c>
      <c r="L23" s="23">
        <v>32.0</v>
      </c>
      <c r="M23" s="22" t="s">
        <v>3097</v>
      </c>
      <c r="N23" s="22" t="s">
        <v>3099</v>
      </c>
      <c r="O23" s="22" t="s">
        <v>45</v>
      </c>
      <c r="P23" s="22" t="s">
        <v>45</v>
      </c>
      <c r="Q23" s="22" t="s">
        <v>45</v>
      </c>
      <c r="R23" s="22" t="s">
        <v>49</v>
      </c>
      <c r="S23" s="22" t="s">
        <v>45</v>
      </c>
      <c r="T23" s="22" t="s">
        <v>2002</v>
      </c>
      <c r="U23" s="22" t="s">
        <v>45</v>
      </c>
      <c r="V23" s="22" t="s">
        <v>45</v>
      </c>
      <c r="W23" s="22" t="s">
        <v>6187</v>
      </c>
      <c r="X23" s="22" t="s">
        <v>3095</v>
      </c>
      <c r="Y23" s="22" t="s">
        <v>3095</v>
      </c>
      <c r="Z23" s="22" t="s">
        <v>3095</v>
      </c>
      <c r="AA23" s="22" t="s">
        <v>3095</v>
      </c>
      <c r="AB23" s="22" t="s">
        <v>3095</v>
      </c>
      <c r="AC23" s="22" t="s">
        <v>3095</v>
      </c>
      <c r="AD23" s="22" t="s">
        <v>3095</v>
      </c>
      <c r="AE23" s="22" t="s">
        <v>3095</v>
      </c>
      <c r="AF23" s="22" t="s">
        <v>3095</v>
      </c>
    </row>
    <row r="24" ht="45.0" customHeight="1">
      <c r="A24" s="55" t="s">
        <v>156</v>
      </c>
      <c r="B24" s="62" t="s">
        <v>6188</v>
      </c>
      <c r="C24" s="22" t="str">
        <f>IMAGE("https://raw.githubusercontent.com/ltdimages/images/refs/heads/main/ClothAllMonsterLongDinosaur_00.png")</f>
        <v/>
      </c>
      <c r="D24" s="22" t="str">
        <f>IMAGE("https://raw.githubusercontent.com/ltdimages/images/refs/heads/main/ClothAllMonsterLongDinosaur_01.png")</f>
        <v/>
      </c>
      <c r="E24" s="22" t="str">
        <f>IMAGE("https://raw.githubusercontent.com/ltdimages/images/refs/heads/main/ClothAllMonsterLongDinosaur_02.png")</f>
        <v/>
      </c>
      <c r="F24" s="22" t="str">
        <f>IMAGE("https://raw.githubusercontent.com/ltdimages/images/refs/heads/main/ClothAllMonsterLongDinosaur_03.png")</f>
        <v/>
      </c>
      <c r="G24" s="22" t="str">
        <f>IMAGE("https://raw.githubusercontent.com/ltdimages/images/refs/heads/main/ClothAllMonsterLongDinosaur_04.png")</f>
        <v/>
      </c>
      <c r="H24" s="22" t="str">
        <f>IMAGE("https://raw.githubusercontent.com/ltdimages/images/refs/heads/main/ClothAllMonsterLongDinosaur_05.png")</f>
        <v/>
      </c>
      <c r="I24" s="22" t="str">
        <f>IMAGE("https://raw.githubusercontent.com/ltdimages/images/refs/heads/main/ClothAllMonsterLongDinosaur_06.png")</f>
        <v/>
      </c>
      <c r="J24" s="22" t="str">
        <f>IMAGE("https://raw.githubusercontent.com/ltdimages/images/refs/heads/main/ClothAllMonsterLongDinosaur_07.png")</f>
        <v/>
      </c>
      <c r="K24" s="63" t="s">
        <v>3099</v>
      </c>
      <c r="L24" s="23">
        <v>40.0</v>
      </c>
      <c r="M24" s="22" t="s">
        <v>3097</v>
      </c>
      <c r="N24" s="22" t="s">
        <v>3099</v>
      </c>
      <c r="O24" s="22" t="s">
        <v>45</v>
      </c>
      <c r="P24" s="22" t="s">
        <v>45</v>
      </c>
      <c r="Q24" s="22" t="s">
        <v>45</v>
      </c>
      <c r="R24" s="22" t="s">
        <v>49</v>
      </c>
      <c r="S24" s="22" t="s">
        <v>45</v>
      </c>
      <c r="T24" s="22" t="s">
        <v>2002</v>
      </c>
      <c r="U24" s="22" t="s">
        <v>45</v>
      </c>
      <c r="V24" s="22" t="s">
        <v>45</v>
      </c>
      <c r="W24" s="22" t="s">
        <v>6189</v>
      </c>
      <c r="X24" s="22" t="s">
        <v>3095</v>
      </c>
      <c r="Y24" s="22" t="s">
        <v>3095</v>
      </c>
      <c r="Z24" s="22" t="s">
        <v>3095</v>
      </c>
      <c r="AA24" s="22" t="s">
        <v>3095</v>
      </c>
      <c r="AB24" s="22" t="s">
        <v>3095</v>
      </c>
      <c r="AC24" s="22" t="s">
        <v>3095</v>
      </c>
      <c r="AD24" s="22" t="s">
        <v>3095</v>
      </c>
      <c r="AE24" s="22" t="s">
        <v>3095</v>
      </c>
      <c r="AF24" s="22" t="s">
        <v>3095</v>
      </c>
    </row>
    <row r="25" ht="45.0" customHeight="1">
      <c r="A25" s="55" t="s">
        <v>161</v>
      </c>
      <c r="B25" s="62" t="s">
        <v>3439</v>
      </c>
      <c r="C25" s="22" t="str">
        <f>IMAGE("https://raw.githubusercontent.com/ltdimages/images/refs/heads/main/ClothAllMascotLongDivinng_00.png")</f>
        <v/>
      </c>
      <c r="D25" s="22" t="str">
        <f>IMAGE("https://raw.githubusercontent.com/ltdimages/images/refs/heads/main/ClothAllMascotLongDivinng_01.png")</f>
        <v/>
      </c>
      <c r="E25" s="22" t="str">
        <f>IMAGE("https://raw.githubusercontent.com/ltdimages/images/refs/heads/main/ClothAllMascotLongDivinng_02.png")</f>
        <v/>
      </c>
      <c r="F25" s="22" t="s">
        <v>3095</v>
      </c>
      <c r="G25" s="22" t="s">
        <v>3095</v>
      </c>
      <c r="H25" s="22" t="s">
        <v>3095</v>
      </c>
      <c r="I25" s="22" t="s">
        <v>3095</v>
      </c>
      <c r="J25" s="22" t="s">
        <v>3095</v>
      </c>
      <c r="K25" s="63" t="s">
        <v>3099</v>
      </c>
      <c r="L25" s="23">
        <v>42.0</v>
      </c>
      <c r="M25" s="22" t="s">
        <v>3097</v>
      </c>
      <c r="N25" s="22" t="s">
        <v>3099</v>
      </c>
      <c r="O25" s="22" t="s">
        <v>45</v>
      </c>
      <c r="P25" s="22" t="s">
        <v>45</v>
      </c>
      <c r="Q25" s="22" t="s">
        <v>45</v>
      </c>
      <c r="R25" s="22" t="s">
        <v>49</v>
      </c>
      <c r="S25" s="22" t="s">
        <v>45</v>
      </c>
      <c r="T25" s="22" t="s">
        <v>2002</v>
      </c>
      <c r="U25" s="22" t="s">
        <v>45</v>
      </c>
      <c r="V25" s="22" t="s">
        <v>45</v>
      </c>
      <c r="W25" s="22" t="s">
        <v>6190</v>
      </c>
      <c r="X25" s="22" t="s">
        <v>3095</v>
      </c>
      <c r="Y25" s="22" t="s">
        <v>3095</v>
      </c>
      <c r="Z25" s="22" t="s">
        <v>3095</v>
      </c>
      <c r="AA25" s="22" t="s">
        <v>3095</v>
      </c>
      <c r="AB25" s="22" t="s">
        <v>3095</v>
      </c>
      <c r="AC25" s="22" t="s">
        <v>3095</v>
      </c>
      <c r="AD25" s="22" t="s">
        <v>3095</v>
      </c>
      <c r="AE25" s="22" t="s">
        <v>3095</v>
      </c>
      <c r="AF25" s="22" t="s">
        <v>3095</v>
      </c>
    </row>
    <row r="26" ht="45.0" customHeight="1">
      <c r="A26" s="55" t="s">
        <v>165</v>
      </c>
      <c r="B26" s="62" t="s">
        <v>3451</v>
      </c>
      <c r="C26" s="22" t="str">
        <f>IMAGE("https://raw.githubusercontent.com/ltdimages/images/refs/heads/main/ClothAllMascotLongDog_00.png")</f>
        <v/>
      </c>
      <c r="D26" s="22" t="str">
        <f>IMAGE("https://raw.githubusercontent.com/ltdimages/images/refs/heads/main/ClothAllMascotLongDog_01.png")</f>
        <v/>
      </c>
      <c r="E26" s="22" t="str">
        <f>IMAGE("https://raw.githubusercontent.com/ltdimages/images/refs/heads/main/ClothAllMascotLongDog_02.png")</f>
        <v/>
      </c>
      <c r="F26" s="22" t="str">
        <f>IMAGE("https://raw.githubusercontent.com/ltdimages/images/refs/heads/main/ClothAllMascotLongDog_03.png")</f>
        <v/>
      </c>
      <c r="G26" s="22" t="str">
        <f>IMAGE("https://raw.githubusercontent.com/ltdimages/images/refs/heads/main/ClothAllMascotLongDog_04.png")</f>
        <v/>
      </c>
      <c r="H26" s="22" t="str">
        <f>IMAGE("https://raw.githubusercontent.com/ltdimages/images/refs/heads/main/ClothAllMascotLongDog_05.png")</f>
        <v/>
      </c>
      <c r="I26" s="22" t="str">
        <f>IMAGE("https://raw.githubusercontent.com/ltdimages/images/refs/heads/main/ClothAllMascotLongDog_06.png")</f>
        <v/>
      </c>
      <c r="J26" s="22" t="str">
        <f>IMAGE("https://raw.githubusercontent.com/ltdimages/images/refs/heads/main/ClothAllMascotLongDog_07.png")</f>
        <v/>
      </c>
      <c r="K26" s="63" t="s">
        <v>3099</v>
      </c>
      <c r="L26" s="23">
        <v>25.0</v>
      </c>
      <c r="M26" s="22" t="s">
        <v>3097</v>
      </c>
      <c r="N26" s="22" t="s">
        <v>3099</v>
      </c>
      <c r="O26" s="22" t="s">
        <v>45</v>
      </c>
      <c r="P26" s="22" t="s">
        <v>45</v>
      </c>
      <c r="Q26" s="22" t="s">
        <v>45</v>
      </c>
      <c r="R26" s="22" t="s">
        <v>49</v>
      </c>
      <c r="S26" s="22" t="s">
        <v>45</v>
      </c>
      <c r="T26" s="22" t="s">
        <v>2002</v>
      </c>
      <c r="U26" s="22" t="s">
        <v>45</v>
      </c>
      <c r="V26" s="22" t="s">
        <v>45</v>
      </c>
      <c r="W26" s="22" t="s">
        <v>6191</v>
      </c>
      <c r="X26" s="22" t="s">
        <v>3095</v>
      </c>
      <c r="Y26" s="22" t="s">
        <v>3095</v>
      </c>
      <c r="Z26" s="22" t="s">
        <v>3095</v>
      </c>
      <c r="AA26" s="22" t="s">
        <v>3095</v>
      </c>
      <c r="AB26" s="22" t="s">
        <v>3095</v>
      </c>
      <c r="AC26" s="22" t="s">
        <v>3095</v>
      </c>
      <c r="AD26" s="22" t="s">
        <v>3095</v>
      </c>
      <c r="AE26" s="22" t="s">
        <v>3095</v>
      </c>
      <c r="AF26" s="22" t="s">
        <v>3095</v>
      </c>
    </row>
    <row r="27" ht="45.0" customHeight="1">
      <c r="A27" s="55" t="s">
        <v>170</v>
      </c>
      <c r="B27" s="62" t="s">
        <v>3471</v>
      </c>
      <c r="C27" s="22" t="str">
        <f>IMAGE("https://raw.githubusercontent.com/ltdimages/images/refs/heads/main/ClothAllMonsterLongDragon_00.png")</f>
        <v/>
      </c>
      <c r="D27" s="22" t="str">
        <f>IMAGE("https://raw.githubusercontent.com/ltdimages/images/refs/heads/main/ClothAllMonsterLongDragon_01.png")</f>
        <v/>
      </c>
      <c r="E27" s="22" t="str">
        <f>IMAGE("https://raw.githubusercontent.com/ltdimages/images/refs/heads/main/ClothAllMonsterLongDragon_02.png")</f>
        <v/>
      </c>
      <c r="F27" s="22" t="str">
        <f>IMAGE("https://raw.githubusercontent.com/ltdimages/images/refs/heads/main/ClothAllMonsterLongDragon_03.png")</f>
        <v/>
      </c>
      <c r="G27" s="22" t="str">
        <f>IMAGE("https://raw.githubusercontent.com/ltdimages/images/refs/heads/main/ClothAllMonsterLongDragon_04.png")</f>
        <v/>
      </c>
      <c r="H27" s="22" t="str">
        <f>IMAGE("https://raw.githubusercontent.com/ltdimages/images/refs/heads/main/ClothAllMonsterLongDragon_05.png")</f>
        <v/>
      </c>
      <c r="I27" s="22" t="str">
        <f>IMAGE("https://raw.githubusercontent.com/ltdimages/images/refs/heads/main/ClothAllMonsterLongDragon_06.png")</f>
        <v/>
      </c>
      <c r="J27" s="22" t="str">
        <f>IMAGE("https://raw.githubusercontent.com/ltdimages/images/refs/heads/main/ClothAllMonsterLongDragon_07.png")</f>
        <v/>
      </c>
      <c r="K27" s="63" t="s">
        <v>3099</v>
      </c>
      <c r="L27" s="23">
        <v>45.0</v>
      </c>
      <c r="M27" s="22" t="s">
        <v>3097</v>
      </c>
      <c r="N27" s="22" t="s">
        <v>3099</v>
      </c>
      <c r="O27" s="22" t="s">
        <v>45</v>
      </c>
      <c r="P27" s="22" t="s">
        <v>45</v>
      </c>
      <c r="Q27" s="22" t="s">
        <v>45</v>
      </c>
      <c r="R27" s="22" t="s">
        <v>49</v>
      </c>
      <c r="S27" s="22" t="s">
        <v>45</v>
      </c>
      <c r="T27" s="22" t="s">
        <v>2002</v>
      </c>
      <c r="U27" s="22" t="s">
        <v>45</v>
      </c>
      <c r="V27" s="22" t="s">
        <v>45</v>
      </c>
      <c r="W27" s="22" t="s">
        <v>6192</v>
      </c>
      <c r="X27" s="22" t="s">
        <v>3095</v>
      </c>
      <c r="Y27" s="22" t="s">
        <v>3095</v>
      </c>
      <c r="Z27" s="22" t="s">
        <v>3095</v>
      </c>
      <c r="AA27" s="22" t="s">
        <v>3095</v>
      </c>
      <c r="AB27" s="22" t="s">
        <v>3095</v>
      </c>
      <c r="AC27" s="22" t="s">
        <v>3095</v>
      </c>
      <c r="AD27" s="22" t="s">
        <v>3095</v>
      </c>
      <c r="AE27" s="22" t="s">
        <v>3095</v>
      </c>
      <c r="AF27" s="22" t="s">
        <v>3095</v>
      </c>
    </row>
    <row r="28" ht="45.0" customHeight="1">
      <c r="A28" s="55" t="s">
        <v>175</v>
      </c>
      <c r="B28" s="62" t="s">
        <v>6193</v>
      </c>
      <c r="C28" s="22" t="str">
        <f>IMAGE("https://raw.githubusercontent.com/ltdimages/images/refs/heads/main/ClothAllCostumeLongEggplant_00.png")</f>
        <v/>
      </c>
      <c r="D28" s="22" t="str">
        <f>IMAGE("https://raw.githubusercontent.com/ltdimages/images/refs/heads/main/ClothAllCostumeLongEggplant_01.png")</f>
        <v/>
      </c>
      <c r="E28" s="22" t="s">
        <v>3095</v>
      </c>
      <c r="F28" s="22" t="s">
        <v>3095</v>
      </c>
      <c r="G28" s="22" t="s">
        <v>3095</v>
      </c>
      <c r="H28" s="22" t="s">
        <v>3095</v>
      </c>
      <c r="I28" s="22" t="s">
        <v>3095</v>
      </c>
      <c r="J28" s="22" t="s">
        <v>3095</v>
      </c>
      <c r="K28" s="63" t="s">
        <v>3099</v>
      </c>
      <c r="L28" s="23">
        <v>26.0</v>
      </c>
      <c r="M28" s="22" t="s">
        <v>3097</v>
      </c>
      <c r="N28" s="22" t="s">
        <v>3099</v>
      </c>
      <c r="O28" s="22" t="s">
        <v>45</v>
      </c>
      <c r="P28" s="22" t="s">
        <v>45</v>
      </c>
      <c r="Q28" s="22" t="s">
        <v>45</v>
      </c>
      <c r="R28" s="22" t="s">
        <v>49</v>
      </c>
      <c r="S28" s="22" t="s">
        <v>45</v>
      </c>
      <c r="T28" s="22" t="s">
        <v>2002</v>
      </c>
      <c r="U28" s="22" t="s">
        <v>45</v>
      </c>
      <c r="V28" s="22" t="s">
        <v>45</v>
      </c>
      <c r="W28" s="22" t="s">
        <v>6194</v>
      </c>
      <c r="X28" s="22" t="s">
        <v>3095</v>
      </c>
      <c r="Y28" s="22" t="s">
        <v>3095</v>
      </c>
      <c r="Z28" s="22" t="s">
        <v>3095</v>
      </c>
      <c r="AA28" s="22" t="s">
        <v>3095</v>
      </c>
      <c r="AB28" s="22" t="s">
        <v>3095</v>
      </c>
      <c r="AC28" s="22" t="s">
        <v>3095</v>
      </c>
      <c r="AD28" s="22" t="s">
        <v>3095</v>
      </c>
      <c r="AE28" s="22" t="s">
        <v>3095</v>
      </c>
      <c r="AF28" s="22" t="s">
        <v>3095</v>
      </c>
    </row>
    <row r="29" ht="45.0" customHeight="1">
      <c r="A29" s="55" t="s">
        <v>180</v>
      </c>
      <c r="B29" s="62" t="s">
        <v>6195</v>
      </c>
      <c r="C29" s="22" t="str">
        <f>IMAGE("https://raw.githubusercontent.com/ltdimages/images/refs/heads/main/ClothAllCostumeLongTamago_00.png")</f>
        <v/>
      </c>
      <c r="D29" s="22" t="s">
        <v>3095</v>
      </c>
      <c r="E29" s="22" t="s">
        <v>3095</v>
      </c>
      <c r="F29" s="22" t="s">
        <v>3095</v>
      </c>
      <c r="G29" s="22" t="s">
        <v>3095</v>
      </c>
      <c r="H29" s="22" t="s">
        <v>3095</v>
      </c>
      <c r="I29" s="22" t="s">
        <v>3095</v>
      </c>
      <c r="J29" s="22" t="s">
        <v>3095</v>
      </c>
      <c r="K29" s="63" t="s">
        <v>3099</v>
      </c>
      <c r="L29" s="23">
        <v>26.0</v>
      </c>
      <c r="M29" s="22" t="s">
        <v>3097</v>
      </c>
      <c r="N29" s="22" t="s">
        <v>3099</v>
      </c>
      <c r="O29" s="22" t="s">
        <v>45</v>
      </c>
      <c r="P29" s="22" t="s">
        <v>45</v>
      </c>
      <c r="Q29" s="22" t="s">
        <v>45</v>
      </c>
      <c r="R29" s="22" t="s">
        <v>49</v>
      </c>
      <c r="S29" s="22" t="s">
        <v>45</v>
      </c>
      <c r="T29" s="22" t="s">
        <v>2002</v>
      </c>
      <c r="U29" s="22" t="s">
        <v>45</v>
      </c>
      <c r="V29" s="22" t="s">
        <v>45</v>
      </c>
      <c r="W29" s="22" t="s">
        <v>6196</v>
      </c>
      <c r="X29" s="22" t="s">
        <v>3095</v>
      </c>
      <c r="Y29" s="22" t="s">
        <v>3095</v>
      </c>
      <c r="Z29" s="22" t="s">
        <v>3095</v>
      </c>
      <c r="AA29" s="22" t="s">
        <v>3095</v>
      </c>
      <c r="AB29" s="22" t="s">
        <v>3095</v>
      </c>
      <c r="AC29" s="22" t="s">
        <v>3095</v>
      </c>
      <c r="AD29" s="22" t="s">
        <v>3095</v>
      </c>
      <c r="AE29" s="22" t="s">
        <v>3095</v>
      </c>
      <c r="AF29" s="22" t="s">
        <v>3095</v>
      </c>
    </row>
    <row r="30" ht="45.0" customHeight="1">
      <c r="A30" s="55" t="s">
        <v>185</v>
      </c>
      <c r="B30" s="62" t="s">
        <v>3487</v>
      </c>
      <c r="C30" s="22" t="str">
        <f>IMAGE("https://raw.githubusercontent.com/ltdimages/images/refs/heads/main/ClothAllBodySuitLongFuture_00.png")</f>
        <v/>
      </c>
      <c r="D30" s="22" t="str">
        <f>IMAGE("https://raw.githubusercontent.com/ltdimages/images/refs/heads/main/ClothAllBodySuitLongFuture_01.png")</f>
        <v/>
      </c>
      <c r="E30" s="22" t="str">
        <f>IMAGE("https://raw.githubusercontent.com/ltdimages/images/refs/heads/main/ClothAllBodySuitLongFuture_02.png")</f>
        <v/>
      </c>
      <c r="F30" s="22" t="str">
        <f>IMAGE("https://raw.githubusercontent.com/ltdimages/images/refs/heads/main/ClothAllBodySuitLongFuture_03.png")</f>
        <v/>
      </c>
      <c r="G30" s="22" t="str">
        <f>IMAGE("https://raw.githubusercontent.com/ltdimages/images/refs/heads/main/ClothAllBodySuitLongFuture_04.png")</f>
        <v/>
      </c>
      <c r="H30" s="22" t="str">
        <f>IMAGE("https://raw.githubusercontent.com/ltdimages/images/refs/heads/main/ClothAllBodySuitLongFuture_05.png")</f>
        <v/>
      </c>
      <c r="I30" s="22" t="s">
        <v>3095</v>
      </c>
      <c r="J30" s="22" t="s">
        <v>3095</v>
      </c>
      <c r="K30" s="63" t="s">
        <v>3099</v>
      </c>
      <c r="L30" s="23">
        <v>43.0</v>
      </c>
      <c r="M30" s="22" t="s">
        <v>3097</v>
      </c>
      <c r="N30" s="22" t="s">
        <v>3099</v>
      </c>
      <c r="O30" s="22" t="s">
        <v>45</v>
      </c>
      <c r="P30" s="22" t="s">
        <v>45</v>
      </c>
      <c r="Q30" s="22" t="s">
        <v>45</v>
      </c>
      <c r="R30" s="22" t="s">
        <v>49</v>
      </c>
      <c r="S30" s="22" t="s">
        <v>45</v>
      </c>
      <c r="T30" s="22" t="s">
        <v>2002</v>
      </c>
      <c r="U30" s="22" t="s">
        <v>45</v>
      </c>
      <c r="V30" s="22" t="s">
        <v>45</v>
      </c>
      <c r="W30" s="22" t="s">
        <v>6197</v>
      </c>
      <c r="X30" s="22" t="s">
        <v>3095</v>
      </c>
      <c r="Y30" s="22" t="s">
        <v>3095</v>
      </c>
      <c r="Z30" s="22" t="s">
        <v>3095</v>
      </c>
      <c r="AA30" s="22" t="s">
        <v>3095</v>
      </c>
      <c r="AB30" s="22" t="s">
        <v>3095</v>
      </c>
      <c r="AC30" s="22" t="s">
        <v>3095</v>
      </c>
      <c r="AD30" s="22" t="s">
        <v>3095</v>
      </c>
      <c r="AE30" s="22" t="s">
        <v>3095</v>
      </c>
      <c r="AF30" s="22" t="s">
        <v>3095</v>
      </c>
    </row>
    <row r="31" ht="45.0" customHeight="1">
      <c r="A31" s="55" t="s">
        <v>189</v>
      </c>
      <c r="B31" s="62" t="s">
        <v>3501</v>
      </c>
      <c r="C31" s="22" t="str">
        <f>IMAGE("https://raw.githubusercontent.com/ltdimages/images/refs/heads/main/ClothAllMonsterLongFish_00.png")</f>
        <v/>
      </c>
      <c r="D31" s="22" t="str">
        <f>IMAGE("https://raw.githubusercontent.com/ltdimages/images/refs/heads/main/ClothAllMonsterLongFish_01.png")</f>
        <v/>
      </c>
      <c r="E31" s="22" t="str">
        <f>IMAGE("https://raw.githubusercontent.com/ltdimages/images/refs/heads/main/ClothAllMonsterLongFish_02.png")</f>
        <v/>
      </c>
      <c r="F31" s="22" t="str">
        <f>IMAGE("https://raw.githubusercontent.com/ltdimages/images/refs/heads/main/ClothAllMonsterLongFish_03.png")</f>
        <v/>
      </c>
      <c r="G31" s="22" t="str">
        <f>IMAGE("https://raw.githubusercontent.com/ltdimages/images/refs/heads/main/ClothAllMonsterLongFish_04.png")</f>
        <v/>
      </c>
      <c r="H31" s="22" t="str">
        <f>IMAGE("https://raw.githubusercontent.com/ltdimages/images/refs/heads/main/ClothAllMonsterLongFish_05.png")</f>
        <v/>
      </c>
      <c r="I31" s="22" t="str">
        <f>IMAGE("https://raw.githubusercontent.com/ltdimages/images/refs/heads/main/ClothAllMonsterLongFish_06.png")</f>
        <v/>
      </c>
      <c r="J31" s="22" t="str">
        <f>IMAGE("https://raw.githubusercontent.com/ltdimages/images/refs/heads/main/ClothAllMonsterLongFish_07.png")</f>
        <v/>
      </c>
      <c r="K31" s="63" t="s">
        <v>3099</v>
      </c>
      <c r="L31" s="23">
        <v>35.0</v>
      </c>
      <c r="M31" s="22" t="s">
        <v>3097</v>
      </c>
      <c r="N31" s="22" t="s">
        <v>3099</v>
      </c>
      <c r="O31" s="22" t="s">
        <v>45</v>
      </c>
      <c r="P31" s="22" t="s">
        <v>45</v>
      </c>
      <c r="Q31" s="22" t="s">
        <v>45</v>
      </c>
      <c r="R31" s="22" t="s">
        <v>49</v>
      </c>
      <c r="S31" s="22" t="s">
        <v>45</v>
      </c>
      <c r="T31" s="22" t="s">
        <v>2002</v>
      </c>
      <c r="U31" s="22" t="s">
        <v>45</v>
      </c>
      <c r="V31" s="22" t="s">
        <v>45</v>
      </c>
      <c r="W31" s="22" t="s">
        <v>6198</v>
      </c>
      <c r="X31" s="22" t="s">
        <v>3095</v>
      </c>
      <c r="Y31" s="22" t="s">
        <v>3095</v>
      </c>
      <c r="Z31" s="22" t="s">
        <v>3095</v>
      </c>
      <c r="AA31" s="22" t="s">
        <v>3095</v>
      </c>
      <c r="AB31" s="22" t="s">
        <v>3095</v>
      </c>
      <c r="AC31" s="22" t="s">
        <v>3095</v>
      </c>
      <c r="AD31" s="22" t="s">
        <v>3095</v>
      </c>
      <c r="AE31" s="22" t="s">
        <v>3095</v>
      </c>
      <c r="AF31" s="22" t="s">
        <v>3095</v>
      </c>
    </row>
    <row r="32" ht="45.0" customHeight="1">
      <c r="A32" s="55" t="s">
        <v>194</v>
      </c>
      <c r="B32" s="62" t="s">
        <v>6199</v>
      </c>
      <c r="C32" s="22" t="str">
        <f>IMAGE("https://raw.githubusercontent.com/ltdimages/images/refs/heads/main/ClothAllCostumeLongEgg_00.png")</f>
        <v/>
      </c>
      <c r="D32" s="22" t="s">
        <v>3095</v>
      </c>
      <c r="E32" s="22" t="s">
        <v>3095</v>
      </c>
      <c r="F32" s="22" t="s">
        <v>3095</v>
      </c>
      <c r="G32" s="22" t="s">
        <v>3095</v>
      </c>
      <c r="H32" s="22" t="s">
        <v>3095</v>
      </c>
      <c r="I32" s="22" t="s">
        <v>3095</v>
      </c>
      <c r="J32" s="22" t="s">
        <v>3095</v>
      </c>
      <c r="K32" s="63" t="s">
        <v>3099</v>
      </c>
      <c r="L32" s="23">
        <v>25.0</v>
      </c>
      <c r="M32" s="22" t="s">
        <v>3097</v>
      </c>
      <c r="N32" s="22" t="s">
        <v>3099</v>
      </c>
      <c r="O32" s="22" t="s">
        <v>45</v>
      </c>
      <c r="P32" s="22" t="s">
        <v>45</v>
      </c>
      <c r="Q32" s="22" t="s">
        <v>45</v>
      </c>
      <c r="R32" s="22" t="s">
        <v>49</v>
      </c>
      <c r="S32" s="22" t="s">
        <v>45</v>
      </c>
      <c r="T32" s="22" t="s">
        <v>2002</v>
      </c>
      <c r="U32" s="22" t="s">
        <v>45</v>
      </c>
      <c r="V32" s="22" t="s">
        <v>45</v>
      </c>
      <c r="W32" s="22" t="s">
        <v>6200</v>
      </c>
      <c r="X32" s="22" t="s">
        <v>3095</v>
      </c>
      <c r="Y32" s="22" t="s">
        <v>3095</v>
      </c>
      <c r="Z32" s="22" t="s">
        <v>3095</v>
      </c>
      <c r="AA32" s="22" t="s">
        <v>3095</v>
      </c>
      <c r="AB32" s="22" t="s">
        <v>3095</v>
      </c>
      <c r="AC32" s="22" t="s">
        <v>3095</v>
      </c>
      <c r="AD32" s="22" t="s">
        <v>3095</v>
      </c>
      <c r="AE32" s="22" t="s">
        <v>3095</v>
      </c>
      <c r="AF32" s="22" t="s">
        <v>3095</v>
      </c>
    </row>
    <row r="33" ht="45.0" customHeight="1">
      <c r="A33" s="55" t="s">
        <v>198</v>
      </c>
      <c r="B33" s="62" t="s">
        <v>6201</v>
      </c>
      <c r="C33" s="22" t="str">
        <f>IMAGE("https://raw.githubusercontent.com/ltdimages/images/refs/heads/main/ClothAllCostumeLongFriedShrimp_00.png")</f>
        <v/>
      </c>
      <c r="D33" s="22" t="s">
        <v>3095</v>
      </c>
      <c r="E33" s="22" t="s">
        <v>3095</v>
      </c>
      <c r="F33" s="22" t="s">
        <v>3095</v>
      </c>
      <c r="G33" s="22" t="s">
        <v>3095</v>
      </c>
      <c r="H33" s="22" t="s">
        <v>3095</v>
      </c>
      <c r="I33" s="22" t="s">
        <v>3095</v>
      </c>
      <c r="J33" s="22" t="s">
        <v>3095</v>
      </c>
      <c r="K33" s="63" t="s">
        <v>3099</v>
      </c>
      <c r="L33" s="23">
        <v>25.0</v>
      </c>
      <c r="M33" s="22" t="s">
        <v>3097</v>
      </c>
      <c r="N33" s="22" t="s">
        <v>3099</v>
      </c>
      <c r="O33" s="22" t="s">
        <v>45</v>
      </c>
      <c r="P33" s="22" t="s">
        <v>45</v>
      </c>
      <c r="Q33" s="22" t="s">
        <v>45</v>
      </c>
      <c r="R33" s="22" t="s">
        <v>49</v>
      </c>
      <c r="S33" s="22" t="s">
        <v>45</v>
      </c>
      <c r="T33" s="22" t="s">
        <v>2002</v>
      </c>
      <c r="U33" s="22" t="s">
        <v>45</v>
      </c>
      <c r="V33" s="22" t="s">
        <v>45</v>
      </c>
      <c r="W33" s="22" t="s">
        <v>6202</v>
      </c>
      <c r="X33" s="22" t="s">
        <v>3095</v>
      </c>
      <c r="Y33" s="22" t="s">
        <v>3095</v>
      </c>
      <c r="Z33" s="22" t="s">
        <v>3095</v>
      </c>
      <c r="AA33" s="22" t="s">
        <v>3095</v>
      </c>
      <c r="AB33" s="22" t="s">
        <v>3095</v>
      </c>
      <c r="AC33" s="22" t="s">
        <v>3095</v>
      </c>
      <c r="AD33" s="22" t="s">
        <v>3095</v>
      </c>
      <c r="AE33" s="22" t="s">
        <v>3095</v>
      </c>
      <c r="AF33" s="22" t="s">
        <v>3095</v>
      </c>
    </row>
    <row r="34" ht="45.0" customHeight="1">
      <c r="A34" s="55" t="s">
        <v>202</v>
      </c>
      <c r="B34" s="62" t="s">
        <v>3538</v>
      </c>
      <c r="C34" s="22" t="str">
        <f>IMAGE("https://raw.githubusercontent.com/ltdimages/images/refs/heads/main/ClothAllCostumeLongFrog_00.png")</f>
        <v/>
      </c>
      <c r="D34" s="22" t="s">
        <v>3095</v>
      </c>
      <c r="E34" s="22" t="s">
        <v>3095</v>
      </c>
      <c r="F34" s="22" t="s">
        <v>3095</v>
      </c>
      <c r="G34" s="22" t="s">
        <v>3095</v>
      </c>
      <c r="H34" s="22" t="s">
        <v>3095</v>
      </c>
      <c r="I34" s="22" t="s">
        <v>3095</v>
      </c>
      <c r="J34" s="22" t="s">
        <v>3095</v>
      </c>
      <c r="K34" s="63" t="s">
        <v>3099</v>
      </c>
      <c r="L34" s="23">
        <v>26.6</v>
      </c>
      <c r="M34" s="22" t="s">
        <v>3097</v>
      </c>
      <c r="N34" s="22" t="s">
        <v>3099</v>
      </c>
      <c r="O34" s="22" t="s">
        <v>45</v>
      </c>
      <c r="P34" s="22" t="s">
        <v>45</v>
      </c>
      <c r="Q34" s="22" t="s">
        <v>45</v>
      </c>
      <c r="R34" s="22" t="s">
        <v>49</v>
      </c>
      <c r="S34" s="22" t="s">
        <v>45</v>
      </c>
      <c r="T34" s="22" t="s">
        <v>2002</v>
      </c>
      <c r="U34" s="22" t="s">
        <v>45</v>
      </c>
      <c r="V34" s="22" t="s">
        <v>45</v>
      </c>
      <c r="W34" s="22" t="s">
        <v>6203</v>
      </c>
      <c r="X34" s="22" t="s">
        <v>3095</v>
      </c>
      <c r="Y34" s="22" t="s">
        <v>3095</v>
      </c>
      <c r="Z34" s="22" t="s">
        <v>3095</v>
      </c>
      <c r="AA34" s="22" t="s">
        <v>3095</v>
      </c>
      <c r="AB34" s="22" t="s">
        <v>3095</v>
      </c>
      <c r="AC34" s="22" t="s">
        <v>3095</v>
      </c>
      <c r="AD34" s="22" t="s">
        <v>3095</v>
      </c>
      <c r="AE34" s="22" t="s">
        <v>3095</v>
      </c>
      <c r="AF34" s="22" t="s">
        <v>3095</v>
      </c>
    </row>
    <row r="35" ht="45.0" customHeight="1">
      <c r="A35" s="55" t="s">
        <v>207</v>
      </c>
      <c r="B35" s="62" t="s">
        <v>6204</v>
      </c>
      <c r="C35" s="22" t="str">
        <f>IMAGE("https://raw.githubusercontent.com/ltdimages/images/refs/heads/main/ClothAllCylinderLongHamburger_00.png")</f>
        <v/>
      </c>
      <c r="D35" s="22" t="s">
        <v>3095</v>
      </c>
      <c r="E35" s="22" t="s">
        <v>3095</v>
      </c>
      <c r="F35" s="22" t="s">
        <v>3095</v>
      </c>
      <c r="G35" s="22" t="s">
        <v>3095</v>
      </c>
      <c r="H35" s="22" t="s">
        <v>3095</v>
      </c>
      <c r="I35" s="22" t="s">
        <v>3095</v>
      </c>
      <c r="J35" s="22" t="s">
        <v>3095</v>
      </c>
      <c r="K35" s="63" t="s">
        <v>3099</v>
      </c>
      <c r="L35" s="23">
        <v>25.0</v>
      </c>
      <c r="M35" s="22" t="s">
        <v>3097</v>
      </c>
      <c r="N35" s="22" t="s">
        <v>3099</v>
      </c>
      <c r="O35" s="22" t="s">
        <v>45</v>
      </c>
      <c r="P35" s="22" t="s">
        <v>45</v>
      </c>
      <c r="Q35" s="22" t="s">
        <v>45</v>
      </c>
      <c r="R35" s="22" t="s">
        <v>49</v>
      </c>
      <c r="S35" s="22" t="s">
        <v>45</v>
      </c>
      <c r="T35" s="22" t="s">
        <v>2002</v>
      </c>
      <c r="U35" s="22" t="s">
        <v>45</v>
      </c>
      <c r="V35" s="22" t="s">
        <v>45</v>
      </c>
      <c r="W35" s="22" t="s">
        <v>6205</v>
      </c>
      <c r="X35" s="22" t="s">
        <v>3095</v>
      </c>
      <c r="Y35" s="22" t="s">
        <v>3095</v>
      </c>
      <c r="Z35" s="22" t="s">
        <v>3095</v>
      </c>
      <c r="AA35" s="22" t="s">
        <v>3095</v>
      </c>
      <c r="AB35" s="22" t="s">
        <v>3095</v>
      </c>
      <c r="AC35" s="22" t="s">
        <v>3095</v>
      </c>
      <c r="AD35" s="22" t="s">
        <v>3095</v>
      </c>
      <c r="AE35" s="22" t="s">
        <v>3095</v>
      </c>
      <c r="AF35" s="22" t="s">
        <v>3095</v>
      </c>
    </row>
    <row r="36" ht="45.0" customHeight="1">
      <c r="A36" s="55" t="s">
        <v>211</v>
      </c>
      <c r="B36" s="62" t="s">
        <v>3596</v>
      </c>
      <c r="C36" s="22" t="str">
        <f>IMAGE("https://raw.githubusercontent.com/ltdimages/images/refs/heads/main/ClothAllPlumpLongHamster_00.png")</f>
        <v/>
      </c>
      <c r="D36" s="22" t="str">
        <f>IMAGE("https://raw.githubusercontent.com/ltdimages/images/refs/heads/main/ClothAllPlumpLongHamster_01.png")</f>
        <v/>
      </c>
      <c r="E36" s="22" t="str">
        <f>IMAGE("https://raw.githubusercontent.com/ltdimages/images/refs/heads/main/ClothAllPlumpLongHamster_02.png")</f>
        <v/>
      </c>
      <c r="F36" s="22" t="str">
        <f>IMAGE("https://raw.githubusercontent.com/ltdimages/images/refs/heads/main/ClothAllPlumpLongHamster_03.png")</f>
        <v/>
      </c>
      <c r="G36" s="22" t="str">
        <f>IMAGE("https://raw.githubusercontent.com/ltdimages/images/refs/heads/main/ClothAllPlumpLongHamster_04.png")</f>
        <v/>
      </c>
      <c r="H36" s="22" t="str">
        <f>IMAGE("https://raw.githubusercontent.com/ltdimages/images/refs/heads/main/ClothAllPlumpLongHamster_05.png")</f>
        <v/>
      </c>
      <c r="I36" s="22" t="s">
        <v>3095</v>
      </c>
      <c r="J36" s="22" t="s">
        <v>3095</v>
      </c>
      <c r="K36" s="63" t="s">
        <v>3099</v>
      </c>
      <c r="L36" s="23">
        <v>25.0</v>
      </c>
      <c r="M36" s="22" t="s">
        <v>3097</v>
      </c>
      <c r="N36" s="22" t="s">
        <v>3099</v>
      </c>
      <c r="O36" s="22" t="s">
        <v>45</v>
      </c>
      <c r="P36" s="22" t="s">
        <v>45</v>
      </c>
      <c r="Q36" s="22" t="s">
        <v>45</v>
      </c>
      <c r="R36" s="22" t="s">
        <v>49</v>
      </c>
      <c r="S36" s="22" t="s">
        <v>45</v>
      </c>
      <c r="T36" s="22" t="s">
        <v>2002</v>
      </c>
      <c r="U36" s="22" t="s">
        <v>45</v>
      </c>
      <c r="V36" s="22" t="s">
        <v>45</v>
      </c>
      <c r="W36" s="22" t="s">
        <v>6206</v>
      </c>
      <c r="X36" s="22" t="s">
        <v>3095</v>
      </c>
      <c r="Y36" s="22" t="s">
        <v>3095</v>
      </c>
      <c r="Z36" s="22" t="s">
        <v>3095</v>
      </c>
      <c r="AA36" s="22" t="s">
        <v>3095</v>
      </c>
      <c r="AB36" s="22" t="s">
        <v>3095</v>
      </c>
      <c r="AC36" s="22" t="s">
        <v>3095</v>
      </c>
      <c r="AD36" s="22" t="s">
        <v>3095</v>
      </c>
      <c r="AE36" s="22" t="s">
        <v>3095</v>
      </c>
      <c r="AF36" s="22" t="s">
        <v>3095</v>
      </c>
    </row>
    <row r="37" ht="45.0" customHeight="1">
      <c r="A37" s="55" t="s">
        <v>215</v>
      </c>
      <c r="B37" s="62" t="s">
        <v>6207</v>
      </c>
      <c r="C37" s="22" t="str">
        <f>IMAGE("https://raw.githubusercontent.com/ltdimages/images/refs/heads/main/ClothAllBodySuitLongHeavyMetal_00.png")</f>
        <v/>
      </c>
      <c r="D37" s="22" t="str">
        <f>IMAGE("https://raw.githubusercontent.com/ltdimages/images/refs/heads/main/ClothAllBodySuitLongHeavyMetal_01.png")</f>
        <v/>
      </c>
      <c r="E37" s="22" t="s">
        <v>3095</v>
      </c>
      <c r="F37" s="22" t="s">
        <v>3095</v>
      </c>
      <c r="G37" s="22" t="s">
        <v>3095</v>
      </c>
      <c r="H37" s="22" t="s">
        <v>3095</v>
      </c>
      <c r="I37" s="22" t="s">
        <v>3095</v>
      </c>
      <c r="J37" s="22" t="s">
        <v>3095</v>
      </c>
      <c r="K37" s="63" t="s">
        <v>3099</v>
      </c>
      <c r="L37" s="23">
        <v>31.5</v>
      </c>
      <c r="M37" s="22" t="s">
        <v>3097</v>
      </c>
      <c r="N37" s="22" t="s">
        <v>3099</v>
      </c>
      <c r="O37" s="22" t="s">
        <v>45</v>
      </c>
      <c r="P37" s="22" t="s">
        <v>45</v>
      </c>
      <c r="Q37" s="22" t="s">
        <v>45</v>
      </c>
      <c r="R37" s="22" t="s">
        <v>49</v>
      </c>
      <c r="S37" s="22" t="s">
        <v>45</v>
      </c>
      <c r="T37" s="22" t="s">
        <v>2002</v>
      </c>
      <c r="U37" s="22" t="s">
        <v>45</v>
      </c>
      <c r="V37" s="22" t="s">
        <v>45</v>
      </c>
      <c r="W37" s="22" t="s">
        <v>6208</v>
      </c>
      <c r="X37" s="22" t="s">
        <v>3095</v>
      </c>
      <c r="Y37" s="22" t="s">
        <v>3095</v>
      </c>
      <c r="Z37" s="22" t="s">
        <v>3095</v>
      </c>
      <c r="AA37" s="22" t="s">
        <v>3095</v>
      </c>
      <c r="AB37" s="22" t="s">
        <v>3095</v>
      </c>
      <c r="AC37" s="22" t="s">
        <v>3095</v>
      </c>
      <c r="AD37" s="22" t="s">
        <v>3095</v>
      </c>
      <c r="AE37" s="22" t="s">
        <v>3095</v>
      </c>
      <c r="AF37" s="22" t="s">
        <v>3095</v>
      </c>
    </row>
    <row r="38" ht="45.0" customHeight="1">
      <c r="A38" s="55" t="s">
        <v>220</v>
      </c>
      <c r="B38" s="62" t="s">
        <v>3610</v>
      </c>
      <c r="C38" s="22" t="str">
        <f>IMAGE("https://raw.githubusercontent.com/ltdimages/images/refs/heads/main/ClothAllBodySuitLongHero_00.png")</f>
        <v/>
      </c>
      <c r="D38" s="22" t="str">
        <f>IMAGE("https://raw.githubusercontent.com/ltdimages/images/refs/heads/main/ClothAllBodySuitLongHero_01.png")</f>
        <v/>
      </c>
      <c r="E38" s="22" t="str">
        <f>IMAGE("https://raw.githubusercontent.com/ltdimages/images/refs/heads/main/ClothAllBodySuitLongHero_02.png")</f>
        <v/>
      </c>
      <c r="F38" s="22" t="str">
        <f>IMAGE("https://raw.githubusercontent.com/ltdimages/images/refs/heads/main/ClothAllBodySuitLongHero_03.png")</f>
        <v/>
      </c>
      <c r="G38" s="22" t="str">
        <f>IMAGE("https://raw.githubusercontent.com/ltdimages/images/refs/heads/main/ClothAllBodySuitLongHero_04.png")</f>
        <v/>
      </c>
      <c r="H38" s="22" t="str">
        <f>IMAGE("https://raw.githubusercontent.com/ltdimages/images/refs/heads/main/ClothAllBodySuitLongHero_05.png")</f>
        <v/>
      </c>
      <c r="I38" s="22" t="str">
        <f>IMAGE("https://raw.githubusercontent.com/ltdimages/images/refs/heads/main/ClothAllBodySuitLongHero_06.png")</f>
        <v/>
      </c>
      <c r="J38" s="22" t="str">
        <f>IMAGE("https://raw.githubusercontent.com/ltdimages/images/refs/heads/main/ClothAllBodySuitLongHero_07.png")</f>
        <v/>
      </c>
      <c r="K38" s="63" t="s">
        <v>3099</v>
      </c>
      <c r="L38" s="23">
        <v>39.8</v>
      </c>
      <c r="M38" s="22" t="s">
        <v>3097</v>
      </c>
      <c r="N38" s="22" t="s">
        <v>3099</v>
      </c>
      <c r="O38" s="22" t="s">
        <v>45</v>
      </c>
      <c r="P38" s="22" t="s">
        <v>45</v>
      </c>
      <c r="Q38" s="22" t="s">
        <v>45</v>
      </c>
      <c r="R38" s="22" t="s">
        <v>49</v>
      </c>
      <c r="S38" s="22" t="s">
        <v>45</v>
      </c>
      <c r="T38" s="22" t="s">
        <v>2002</v>
      </c>
      <c r="U38" s="22" t="s">
        <v>45</v>
      </c>
      <c r="V38" s="22" t="s">
        <v>45</v>
      </c>
      <c r="W38" s="22" t="s">
        <v>6209</v>
      </c>
      <c r="X38" s="22" t="s">
        <v>3095</v>
      </c>
      <c r="Y38" s="22" t="s">
        <v>3095</v>
      </c>
      <c r="Z38" s="22" t="s">
        <v>3095</v>
      </c>
      <c r="AA38" s="22" t="s">
        <v>3095</v>
      </c>
      <c r="AB38" s="22" t="s">
        <v>3095</v>
      </c>
      <c r="AC38" s="22" t="s">
        <v>3095</v>
      </c>
      <c r="AD38" s="22" t="s">
        <v>3095</v>
      </c>
      <c r="AE38" s="22" t="s">
        <v>3095</v>
      </c>
      <c r="AF38" s="22" t="s">
        <v>3095</v>
      </c>
    </row>
    <row r="39" ht="45.0" customHeight="1">
      <c r="A39" s="55" t="s">
        <v>224</v>
      </c>
      <c r="B39" s="62" t="s">
        <v>3638</v>
      </c>
      <c r="C39" s="22" t="str">
        <f>IMAGE("https://raw.githubusercontent.com/ltdimages/images/refs/heads/main/ClothAllMascotLongHorse_00.png")</f>
        <v/>
      </c>
      <c r="D39" s="22" t="str">
        <f>IMAGE("https://raw.githubusercontent.com/ltdimages/images/refs/heads/main/ClothAllMascotLongHorse_01.png")</f>
        <v/>
      </c>
      <c r="E39" s="22" t="str">
        <f>IMAGE("https://raw.githubusercontent.com/ltdimages/images/refs/heads/main/ClothAllMascotLongHorse_02.png")</f>
        <v/>
      </c>
      <c r="F39" s="22" t="str">
        <f>IMAGE("https://raw.githubusercontent.com/ltdimages/images/refs/heads/main/ClothAllMascotLongHorse_03.png")</f>
        <v/>
      </c>
      <c r="G39" s="22" t="str">
        <f>IMAGE("https://raw.githubusercontent.com/ltdimages/images/refs/heads/main/ClothAllMascotLongHorse_04.png")</f>
        <v/>
      </c>
      <c r="H39" s="22" t="str">
        <f>IMAGE("https://raw.githubusercontent.com/ltdimages/images/refs/heads/main/ClothAllMascotLongHorse_05.png")</f>
        <v/>
      </c>
      <c r="I39" s="22" t="s">
        <v>3095</v>
      </c>
      <c r="J39" s="22" t="s">
        <v>3095</v>
      </c>
      <c r="K39" s="63" t="s">
        <v>3099</v>
      </c>
      <c r="L39" s="23">
        <v>28.0</v>
      </c>
      <c r="M39" s="22" t="s">
        <v>3097</v>
      </c>
      <c r="N39" s="22" t="s">
        <v>3099</v>
      </c>
      <c r="O39" s="22" t="s">
        <v>45</v>
      </c>
      <c r="P39" s="22" t="s">
        <v>45</v>
      </c>
      <c r="Q39" s="22" t="s">
        <v>45</v>
      </c>
      <c r="R39" s="22" t="s">
        <v>49</v>
      </c>
      <c r="S39" s="22" t="s">
        <v>45</v>
      </c>
      <c r="T39" s="22" t="s">
        <v>2002</v>
      </c>
      <c r="U39" s="22" t="s">
        <v>45</v>
      </c>
      <c r="V39" s="22" t="s">
        <v>45</v>
      </c>
      <c r="W39" s="22" t="s">
        <v>6210</v>
      </c>
      <c r="X39" s="22" t="s">
        <v>3095</v>
      </c>
      <c r="Y39" s="22" t="s">
        <v>3095</v>
      </c>
      <c r="Z39" s="22" t="s">
        <v>3095</v>
      </c>
      <c r="AA39" s="22" t="s">
        <v>3095</v>
      </c>
      <c r="AB39" s="22" t="s">
        <v>3095</v>
      </c>
      <c r="AC39" s="22" t="s">
        <v>3095</v>
      </c>
      <c r="AD39" s="22" t="s">
        <v>3095</v>
      </c>
      <c r="AE39" s="22" t="s">
        <v>3095</v>
      </c>
      <c r="AF39" s="22" t="s">
        <v>3095</v>
      </c>
    </row>
    <row r="40" ht="45.0" customHeight="1">
      <c r="A40" s="55" t="s">
        <v>229</v>
      </c>
      <c r="B40" s="62" t="s">
        <v>3642</v>
      </c>
      <c r="C40" s="22" t="str">
        <f>IMAGE("https://raw.githubusercontent.com/ltdimages/images/refs/heads/main/ClothAllCostumeLongHotdog_00.png")</f>
        <v/>
      </c>
      <c r="D40" s="22" t="s">
        <v>3095</v>
      </c>
      <c r="E40" s="22" t="s">
        <v>3095</v>
      </c>
      <c r="F40" s="22" t="s">
        <v>3095</v>
      </c>
      <c r="G40" s="22" t="s">
        <v>3095</v>
      </c>
      <c r="H40" s="22" t="s">
        <v>3095</v>
      </c>
      <c r="I40" s="22" t="s">
        <v>3095</v>
      </c>
      <c r="J40" s="22" t="s">
        <v>3095</v>
      </c>
      <c r="K40" s="63" t="s">
        <v>3099</v>
      </c>
      <c r="L40" s="23">
        <v>31.0</v>
      </c>
      <c r="M40" s="22" t="s">
        <v>3097</v>
      </c>
      <c r="N40" s="22" t="s">
        <v>3099</v>
      </c>
      <c r="O40" s="22" t="s">
        <v>45</v>
      </c>
      <c r="P40" s="22" t="s">
        <v>45</v>
      </c>
      <c r="Q40" s="22" t="s">
        <v>45</v>
      </c>
      <c r="R40" s="22" t="s">
        <v>49</v>
      </c>
      <c r="S40" s="22" t="s">
        <v>45</v>
      </c>
      <c r="T40" s="22" t="s">
        <v>2002</v>
      </c>
      <c r="U40" s="22" t="s">
        <v>45</v>
      </c>
      <c r="V40" s="22" t="s">
        <v>45</v>
      </c>
      <c r="W40" s="22" t="s">
        <v>6211</v>
      </c>
      <c r="X40" s="22" t="s">
        <v>3095</v>
      </c>
      <c r="Y40" s="22" t="s">
        <v>3095</v>
      </c>
      <c r="Z40" s="22" t="s">
        <v>3095</v>
      </c>
      <c r="AA40" s="22" t="s">
        <v>3095</v>
      </c>
      <c r="AB40" s="22" t="s">
        <v>3095</v>
      </c>
      <c r="AC40" s="22" t="s">
        <v>3095</v>
      </c>
      <c r="AD40" s="22" t="s">
        <v>3095</v>
      </c>
      <c r="AE40" s="22" t="s">
        <v>3095</v>
      </c>
      <c r="AF40" s="22" t="s">
        <v>3095</v>
      </c>
    </row>
    <row r="41" ht="45.0" customHeight="1">
      <c r="A41" s="55" t="s">
        <v>233</v>
      </c>
      <c r="B41" s="62" t="s">
        <v>3656</v>
      </c>
      <c r="C41" s="22" t="str">
        <f>IMAGE("https://raw.githubusercontent.com/ltdimages/images/refs/heads/main/ClothAllCostumeLongPumpkin_00.png")</f>
        <v/>
      </c>
      <c r="D41" s="22" t="str">
        <f>IMAGE("https://raw.githubusercontent.com/ltdimages/images/refs/heads/main/ClothAllCostumeLongPumpkin_01.png")</f>
        <v/>
      </c>
      <c r="E41" s="22" t="str">
        <f>IMAGE("https://raw.githubusercontent.com/ltdimages/images/refs/heads/main/ClothAllCostumeLongPumpkin_02.png")</f>
        <v/>
      </c>
      <c r="F41" s="22" t="str">
        <f>IMAGE("https://raw.githubusercontent.com/ltdimages/images/refs/heads/main/ClothAllCostumeLongPumpkin_03.png")</f>
        <v/>
      </c>
      <c r="G41" s="22" t="s">
        <v>3095</v>
      </c>
      <c r="H41" s="22" t="s">
        <v>3095</v>
      </c>
      <c r="I41" s="22" t="s">
        <v>3095</v>
      </c>
      <c r="J41" s="22" t="s">
        <v>3095</v>
      </c>
      <c r="K41" s="63" t="s">
        <v>3099</v>
      </c>
      <c r="L41" s="23">
        <v>31.0</v>
      </c>
      <c r="M41" s="22" t="s">
        <v>3097</v>
      </c>
      <c r="N41" s="22" t="s">
        <v>3654</v>
      </c>
      <c r="O41" s="22" t="s">
        <v>45</v>
      </c>
      <c r="P41" s="22" t="s">
        <v>45</v>
      </c>
      <c r="Q41" s="22" t="s">
        <v>45</v>
      </c>
      <c r="R41" s="22" t="s">
        <v>49</v>
      </c>
      <c r="S41" s="22" t="s">
        <v>45</v>
      </c>
      <c r="T41" s="22" t="s">
        <v>2002</v>
      </c>
      <c r="U41" s="22" t="s">
        <v>45</v>
      </c>
      <c r="V41" s="22" t="s">
        <v>45</v>
      </c>
      <c r="W41" s="22" t="s">
        <v>6212</v>
      </c>
      <c r="X41" s="22" t="s">
        <v>3095</v>
      </c>
      <c r="Y41" s="22" t="s">
        <v>3095</v>
      </c>
      <c r="Z41" s="22" t="s">
        <v>3095</v>
      </c>
      <c r="AA41" s="22" t="s">
        <v>3095</v>
      </c>
      <c r="AB41" s="22" t="s">
        <v>3095</v>
      </c>
      <c r="AC41" s="22" t="s">
        <v>3095</v>
      </c>
      <c r="AD41" s="22" t="s">
        <v>3095</v>
      </c>
      <c r="AE41" s="22" t="s">
        <v>3095</v>
      </c>
      <c r="AF41" s="22" t="s">
        <v>3095</v>
      </c>
    </row>
    <row r="42" ht="45.0" customHeight="1">
      <c r="A42" s="55" t="s">
        <v>237</v>
      </c>
      <c r="B42" s="62" t="s">
        <v>3667</v>
      </c>
      <c r="C42" s="22" t="str">
        <f>IMAGE("https://raw.githubusercontent.com/ltdimages/images/refs/heads/main/ClothAllPlumpLongPierrot_00.png")</f>
        <v/>
      </c>
      <c r="D42" s="22" t="str">
        <f>IMAGE("https://raw.githubusercontent.com/ltdimages/images/refs/heads/main/ClothAllPlumpLongPierrot_01.png")</f>
        <v/>
      </c>
      <c r="E42" s="22" t="str">
        <f>IMAGE("https://raw.githubusercontent.com/ltdimages/images/refs/heads/main/ClothAllPlumpLongPierrot_02.png")</f>
        <v/>
      </c>
      <c r="F42" s="22" t="str">
        <f>IMAGE("https://raw.githubusercontent.com/ltdimages/images/refs/heads/main/ClothAllPlumpLongPierrot_03.png")</f>
        <v/>
      </c>
      <c r="G42" s="22" t="s">
        <v>3095</v>
      </c>
      <c r="H42" s="22" t="s">
        <v>3095</v>
      </c>
      <c r="I42" s="22" t="s">
        <v>3095</v>
      </c>
      <c r="J42" s="22" t="s">
        <v>3095</v>
      </c>
      <c r="K42" s="63" t="s">
        <v>3099</v>
      </c>
      <c r="L42" s="23">
        <v>29.0</v>
      </c>
      <c r="M42" s="22" t="s">
        <v>3097</v>
      </c>
      <c r="N42" s="22" t="s">
        <v>3099</v>
      </c>
      <c r="O42" s="22" t="s">
        <v>45</v>
      </c>
      <c r="P42" s="22" t="s">
        <v>45</v>
      </c>
      <c r="Q42" s="22" t="s">
        <v>45</v>
      </c>
      <c r="R42" s="22" t="s">
        <v>49</v>
      </c>
      <c r="S42" s="22" t="s">
        <v>45</v>
      </c>
      <c r="T42" s="22" t="s">
        <v>2002</v>
      </c>
      <c r="U42" s="22" t="s">
        <v>45</v>
      </c>
      <c r="V42" s="22" t="s">
        <v>45</v>
      </c>
      <c r="W42" s="22" t="s">
        <v>6213</v>
      </c>
      <c r="X42" s="22" t="s">
        <v>3095</v>
      </c>
      <c r="Y42" s="22" t="s">
        <v>3095</v>
      </c>
      <c r="Z42" s="22" t="s">
        <v>3095</v>
      </c>
      <c r="AA42" s="22" t="s">
        <v>3095</v>
      </c>
      <c r="AB42" s="22" t="s">
        <v>3095</v>
      </c>
      <c r="AC42" s="22" t="s">
        <v>3095</v>
      </c>
      <c r="AD42" s="22" t="s">
        <v>3095</v>
      </c>
      <c r="AE42" s="22" t="s">
        <v>3095</v>
      </c>
      <c r="AF42" s="22" t="s">
        <v>3095</v>
      </c>
    </row>
    <row r="43" ht="45.0" customHeight="1">
      <c r="A43" s="55" t="s">
        <v>241</v>
      </c>
      <c r="B43" s="62" t="s">
        <v>3685</v>
      </c>
      <c r="C43" s="22" t="str">
        <f>IMAGE("https://raw.githubusercontent.com/ltdimages/images/refs/heads/main/ClothAllCostumeLongKoala_00.png")</f>
        <v/>
      </c>
      <c r="D43" s="22" t="s">
        <v>3095</v>
      </c>
      <c r="E43" s="22" t="s">
        <v>3095</v>
      </c>
      <c r="F43" s="22" t="s">
        <v>3095</v>
      </c>
      <c r="G43" s="22" t="s">
        <v>3095</v>
      </c>
      <c r="H43" s="22" t="s">
        <v>3095</v>
      </c>
      <c r="I43" s="22" t="s">
        <v>3095</v>
      </c>
      <c r="J43" s="22" t="s">
        <v>3095</v>
      </c>
      <c r="K43" s="63" t="s">
        <v>3099</v>
      </c>
      <c r="L43" s="23">
        <v>28.0</v>
      </c>
      <c r="M43" s="22" t="s">
        <v>3097</v>
      </c>
      <c r="N43" s="22" t="s">
        <v>3099</v>
      </c>
      <c r="O43" s="22" t="s">
        <v>45</v>
      </c>
      <c r="P43" s="22" t="s">
        <v>45</v>
      </c>
      <c r="Q43" s="22" t="s">
        <v>45</v>
      </c>
      <c r="R43" s="22" t="s">
        <v>49</v>
      </c>
      <c r="S43" s="22" t="s">
        <v>45</v>
      </c>
      <c r="T43" s="22" t="s">
        <v>2002</v>
      </c>
      <c r="U43" s="22" t="s">
        <v>45</v>
      </c>
      <c r="V43" s="22" t="s">
        <v>45</v>
      </c>
      <c r="W43" s="22" t="s">
        <v>6214</v>
      </c>
      <c r="X43" s="22" t="s">
        <v>3095</v>
      </c>
      <c r="Y43" s="22" t="s">
        <v>3095</v>
      </c>
      <c r="Z43" s="22" t="s">
        <v>3095</v>
      </c>
      <c r="AA43" s="22" t="s">
        <v>3095</v>
      </c>
      <c r="AB43" s="22" t="s">
        <v>3095</v>
      </c>
      <c r="AC43" s="22" t="s">
        <v>3095</v>
      </c>
      <c r="AD43" s="22" t="s">
        <v>3095</v>
      </c>
      <c r="AE43" s="22" t="s">
        <v>3095</v>
      </c>
      <c r="AF43" s="22" t="s">
        <v>3095</v>
      </c>
    </row>
    <row r="44" ht="45.0" customHeight="1">
      <c r="A44" s="55" t="s">
        <v>245</v>
      </c>
      <c r="B44" s="62" t="s">
        <v>6215</v>
      </c>
      <c r="C44" s="22" t="str">
        <f>IMAGE("https://raw.githubusercontent.com/ltdimages/images/refs/heads/main/ClothAllCupLongLatte_00.png")</f>
        <v/>
      </c>
      <c r="D44" s="22" t="str">
        <f>IMAGE("https://raw.githubusercontent.com/ltdimages/images/refs/heads/main/ClothAllCupLongLatte_01.png")</f>
        <v/>
      </c>
      <c r="E44" s="22" t="str">
        <f>IMAGE("https://raw.githubusercontent.com/ltdimages/images/refs/heads/main/ClothAllCupLongLatte_02.png")</f>
        <v/>
      </c>
      <c r="F44" s="22" t="s">
        <v>3095</v>
      </c>
      <c r="G44" s="22" t="s">
        <v>3095</v>
      </c>
      <c r="H44" s="22" t="s">
        <v>3095</v>
      </c>
      <c r="I44" s="22" t="s">
        <v>3095</v>
      </c>
      <c r="J44" s="22" t="s">
        <v>3095</v>
      </c>
      <c r="K44" s="63" t="s">
        <v>3099</v>
      </c>
      <c r="L44" s="23">
        <v>25.0</v>
      </c>
      <c r="M44" s="22" t="s">
        <v>3097</v>
      </c>
      <c r="N44" s="22" t="s">
        <v>3099</v>
      </c>
      <c r="O44" s="22" t="s">
        <v>45</v>
      </c>
      <c r="P44" s="22" t="s">
        <v>45</v>
      </c>
      <c r="Q44" s="22" t="s">
        <v>45</v>
      </c>
      <c r="R44" s="22" t="s">
        <v>49</v>
      </c>
      <c r="S44" s="22" t="s">
        <v>45</v>
      </c>
      <c r="T44" s="22" t="s">
        <v>2002</v>
      </c>
      <c r="U44" s="22" t="s">
        <v>45</v>
      </c>
      <c r="V44" s="22" t="s">
        <v>45</v>
      </c>
      <c r="W44" s="22" t="s">
        <v>6216</v>
      </c>
      <c r="X44" s="22" t="s">
        <v>3095</v>
      </c>
      <c r="Y44" s="22" t="s">
        <v>3095</v>
      </c>
      <c r="Z44" s="22" t="s">
        <v>3095</v>
      </c>
      <c r="AA44" s="22" t="s">
        <v>3095</v>
      </c>
      <c r="AB44" s="22" t="s">
        <v>3095</v>
      </c>
      <c r="AC44" s="22" t="s">
        <v>3095</v>
      </c>
      <c r="AD44" s="22" t="s">
        <v>3095</v>
      </c>
      <c r="AE44" s="22" t="s">
        <v>3095</v>
      </c>
      <c r="AF44" s="22" t="s">
        <v>3095</v>
      </c>
    </row>
    <row r="45" ht="45.0" customHeight="1">
      <c r="A45" s="55" t="s">
        <v>249</v>
      </c>
      <c r="B45" s="62" t="s">
        <v>3704</v>
      </c>
      <c r="C45" s="22" t="str">
        <f>IMAGE("https://raw.githubusercontent.com/ltdimages/images/refs/heads/main/ClothAllMascotLongLion_00.png")</f>
        <v/>
      </c>
      <c r="D45" s="22" t="str">
        <f>IMAGE("https://raw.githubusercontent.com/ltdimages/images/refs/heads/main/ClothAllMascotLongLion_01.png")</f>
        <v/>
      </c>
      <c r="E45" s="22" t="s">
        <v>3095</v>
      </c>
      <c r="F45" s="22" t="s">
        <v>3095</v>
      </c>
      <c r="G45" s="22" t="s">
        <v>3095</v>
      </c>
      <c r="H45" s="22" t="s">
        <v>3095</v>
      </c>
      <c r="I45" s="22" t="s">
        <v>3095</v>
      </c>
      <c r="J45" s="22" t="s">
        <v>3095</v>
      </c>
      <c r="K45" s="63" t="s">
        <v>3099</v>
      </c>
      <c r="L45" s="23">
        <v>28.0</v>
      </c>
      <c r="M45" s="22" t="s">
        <v>3097</v>
      </c>
      <c r="N45" s="22" t="s">
        <v>3099</v>
      </c>
      <c r="O45" s="22" t="s">
        <v>45</v>
      </c>
      <c r="P45" s="22" t="s">
        <v>45</v>
      </c>
      <c r="Q45" s="22" t="s">
        <v>45</v>
      </c>
      <c r="R45" s="22" t="s">
        <v>49</v>
      </c>
      <c r="S45" s="22" t="s">
        <v>45</v>
      </c>
      <c r="T45" s="22" t="s">
        <v>2002</v>
      </c>
      <c r="U45" s="22" t="s">
        <v>45</v>
      </c>
      <c r="V45" s="22" t="s">
        <v>45</v>
      </c>
      <c r="W45" s="22" t="s">
        <v>6217</v>
      </c>
      <c r="X45" s="22" t="s">
        <v>3095</v>
      </c>
      <c r="Y45" s="22" t="s">
        <v>3095</v>
      </c>
      <c r="Z45" s="22" t="s">
        <v>3095</v>
      </c>
      <c r="AA45" s="22" t="s">
        <v>3095</v>
      </c>
      <c r="AB45" s="22" t="s">
        <v>3095</v>
      </c>
      <c r="AC45" s="22" t="s">
        <v>3095</v>
      </c>
      <c r="AD45" s="22" t="s">
        <v>3095</v>
      </c>
      <c r="AE45" s="22" t="s">
        <v>3095</v>
      </c>
      <c r="AF45" s="22" t="s">
        <v>3095</v>
      </c>
    </row>
    <row r="46" ht="45.0" customHeight="1">
      <c r="A46" s="55" t="s">
        <v>253</v>
      </c>
      <c r="B46" s="62" t="s">
        <v>3735</v>
      </c>
      <c r="C46" s="22" t="str">
        <f>IMAGE("https://raw.githubusercontent.com/ltdimages/images/refs/heads/main/ClothAllMascotLongMonkey_00.png")</f>
        <v/>
      </c>
      <c r="D46" s="22" t="str">
        <f>IMAGE("https://raw.githubusercontent.com/ltdimages/images/refs/heads/main/ClothAllMascotLongMonkey_01.png")</f>
        <v/>
      </c>
      <c r="E46" s="22" t="str">
        <f>IMAGE("https://raw.githubusercontent.com/ltdimages/images/refs/heads/main/ClothAllMascotLongMonkey_02.png")</f>
        <v/>
      </c>
      <c r="F46" s="22" t="str">
        <f>IMAGE("https://raw.githubusercontent.com/ltdimages/images/refs/heads/main/ClothAllMascotLongMonkey_03.png")</f>
        <v/>
      </c>
      <c r="G46" s="22" t="str">
        <f>IMAGE("https://raw.githubusercontent.com/ltdimages/images/refs/heads/main/ClothAllMascotLongMonkey_04.png")</f>
        <v/>
      </c>
      <c r="H46" s="22" t="str">
        <f>IMAGE("https://raw.githubusercontent.com/ltdimages/images/refs/heads/main/ClothAllMascotLongMonkey_05.png")</f>
        <v/>
      </c>
      <c r="I46" s="22" t="s">
        <v>3095</v>
      </c>
      <c r="J46" s="22" t="s">
        <v>3095</v>
      </c>
      <c r="K46" s="63" t="s">
        <v>3099</v>
      </c>
      <c r="L46" s="23">
        <v>26.0</v>
      </c>
      <c r="M46" s="22" t="s">
        <v>3097</v>
      </c>
      <c r="N46" s="22" t="s">
        <v>3099</v>
      </c>
      <c r="O46" s="22" t="s">
        <v>45</v>
      </c>
      <c r="P46" s="22" t="s">
        <v>45</v>
      </c>
      <c r="Q46" s="22" t="s">
        <v>45</v>
      </c>
      <c r="R46" s="22" t="s">
        <v>49</v>
      </c>
      <c r="S46" s="22" t="s">
        <v>45</v>
      </c>
      <c r="T46" s="22" t="s">
        <v>2002</v>
      </c>
      <c r="U46" s="22" t="s">
        <v>45</v>
      </c>
      <c r="V46" s="22" t="s">
        <v>45</v>
      </c>
      <c r="W46" s="22" t="s">
        <v>6218</v>
      </c>
      <c r="X46" s="22" t="s">
        <v>3095</v>
      </c>
      <c r="Y46" s="22" t="s">
        <v>3095</v>
      </c>
      <c r="Z46" s="22" t="s">
        <v>3095</v>
      </c>
      <c r="AA46" s="22" t="s">
        <v>3095</v>
      </c>
      <c r="AB46" s="22" t="s">
        <v>3095</v>
      </c>
      <c r="AC46" s="22" t="s">
        <v>3095</v>
      </c>
      <c r="AD46" s="22" t="s">
        <v>3095</v>
      </c>
      <c r="AE46" s="22" t="s">
        <v>3095</v>
      </c>
      <c r="AF46" s="22" t="s">
        <v>3095</v>
      </c>
    </row>
    <row r="47" ht="45.0" customHeight="1">
      <c r="A47" s="55" t="s">
        <v>257</v>
      </c>
      <c r="B47" s="62" t="s">
        <v>3739</v>
      </c>
      <c r="C47" s="22" t="str">
        <f>IMAGE("https://raw.githubusercontent.com/ltdimages/images/refs/heads/main/ClothAllMonsterLongMonster_00.png")</f>
        <v/>
      </c>
      <c r="D47" s="22" t="str">
        <f>IMAGE("https://raw.githubusercontent.com/ltdimages/images/refs/heads/main/ClothAllMonsterLongMonster_01.png")</f>
        <v/>
      </c>
      <c r="E47" s="22" t="str">
        <f>IMAGE("https://raw.githubusercontent.com/ltdimages/images/refs/heads/main/ClothAllMonsterLongMonster_02.png")</f>
        <v/>
      </c>
      <c r="F47" s="22" t="str">
        <f>IMAGE("https://raw.githubusercontent.com/ltdimages/images/refs/heads/main/ClothAllMonsterLongMonster_03.png")</f>
        <v/>
      </c>
      <c r="G47" s="22" t="str">
        <f>IMAGE("https://raw.githubusercontent.com/ltdimages/images/refs/heads/main/ClothAllMonsterLongMonster_04.png")</f>
        <v/>
      </c>
      <c r="H47" s="22" t="str">
        <f>IMAGE("https://raw.githubusercontent.com/ltdimages/images/refs/heads/main/ClothAllMonsterLongMonster_05.png")</f>
        <v/>
      </c>
      <c r="I47" s="22" t="str">
        <f>IMAGE("https://raw.githubusercontent.com/ltdimages/images/refs/heads/main/ClothAllMonsterLongMonster_06.png")</f>
        <v/>
      </c>
      <c r="J47" s="22" t="str">
        <f>IMAGE("https://raw.githubusercontent.com/ltdimages/images/refs/heads/main/ClothAllMonsterLongMonster_07.png")</f>
        <v/>
      </c>
      <c r="K47" s="63" t="s">
        <v>3099</v>
      </c>
      <c r="L47" s="23">
        <v>26.0</v>
      </c>
      <c r="M47" s="22" t="s">
        <v>3097</v>
      </c>
      <c r="N47" s="22" t="s">
        <v>3099</v>
      </c>
      <c r="O47" s="22" t="s">
        <v>45</v>
      </c>
      <c r="P47" s="22" t="s">
        <v>45</v>
      </c>
      <c r="Q47" s="22" t="s">
        <v>45</v>
      </c>
      <c r="R47" s="22" t="s">
        <v>49</v>
      </c>
      <c r="S47" s="22" t="s">
        <v>45</v>
      </c>
      <c r="T47" s="22" t="s">
        <v>2002</v>
      </c>
      <c r="U47" s="22" t="s">
        <v>45</v>
      </c>
      <c r="V47" s="22" t="s">
        <v>45</v>
      </c>
      <c r="W47" s="22" t="s">
        <v>6219</v>
      </c>
      <c r="X47" s="22" t="s">
        <v>3095</v>
      </c>
      <c r="Y47" s="22" t="s">
        <v>3095</v>
      </c>
      <c r="Z47" s="22" t="s">
        <v>3095</v>
      </c>
      <c r="AA47" s="22" t="s">
        <v>3095</v>
      </c>
      <c r="AB47" s="22" t="s">
        <v>3095</v>
      </c>
      <c r="AC47" s="22" t="s">
        <v>3095</v>
      </c>
      <c r="AD47" s="22" t="s">
        <v>3095</v>
      </c>
      <c r="AE47" s="22" t="s">
        <v>3095</v>
      </c>
      <c r="AF47" s="22" t="s">
        <v>3095</v>
      </c>
    </row>
    <row r="48" ht="45.0" customHeight="1">
      <c r="A48" s="55" t="s">
        <v>261</v>
      </c>
      <c r="B48" s="62" t="s">
        <v>3743</v>
      </c>
      <c r="C48" s="22" t="str">
        <f>IMAGE("https://raw.githubusercontent.com/ltdimages/images/refs/heads/main/ClothAllBodySuitLongMummy_00.png")</f>
        <v/>
      </c>
      <c r="D48" s="22" t="s">
        <v>3095</v>
      </c>
      <c r="E48" s="22" t="s">
        <v>3095</v>
      </c>
      <c r="F48" s="22" t="s">
        <v>3095</v>
      </c>
      <c r="G48" s="22" t="s">
        <v>3095</v>
      </c>
      <c r="H48" s="22" t="s">
        <v>3095</v>
      </c>
      <c r="I48" s="22" t="s">
        <v>3095</v>
      </c>
      <c r="J48" s="22" t="s">
        <v>3095</v>
      </c>
      <c r="K48" s="63" t="s">
        <v>3099</v>
      </c>
      <c r="L48" s="23">
        <v>25.0</v>
      </c>
      <c r="M48" s="22" t="s">
        <v>3097</v>
      </c>
      <c r="N48" s="22" t="s">
        <v>3099</v>
      </c>
      <c r="O48" s="22" t="s">
        <v>45</v>
      </c>
      <c r="P48" s="22" t="s">
        <v>45</v>
      </c>
      <c r="Q48" s="22" t="s">
        <v>45</v>
      </c>
      <c r="R48" s="22" t="s">
        <v>49</v>
      </c>
      <c r="S48" s="22" t="s">
        <v>45</v>
      </c>
      <c r="T48" s="22" t="s">
        <v>2002</v>
      </c>
      <c r="U48" s="22" t="s">
        <v>45</v>
      </c>
      <c r="V48" s="22" t="s">
        <v>45</v>
      </c>
      <c r="W48" s="22" t="s">
        <v>6220</v>
      </c>
      <c r="X48" s="22" t="s">
        <v>3095</v>
      </c>
      <c r="Y48" s="22" t="s">
        <v>3095</v>
      </c>
      <c r="Z48" s="22" t="s">
        <v>3095</v>
      </c>
      <c r="AA48" s="22" t="s">
        <v>3095</v>
      </c>
      <c r="AB48" s="22" t="s">
        <v>3095</v>
      </c>
      <c r="AC48" s="22" t="s">
        <v>3095</v>
      </c>
      <c r="AD48" s="22" t="s">
        <v>3095</v>
      </c>
      <c r="AE48" s="22" t="s">
        <v>3095</v>
      </c>
      <c r="AF48" s="22" t="s">
        <v>3095</v>
      </c>
    </row>
    <row r="49" ht="45.0" customHeight="1">
      <c r="A49" s="55" t="s">
        <v>265</v>
      </c>
      <c r="B49" s="62" t="s">
        <v>3747</v>
      </c>
      <c r="C49" s="22" t="str">
        <f>IMAGE("https://raw.githubusercontent.com/ltdimages/images/refs/heads/main/ClothAllCostumeLongMushroom_00.png")</f>
        <v/>
      </c>
      <c r="D49" s="22" t="str">
        <f>IMAGE("https://raw.githubusercontent.com/ltdimages/images/refs/heads/main/ClothAllCostumeLongMushroom_01.png")</f>
        <v/>
      </c>
      <c r="E49" s="22" t="str">
        <f>IMAGE("https://raw.githubusercontent.com/ltdimages/images/refs/heads/main/ClothAllCostumeLongMushroom_02.png")</f>
        <v/>
      </c>
      <c r="F49" s="22" t="str">
        <f>IMAGE("https://raw.githubusercontent.com/ltdimages/images/refs/heads/main/ClothAllCostumeLongMushroom_03.png")</f>
        <v/>
      </c>
      <c r="G49" s="22" t="str">
        <f>IMAGE("https://raw.githubusercontent.com/ltdimages/images/refs/heads/main/ClothAllCostumeLongMushroom_04.png")</f>
        <v/>
      </c>
      <c r="H49" s="22" t="str">
        <f>IMAGE("https://raw.githubusercontent.com/ltdimages/images/refs/heads/main/ClothAllCostumeLongMushroom_05.png")</f>
        <v/>
      </c>
      <c r="I49" s="22" t="str">
        <f>IMAGE("https://raw.githubusercontent.com/ltdimages/images/refs/heads/main/ClothAllCostumeLongMushroom_06.png")</f>
        <v/>
      </c>
      <c r="J49" s="22" t="str">
        <f>IMAGE("https://raw.githubusercontent.com/ltdimages/images/refs/heads/main/ClothAllCostumeLongMushroom_07.png")</f>
        <v/>
      </c>
      <c r="K49" s="63" t="s">
        <v>3099</v>
      </c>
      <c r="L49" s="23">
        <v>25.0</v>
      </c>
      <c r="M49" s="22" t="s">
        <v>3097</v>
      </c>
      <c r="N49" s="22" t="s">
        <v>3099</v>
      </c>
      <c r="O49" s="22" t="s">
        <v>45</v>
      </c>
      <c r="P49" s="22" t="s">
        <v>45</v>
      </c>
      <c r="Q49" s="22" t="s">
        <v>45</v>
      </c>
      <c r="R49" s="22" t="s">
        <v>49</v>
      </c>
      <c r="S49" s="22" t="s">
        <v>45</v>
      </c>
      <c r="T49" s="22" t="s">
        <v>2002</v>
      </c>
      <c r="U49" s="22" t="s">
        <v>45</v>
      </c>
      <c r="V49" s="22" t="s">
        <v>45</v>
      </c>
      <c r="W49" s="22" t="s">
        <v>6221</v>
      </c>
      <c r="X49" s="22" t="s">
        <v>3095</v>
      </c>
      <c r="Y49" s="22" t="s">
        <v>3095</v>
      </c>
      <c r="Z49" s="22" t="s">
        <v>3095</v>
      </c>
      <c r="AA49" s="22" t="s">
        <v>3095</v>
      </c>
      <c r="AB49" s="22" t="s">
        <v>3095</v>
      </c>
      <c r="AC49" s="22" t="s">
        <v>3095</v>
      </c>
      <c r="AD49" s="22" t="s">
        <v>3095</v>
      </c>
      <c r="AE49" s="22" t="s">
        <v>3095</v>
      </c>
      <c r="AF49" s="22" t="s">
        <v>3095</v>
      </c>
    </row>
    <row r="50" ht="45.0" customHeight="1">
      <c r="A50" s="55" t="s">
        <v>269</v>
      </c>
      <c r="B50" s="62" t="s">
        <v>3768</v>
      </c>
      <c r="C50" s="22" t="str">
        <f>IMAGE("https://raw.githubusercontent.com/ltdimages/images/refs/heads/main/ClothAllBodySuitLongOgre_00.png")</f>
        <v/>
      </c>
      <c r="D50" s="22" t="str">
        <f>IMAGE("https://raw.githubusercontent.com/ltdimages/images/refs/heads/main/ClothAllBodySuitLongOgre_01.png")</f>
        <v/>
      </c>
      <c r="E50" s="22" t="str">
        <f>IMAGE("https://raw.githubusercontent.com/ltdimages/images/refs/heads/main/ClothAllBodySuitLongOgre_02.png")</f>
        <v/>
      </c>
      <c r="F50" s="22" t="str">
        <f>IMAGE("https://raw.githubusercontent.com/ltdimages/images/refs/heads/main/ClothAllBodySuitLongOgre_03.png")</f>
        <v/>
      </c>
      <c r="G50" s="22" t="s">
        <v>3095</v>
      </c>
      <c r="H50" s="22" t="s">
        <v>3095</v>
      </c>
      <c r="I50" s="22" t="s">
        <v>3095</v>
      </c>
      <c r="J50" s="22" t="s">
        <v>3095</v>
      </c>
      <c r="K50" s="63" t="s">
        <v>3099</v>
      </c>
      <c r="L50" s="23">
        <v>30.0</v>
      </c>
      <c r="M50" s="22" t="s">
        <v>3097</v>
      </c>
      <c r="N50" s="22" t="s">
        <v>3099</v>
      </c>
      <c r="O50" s="22" t="s">
        <v>45</v>
      </c>
      <c r="P50" s="22" t="s">
        <v>45</v>
      </c>
      <c r="Q50" s="22" t="s">
        <v>45</v>
      </c>
      <c r="R50" s="22" t="s">
        <v>49</v>
      </c>
      <c r="S50" s="22" t="s">
        <v>45</v>
      </c>
      <c r="T50" s="22" t="s">
        <v>2002</v>
      </c>
      <c r="U50" s="22" t="s">
        <v>45</v>
      </c>
      <c r="V50" s="22" t="s">
        <v>45</v>
      </c>
      <c r="W50" s="22" t="s">
        <v>6222</v>
      </c>
      <c r="X50" s="22" t="s">
        <v>3095</v>
      </c>
      <c r="Y50" s="22" t="s">
        <v>3095</v>
      </c>
      <c r="Z50" s="22" t="s">
        <v>3095</v>
      </c>
      <c r="AA50" s="22" t="s">
        <v>3095</v>
      </c>
      <c r="AB50" s="22" t="s">
        <v>3095</v>
      </c>
      <c r="AC50" s="22" t="s">
        <v>3095</v>
      </c>
      <c r="AD50" s="22" t="s">
        <v>3095</v>
      </c>
      <c r="AE50" s="22" t="s">
        <v>3095</v>
      </c>
      <c r="AF50" s="22" t="s">
        <v>3095</v>
      </c>
    </row>
    <row r="51" ht="45.0" customHeight="1">
      <c r="A51" s="55" t="s">
        <v>273</v>
      </c>
      <c r="B51" s="62" t="s">
        <v>3803</v>
      </c>
      <c r="C51" s="22" t="str">
        <f>IMAGE("https://raw.githubusercontent.com/ltdimages/images/refs/heads/main/ClothAllPlumpLongPenguin_00.png")</f>
        <v/>
      </c>
      <c r="D51" s="22" t="str">
        <f>IMAGE("https://raw.githubusercontent.com/ltdimages/images/refs/heads/main/ClothAllPlumpLongPenguin_01.png")</f>
        <v/>
      </c>
      <c r="E51" s="22" t="str">
        <f>IMAGE("https://raw.githubusercontent.com/ltdimages/images/refs/heads/main/ClothAllPlumpLongPenguin_02.png")</f>
        <v/>
      </c>
      <c r="F51" s="22" t="str">
        <f>IMAGE("https://raw.githubusercontent.com/ltdimages/images/refs/heads/main/ClothAllPlumpLongPenguin_03.png")</f>
        <v/>
      </c>
      <c r="G51" s="22" t="s">
        <v>3095</v>
      </c>
      <c r="H51" s="22" t="s">
        <v>3095</v>
      </c>
      <c r="I51" s="22" t="s">
        <v>3095</v>
      </c>
      <c r="J51" s="22" t="s">
        <v>3095</v>
      </c>
      <c r="K51" s="63" t="s">
        <v>3099</v>
      </c>
      <c r="L51" s="23">
        <v>28.0</v>
      </c>
      <c r="M51" s="22" t="s">
        <v>3097</v>
      </c>
      <c r="N51" s="22" t="s">
        <v>3099</v>
      </c>
      <c r="O51" s="22" t="s">
        <v>45</v>
      </c>
      <c r="P51" s="22" t="s">
        <v>45</v>
      </c>
      <c r="Q51" s="22" t="s">
        <v>45</v>
      </c>
      <c r="R51" s="22" t="s">
        <v>49</v>
      </c>
      <c r="S51" s="22" t="s">
        <v>45</v>
      </c>
      <c r="T51" s="22" t="s">
        <v>2002</v>
      </c>
      <c r="U51" s="22" t="s">
        <v>45</v>
      </c>
      <c r="V51" s="22" t="s">
        <v>45</v>
      </c>
      <c r="W51" s="22" t="s">
        <v>6223</v>
      </c>
      <c r="X51" s="22" t="s">
        <v>3095</v>
      </c>
      <c r="Y51" s="22" t="s">
        <v>3095</v>
      </c>
      <c r="Z51" s="22" t="s">
        <v>3095</v>
      </c>
      <c r="AA51" s="22" t="s">
        <v>3095</v>
      </c>
      <c r="AB51" s="22" t="s">
        <v>3095</v>
      </c>
      <c r="AC51" s="22" t="s">
        <v>3095</v>
      </c>
      <c r="AD51" s="22" t="s">
        <v>3095</v>
      </c>
      <c r="AE51" s="22" t="s">
        <v>3095</v>
      </c>
      <c r="AF51" s="22" t="s">
        <v>3095</v>
      </c>
    </row>
    <row r="52" ht="45.0" customHeight="1">
      <c r="A52" s="55" t="s">
        <v>277</v>
      </c>
      <c r="B52" s="62" t="s">
        <v>6224</v>
      </c>
      <c r="C52" s="22" t="str">
        <f>IMAGE("https://raw.githubusercontent.com/ltdimages/images/refs/heads/main/ClothAllCylinderLongPepper_00.png")</f>
        <v/>
      </c>
      <c r="D52" s="22" t="str">
        <f>IMAGE("https://raw.githubusercontent.com/ltdimages/images/refs/heads/main/ClothAllCylinderLongPepper_01.png")</f>
        <v/>
      </c>
      <c r="E52" s="22" t="str">
        <f>IMAGE("https://raw.githubusercontent.com/ltdimages/images/refs/heads/main/ClothAllCylinderLongPepper_02.png")</f>
        <v/>
      </c>
      <c r="F52" s="22" t="str">
        <f>IMAGE("https://raw.githubusercontent.com/ltdimages/images/refs/heads/main/ClothAllCylinderLongPepper_03.png")</f>
        <v/>
      </c>
      <c r="G52" s="22" t="s">
        <v>3095</v>
      </c>
      <c r="H52" s="22" t="s">
        <v>3095</v>
      </c>
      <c r="I52" s="22" t="s">
        <v>3095</v>
      </c>
      <c r="J52" s="22" t="s">
        <v>3095</v>
      </c>
      <c r="K52" s="63" t="s">
        <v>3099</v>
      </c>
      <c r="L52" s="23">
        <v>26.0</v>
      </c>
      <c r="M52" s="22" t="s">
        <v>3097</v>
      </c>
      <c r="N52" s="22" t="s">
        <v>3099</v>
      </c>
      <c r="O52" s="22" t="s">
        <v>45</v>
      </c>
      <c r="P52" s="22" t="s">
        <v>45</v>
      </c>
      <c r="Q52" s="22" t="s">
        <v>45</v>
      </c>
      <c r="R52" s="22" t="s">
        <v>49</v>
      </c>
      <c r="S52" s="22" t="s">
        <v>45</v>
      </c>
      <c r="T52" s="22" t="s">
        <v>2002</v>
      </c>
      <c r="U52" s="22" t="s">
        <v>45</v>
      </c>
      <c r="V52" s="22" t="s">
        <v>45</v>
      </c>
      <c r="W52" s="22" t="s">
        <v>6225</v>
      </c>
      <c r="X52" s="22" t="s">
        <v>3095</v>
      </c>
      <c r="Y52" s="22" t="s">
        <v>3095</v>
      </c>
      <c r="Z52" s="22" t="s">
        <v>3095</v>
      </c>
      <c r="AA52" s="22" t="s">
        <v>3095</v>
      </c>
      <c r="AB52" s="22" t="s">
        <v>3095</v>
      </c>
      <c r="AC52" s="22" t="s">
        <v>3095</v>
      </c>
      <c r="AD52" s="22" t="s">
        <v>3095</v>
      </c>
      <c r="AE52" s="22" t="s">
        <v>3095</v>
      </c>
      <c r="AF52" s="22" t="s">
        <v>3095</v>
      </c>
    </row>
    <row r="53" ht="45.0" customHeight="1">
      <c r="A53" s="55" t="s">
        <v>281</v>
      </c>
      <c r="B53" s="62" t="s">
        <v>3820</v>
      </c>
      <c r="C53" s="22" t="str">
        <f>IMAGE("https://raw.githubusercontent.com/ltdimages/images/refs/heads/main/ClothAllCostumeLongPig_00.png")</f>
        <v/>
      </c>
      <c r="D53" s="22" t="s">
        <v>3095</v>
      </c>
      <c r="E53" s="22" t="s">
        <v>3095</v>
      </c>
      <c r="F53" s="22" t="s">
        <v>3095</v>
      </c>
      <c r="G53" s="22" t="s">
        <v>3095</v>
      </c>
      <c r="H53" s="22" t="s">
        <v>3095</v>
      </c>
      <c r="I53" s="22" t="s">
        <v>3095</v>
      </c>
      <c r="J53" s="22" t="s">
        <v>3095</v>
      </c>
      <c r="K53" s="63" t="s">
        <v>3099</v>
      </c>
      <c r="L53" s="23">
        <v>28.0</v>
      </c>
      <c r="M53" s="22" t="s">
        <v>3097</v>
      </c>
      <c r="N53" s="22" t="s">
        <v>3099</v>
      </c>
      <c r="O53" s="22" t="s">
        <v>45</v>
      </c>
      <c r="P53" s="22" t="s">
        <v>45</v>
      </c>
      <c r="Q53" s="22" t="s">
        <v>45</v>
      </c>
      <c r="R53" s="22" t="s">
        <v>49</v>
      </c>
      <c r="S53" s="22" t="s">
        <v>45</v>
      </c>
      <c r="T53" s="22" t="s">
        <v>2002</v>
      </c>
      <c r="U53" s="22" t="s">
        <v>45</v>
      </c>
      <c r="V53" s="22" t="s">
        <v>45</v>
      </c>
      <c r="W53" s="22" t="s">
        <v>6226</v>
      </c>
      <c r="X53" s="22" t="s">
        <v>3095</v>
      </c>
      <c r="Y53" s="22" t="s">
        <v>3095</v>
      </c>
      <c r="Z53" s="22" t="s">
        <v>3095</v>
      </c>
      <c r="AA53" s="22" t="s">
        <v>3095</v>
      </c>
      <c r="AB53" s="22" t="s">
        <v>3095</v>
      </c>
      <c r="AC53" s="22" t="s">
        <v>3095</v>
      </c>
      <c r="AD53" s="22" t="s">
        <v>3095</v>
      </c>
      <c r="AE53" s="22" t="s">
        <v>3095</v>
      </c>
      <c r="AF53" s="22" t="s">
        <v>3095</v>
      </c>
    </row>
    <row r="54" ht="45.0" customHeight="1">
      <c r="A54" s="55" t="s">
        <v>285</v>
      </c>
      <c r="B54" s="62" t="s">
        <v>3828</v>
      </c>
      <c r="C54" s="22" t="str">
        <f>IMAGE("https://raw.githubusercontent.com/ltdimages/images/refs/heads/main/ClothAllCostumeLongPineapple_00.png")</f>
        <v/>
      </c>
      <c r="D54" s="22" t="s">
        <v>3095</v>
      </c>
      <c r="E54" s="22" t="s">
        <v>3095</v>
      </c>
      <c r="F54" s="22" t="s">
        <v>3095</v>
      </c>
      <c r="G54" s="22" t="s">
        <v>3095</v>
      </c>
      <c r="H54" s="22" t="s">
        <v>3095</v>
      </c>
      <c r="I54" s="22" t="s">
        <v>3095</v>
      </c>
      <c r="J54" s="22" t="s">
        <v>3095</v>
      </c>
      <c r="K54" s="63" t="s">
        <v>3099</v>
      </c>
      <c r="L54" s="23">
        <v>25.0</v>
      </c>
      <c r="M54" s="22" t="s">
        <v>3097</v>
      </c>
      <c r="N54" s="22" t="s">
        <v>3123</v>
      </c>
      <c r="O54" s="22" t="s">
        <v>45</v>
      </c>
      <c r="P54" s="22" t="s">
        <v>45</v>
      </c>
      <c r="Q54" s="22" t="s">
        <v>45</v>
      </c>
      <c r="R54" s="22" t="s">
        <v>49</v>
      </c>
      <c r="S54" s="22" t="s">
        <v>45</v>
      </c>
      <c r="T54" s="22" t="s">
        <v>2002</v>
      </c>
      <c r="U54" s="22" t="s">
        <v>45</v>
      </c>
      <c r="V54" s="22" t="s">
        <v>45</v>
      </c>
      <c r="W54" s="22" t="s">
        <v>6227</v>
      </c>
      <c r="X54" s="22" t="s">
        <v>3095</v>
      </c>
      <c r="Y54" s="22" t="s">
        <v>3095</v>
      </c>
      <c r="Z54" s="22" t="s">
        <v>3095</v>
      </c>
      <c r="AA54" s="22" t="s">
        <v>3095</v>
      </c>
      <c r="AB54" s="22" t="s">
        <v>3095</v>
      </c>
      <c r="AC54" s="22" t="s">
        <v>3095</v>
      </c>
      <c r="AD54" s="22" t="s">
        <v>3095</v>
      </c>
      <c r="AE54" s="22" t="s">
        <v>3095</v>
      </c>
      <c r="AF54" s="22" t="s">
        <v>3095</v>
      </c>
    </row>
    <row r="55" ht="45.0" customHeight="1">
      <c r="A55" s="55" t="s">
        <v>289</v>
      </c>
      <c r="B55" s="62" t="s">
        <v>6228</v>
      </c>
      <c r="C55" s="22" t="str">
        <f>IMAGE("https://raw.githubusercontent.com/ltdimages/images/refs/heads/main/ClothAllBoxLongTrump_00.png")</f>
        <v/>
      </c>
      <c r="D55" s="22" t="str">
        <f>IMAGE("https://raw.githubusercontent.com/ltdimages/images/refs/heads/main/ClothAllBoxLongTrump_01.png")</f>
        <v/>
      </c>
      <c r="E55" s="22" t="str">
        <f>IMAGE("https://raw.githubusercontent.com/ltdimages/images/refs/heads/main/ClothAllBoxLongTrump_02.png")</f>
        <v/>
      </c>
      <c r="F55" s="22" t="str">
        <f>IMAGE("https://raw.githubusercontent.com/ltdimages/images/refs/heads/main/ClothAllBoxLongTrump_03.png")</f>
        <v/>
      </c>
      <c r="G55" s="22" t="s">
        <v>3095</v>
      </c>
      <c r="H55" s="22" t="s">
        <v>3095</v>
      </c>
      <c r="I55" s="22" t="s">
        <v>3095</v>
      </c>
      <c r="J55" s="22" t="s">
        <v>3095</v>
      </c>
      <c r="K55" s="63" t="s">
        <v>3099</v>
      </c>
      <c r="L55" s="23">
        <v>21.0</v>
      </c>
      <c r="M55" s="22" t="s">
        <v>3097</v>
      </c>
      <c r="N55" s="22" t="s">
        <v>3099</v>
      </c>
      <c r="O55" s="22" t="s">
        <v>45</v>
      </c>
      <c r="P55" s="22" t="s">
        <v>45</v>
      </c>
      <c r="Q55" s="22" t="s">
        <v>45</v>
      </c>
      <c r="R55" s="22" t="s">
        <v>49</v>
      </c>
      <c r="S55" s="22" t="s">
        <v>45</v>
      </c>
      <c r="T55" s="22" t="s">
        <v>2002</v>
      </c>
      <c r="U55" s="22" t="s">
        <v>45</v>
      </c>
      <c r="V55" s="22" t="s">
        <v>45</v>
      </c>
      <c r="W55" s="22" t="s">
        <v>6229</v>
      </c>
      <c r="X55" s="22" t="s">
        <v>3095</v>
      </c>
      <c r="Y55" s="22" t="s">
        <v>3095</v>
      </c>
      <c r="Z55" s="22" t="s">
        <v>3095</v>
      </c>
      <c r="AA55" s="22" t="s">
        <v>3095</v>
      </c>
      <c r="AB55" s="22" t="s">
        <v>3095</v>
      </c>
      <c r="AC55" s="22" t="s">
        <v>3095</v>
      </c>
      <c r="AD55" s="22" t="s">
        <v>3095</v>
      </c>
      <c r="AE55" s="22" t="s">
        <v>3095</v>
      </c>
      <c r="AF55" s="22" t="s">
        <v>3095</v>
      </c>
    </row>
    <row r="56" ht="45.0" customHeight="1">
      <c r="A56" s="55" t="s">
        <v>293</v>
      </c>
      <c r="B56" s="62" t="s">
        <v>6230</v>
      </c>
      <c r="C56" s="22" t="str">
        <f>IMAGE("https://raw.githubusercontent.com/ltdimages/images/refs/heads/main/ClothAllCarLongPoliseCar_00.png")</f>
        <v/>
      </c>
      <c r="D56" s="22" t="s">
        <v>3095</v>
      </c>
      <c r="E56" s="22" t="s">
        <v>3095</v>
      </c>
      <c r="F56" s="22" t="s">
        <v>3095</v>
      </c>
      <c r="G56" s="22" t="s">
        <v>3095</v>
      </c>
      <c r="H56" s="22" t="s">
        <v>3095</v>
      </c>
      <c r="I56" s="22" t="s">
        <v>3095</v>
      </c>
      <c r="J56" s="22" t="s">
        <v>3095</v>
      </c>
      <c r="K56" s="63" t="s">
        <v>3099</v>
      </c>
      <c r="L56" s="23">
        <v>45.0</v>
      </c>
      <c r="M56" s="22" t="s">
        <v>3097</v>
      </c>
      <c r="N56" s="22" t="s">
        <v>3099</v>
      </c>
      <c r="O56" s="22" t="s">
        <v>45</v>
      </c>
      <c r="P56" s="22" t="s">
        <v>45</v>
      </c>
      <c r="Q56" s="22" t="s">
        <v>45</v>
      </c>
      <c r="R56" s="22" t="s">
        <v>49</v>
      </c>
      <c r="S56" s="22" t="s">
        <v>45</v>
      </c>
      <c r="T56" s="22" t="s">
        <v>2002</v>
      </c>
      <c r="U56" s="22" t="s">
        <v>45</v>
      </c>
      <c r="V56" s="22" t="s">
        <v>45</v>
      </c>
      <c r="W56" s="22" t="s">
        <v>6231</v>
      </c>
      <c r="X56" s="22" t="s">
        <v>3095</v>
      </c>
      <c r="Y56" s="22" t="s">
        <v>3095</v>
      </c>
      <c r="Z56" s="22" t="s">
        <v>3095</v>
      </c>
      <c r="AA56" s="22" t="s">
        <v>3095</v>
      </c>
      <c r="AB56" s="22" t="s">
        <v>3095</v>
      </c>
      <c r="AC56" s="22" t="s">
        <v>3095</v>
      </c>
      <c r="AD56" s="22" t="s">
        <v>3095</v>
      </c>
      <c r="AE56" s="22" t="s">
        <v>3095</v>
      </c>
      <c r="AF56" s="22" t="s">
        <v>3095</v>
      </c>
    </row>
    <row r="57" ht="45.0" customHeight="1">
      <c r="A57" s="55" t="s">
        <v>297</v>
      </c>
      <c r="B57" s="62" t="s">
        <v>3869</v>
      </c>
      <c r="C57" s="22" t="str">
        <f>IMAGE("https://raw.githubusercontent.com/ltdimages/images/refs/heads/main/ClothAllMascotLongRabbit_00.png")</f>
        <v/>
      </c>
      <c r="D57" s="22" t="str">
        <f>IMAGE("https://raw.githubusercontent.com/ltdimages/images/refs/heads/main/ClothAllMascotLongRabbit_01.png")</f>
        <v/>
      </c>
      <c r="E57" s="22" t="str">
        <f>IMAGE("https://raw.githubusercontent.com/ltdimages/images/refs/heads/main/ClothAllMascotLongRabbit_02.png")</f>
        <v/>
      </c>
      <c r="F57" s="22" t="str">
        <f>IMAGE("https://raw.githubusercontent.com/ltdimages/images/refs/heads/main/ClothAllMascotLongRabbit_03.png")</f>
        <v/>
      </c>
      <c r="G57" s="22" t="str">
        <f>IMAGE("https://raw.githubusercontent.com/ltdimages/images/refs/heads/main/ClothAllMascotLongRabbit_04.png")</f>
        <v/>
      </c>
      <c r="H57" s="22" t="str">
        <f>IMAGE("https://raw.githubusercontent.com/ltdimages/images/refs/heads/main/ClothAllMascotLongRabbit_05.png")</f>
        <v/>
      </c>
      <c r="I57" s="22" t="s">
        <v>3095</v>
      </c>
      <c r="J57" s="22" t="s">
        <v>3095</v>
      </c>
      <c r="K57" s="63" t="s">
        <v>3099</v>
      </c>
      <c r="L57" s="23">
        <v>33.0</v>
      </c>
      <c r="M57" s="22" t="s">
        <v>3097</v>
      </c>
      <c r="N57" s="22" t="s">
        <v>3099</v>
      </c>
      <c r="O57" s="22" t="s">
        <v>45</v>
      </c>
      <c r="P57" s="22" t="s">
        <v>45</v>
      </c>
      <c r="Q57" s="22" t="s">
        <v>45</v>
      </c>
      <c r="R57" s="22" t="s">
        <v>49</v>
      </c>
      <c r="S57" s="22" t="s">
        <v>45</v>
      </c>
      <c r="T57" s="22" t="s">
        <v>2002</v>
      </c>
      <c r="U57" s="22" t="s">
        <v>45</v>
      </c>
      <c r="V57" s="22" t="s">
        <v>45</v>
      </c>
      <c r="W57" s="22" t="s">
        <v>6232</v>
      </c>
      <c r="X57" s="22" t="s">
        <v>3095</v>
      </c>
      <c r="Y57" s="22" t="s">
        <v>3095</v>
      </c>
      <c r="Z57" s="22" t="s">
        <v>3095</v>
      </c>
      <c r="AA57" s="22" t="s">
        <v>3095</v>
      </c>
      <c r="AB57" s="22" t="s">
        <v>3095</v>
      </c>
      <c r="AC57" s="22" t="s">
        <v>3095</v>
      </c>
      <c r="AD57" s="22" t="s">
        <v>3095</v>
      </c>
      <c r="AE57" s="22" t="s">
        <v>3095</v>
      </c>
      <c r="AF57" s="22" t="s">
        <v>3095</v>
      </c>
    </row>
    <row r="58" ht="45.0" customHeight="1">
      <c r="A58" s="55" t="s">
        <v>301</v>
      </c>
      <c r="B58" s="62" t="s">
        <v>6233</v>
      </c>
      <c r="C58" s="22" t="str">
        <f>IMAGE("https://raw.githubusercontent.com/ltdimages/images/refs/heads/main/ClothAllMascotLongReindeer_00.png")</f>
        <v/>
      </c>
      <c r="D58" s="22" t="s">
        <v>3095</v>
      </c>
      <c r="E58" s="22" t="s">
        <v>3095</v>
      </c>
      <c r="F58" s="22" t="s">
        <v>3095</v>
      </c>
      <c r="G58" s="22" t="s">
        <v>3095</v>
      </c>
      <c r="H58" s="22" t="s">
        <v>3095</v>
      </c>
      <c r="I58" s="22" t="s">
        <v>3095</v>
      </c>
      <c r="J58" s="22" t="s">
        <v>3095</v>
      </c>
      <c r="K58" s="63" t="s">
        <v>3099</v>
      </c>
      <c r="L58" s="23">
        <v>28.0</v>
      </c>
      <c r="M58" s="22" t="s">
        <v>3097</v>
      </c>
      <c r="N58" s="22" t="s">
        <v>3114</v>
      </c>
      <c r="O58" s="22" t="s">
        <v>45</v>
      </c>
      <c r="P58" s="22" t="s">
        <v>45</v>
      </c>
      <c r="Q58" s="22" t="s">
        <v>45</v>
      </c>
      <c r="R58" s="22" t="s">
        <v>49</v>
      </c>
      <c r="S58" s="22" t="s">
        <v>45</v>
      </c>
      <c r="T58" s="22" t="s">
        <v>2002</v>
      </c>
      <c r="U58" s="22" t="s">
        <v>45</v>
      </c>
      <c r="V58" s="22" t="s">
        <v>45</v>
      </c>
      <c r="W58" s="22" t="s">
        <v>6234</v>
      </c>
      <c r="X58" s="22" t="s">
        <v>3095</v>
      </c>
      <c r="Y58" s="22" t="s">
        <v>3095</v>
      </c>
      <c r="Z58" s="22" t="s">
        <v>3095</v>
      </c>
      <c r="AA58" s="22" t="s">
        <v>3095</v>
      </c>
      <c r="AB58" s="22" t="s">
        <v>3095</v>
      </c>
      <c r="AC58" s="22" t="s">
        <v>3095</v>
      </c>
      <c r="AD58" s="22" t="s">
        <v>3095</v>
      </c>
      <c r="AE58" s="22" t="s">
        <v>3095</v>
      </c>
      <c r="AF58" s="22" t="s">
        <v>3095</v>
      </c>
    </row>
    <row r="59" ht="45.0" customHeight="1">
      <c r="A59" s="55" t="s">
        <v>305</v>
      </c>
      <c r="B59" s="62" t="s">
        <v>6235</v>
      </c>
      <c r="C59" s="22" t="str">
        <f>IMAGE("https://raw.githubusercontent.com/ltdimages/images/refs/heads/main/ClothAllBodySuitLongSeaweed_00.png")</f>
        <v/>
      </c>
      <c r="D59" s="22" t="str">
        <f>IMAGE("https://raw.githubusercontent.com/ltdimages/images/refs/heads/main/ClothAllBodySuitLongSeaweed_01.png")</f>
        <v/>
      </c>
      <c r="E59" s="22" t="s">
        <v>3095</v>
      </c>
      <c r="F59" s="22" t="s">
        <v>3095</v>
      </c>
      <c r="G59" s="22" t="s">
        <v>3095</v>
      </c>
      <c r="H59" s="22" t="s">
        <v>3095</v>
      </c>
      <c r="I59" s="22" t="s">
        <v>3095</v>
      </c>
      <c r="J59" s="22" t="s">
        <v>3095</v>
      </c>
      <c r="K59" s="63" t="s">
        <v>3099</v>
      </c>
      <c r="L59" s="23">
        <v>22.0</v>
      </c>
      <c r="M59" s="22" t="s">
        <v>3097</v>
      </c>
      <c r="N59" s="22" t="s">
        <v>3123</v>
      </c>
      <c r="O59" s="22" t="s">
        <v>45</v>
      </c>
      <c r="P59" s="22" t="s">
        <v>45</v>
      </c>
      <c r="Q59" s="22" t="s">
        <v>45</v>
      </c>
      <c r="R59" s="22" t="s">
        <v>49</v>
      </c>
      <c r="S59" s="22" t="s">
        <v>45</v>
      </c>
      <c r="T59" s="22" t="s">
        <v>2002</v>
      </c>
      <c r="U59" s="22" t="s">
        <v>45</v>
      </c>
      <c r="V59" s="22" t="s">
        <v>45</v>
      </c>
      <c r="W59" s="22" t="s">
        <v>6236</v>
      </c>
      <c r="X59" s="22" t="s">
        <v>3095</v>
      </c>
      <c r="Y59" s="22" t="s">
        <v>3095</v>
      </c>
      <c r="Z59" s="22" t="s">
        <v>3095</v>
      </c>
      <c r="AA59" s="22" t="s">
        <v>3095</v>
      </c>
      <c r="AB59" s="22" t="s">
        <v>3095</v>
      </c>
      <c r="AC59" s="22" t="s">
        <v>3095</v>
      </c>
      <c r="AD59" s="22" t="s">
        <v>3095</v>
      </c>
      <c r="AE59" s="22" t="s">
        <v>3095</v>
      </c>
      <c r="AF59" s="22" t="s">
        <v>3095</v>
      </c>
    </row>
    <row r="60" ht="45.0" customHeight="1">
      <c r="A60" s="55" t="s">
        <v>309</v>
      </c>
      <c r="B60" s="62" t="s">
        <v>3965</v>
      </c>
      <c r="C60" s="22" t="str">
        <f>IMAGE("https://raw.githubusercontent.com/ltdimages/images/refs/heads/main/ClothAllCostumeLongSheep_00.png")</f>
        <v/>
      </c>
      <c r="D60" s="22" t="str">
        <f>IMAGE("https://raw.githubusercontent.com/ltdimages/images/refs/heads/main/ClothAllCostumeLongSheep_01.png")</f>
        <v/>
      </c>
      <c r="E60" s="22" t="str">
        <f>IMAGE("https://raw.githubusercontent.com/ltdimages/images/refs/heads/main/ClothAllCostumeLongSheep_02.png")</f>
        <v/>
      </c>
      <c r="F60" s="22" t="str">
        <f>IMAGE("https://raw.githubusercontent.com/ltdimages/images/refs/heads/main/ClothAllCostumeLongSheep_03.png")</f>
        <v/>
      </c>
      <c r="G60" s="22" t="s">
        <v>3095</v>
      </c>
      <c r="H60" s="22" t="s">
        <v>3095</v>
      </c>
      <c r="I60" s="22" t="s">
        <v>3095</v>
      </c>
      <c r="J60" s="22" t="s">
        <v>3095</v>
      </c>
      <c r="K60" s="63" t="s">
        <v>3099</v>
      </c>
      <c r="L60" s="23">
        <v>25.0</v>
      </c>
      <c r="M60" s="22" t="s">
        <v>3097</v>
      </c>
      <c r="N60" s="22" t="s">
        <v>3099</v>
      </c>
      <c r="O60" s="22" t="s">
        <v>45</v>
      </c>
      <c r="P60" s="22" t="s">
        <v>45</v>
      </c>
      <c r="Q60" s="22" t="s">
        <v>45</v>
      </c>
      <c r="R60" s="22" t="s">
        <v>49</v>
      </c>
      <c r="S60" s="22" t="s">
        <v>45</v>
      </c>
      <c r="T60" s="22" t="s">
        <v>2002</v>
      </c>
      <c r="U60" s="22" t="s">
        <v>45</v>
      </c>
      <c r="V60" s="22" t="s">
        <v>45</v>
      </c>
      <c r="W60" s="22" t="s">
        <v>6237</v>
      </c>
      <c r="X60" s="22" t="s">
        <v>3095</v>
      </c>
      <c r="Y60" s="22" t="s">
        <v>3095</v>
      </c>
      <c r="Z60" s="22" t="s">
        <v>3095</v>
      </c>
      <c r="AA60" s="22" t="s">
        <v>3095</v>
      </c>
      <c r="AB60" s="22" t="s">
        <v>3095</v>
      </c>
      <c r="AC60" s="22" t="s">
        <v>3095</v>
      </c>
      <c r="AD60" s="22" t="s">
        <v>3095</v>
      </c>
      <c r="AE60" s="22" t="s">
        <v>3095</v>
      </c>
      <c r="AF60" s="22" t="s">
        <v>3095</v>
      </c>
    </row>
    <row r="61" ht="45.0" customHeight="1">
      <c r="A61" s="55" t="s">
        <v>313</v>
      </c>
      <c r="B61" s="62" t="s">
        <v>6238</v>
      </c>
      <c r="C61" s="22" t="str">
        <f>IMAGE("https://raw.githubusercontent.com/ltdimages/images/refs/heads/main/ClothAllCostumeLongSushi_00.png")</f>
        <v/>
      </c>
      <c r="D61" s="22" t="s">
        <v>3095</v>
      </c>
      <c r="E61" s="22" t="s">
        <v>3095</v>
      </c>
      <c r="F61" s="22" t="s">
        <v>3095</v>
      </c>
      <c r="G61" s="22" t="s">
        <v>3095</v>
      </c>
      <c r="H61" s="22" t="s">
        <v>3095</v>
      </c>
      <c r="I61" s="22" t="s">
        <v>3095</v>
      </c>
      <c r="J61" s="22" t="s">
        <v>3095</v>
      </c>
      <c r="K61" s="63" t="s">
        <v>3099</v>
      </c>
      <c r="L61" s="23">
        <v>27.0</v>
      </c>
      <c r="M61" s="22" t="s">
        <v>3097</v>
      </c>
      <c r="N61" s="22" t="s">
        <v>3099</v>
      </c>
      <c r="O61" s="22" t="s">
        <v>45</v>
      </c>
      <c r="P61" s="22" t="s">
        <v>45</v>
      </c>
      <c r="Q61" s="22" t="s">
        <v>45</v>
      </c>
      <c r="R61" s="22" t="s">
        <v>49</v>
      </c>
      <c r="S61" s="22" t="s">
        <v>45</v>
      </c>
      <c r="T61" s="22" t="s">
        <v>2002</v>
      </c>
      <c r="U61" s="22" t="s">
        <v>45</v>
      </c>
      <c r="V61" s="22" t="s">
        <v>45</v>
      </c>
      <c r="W61" s="22" t="s">
        <v>6239</v>
      </c>
      <c r="X61" s="22" t="s">
        <v>3095</v>
      </c>
      <c r="Y61" s="22" t="s">
        <v>3095</v>
      </c>
      <c r="Z61" s="22" t="s">
        <v>3095</v>
      </c>
      <c r="AA61" s="22" t="s">
        <v>3095</v>
      </c>
      <c r="AB61" s="22" t="s">
        <v>3095</v>
      </c>
      <c r="AC61" s="22" t="s">
        <v>3095</v>
      </c>
      <c r="AD61" s="22" t="s">
        <v>3095</v>
      </c>
      <c r="AE61" s="22" t="s">
        <v>3095</v>
      </c>
      <c r="AF61" s="22" t="s">
        <v>3095</v>
      </c>
    </row>
    <row r="62" ht="45.0" customHeight="1">
      <c r="A62" s="55" t="s">
        <v>317</v>
      </c>
      <c r="B62" s="62" t="s">
        <v>3979</v>
      </c>
      <c r="C62" s="22" t="str">
        <f>IMAGE("https://raw.githubusercontent.com/ltdimages/images/refs/heads/main/ClothAllBodySuitLongSkeleton_00.png")</f>
        <v/>
      </c>
      <c r="D62" s="22" t="str">
        <f>IMAGE("https://raw.githubusercontent.com/ltdimages/images/refs/heads/main/ClothAllBodySuitLongSkeleton_01.png")</f>
        <v/>
      </c>
      <c r="E62" s="22" t="str">
        <f>IMAGE("https://raw.githubusercontent.com/ltdimages/images/refs/heads/main/ClothAllBodySuitLongSkeleton_02.png")</f>
        <v/>
      </c>
      <c r="F62" s="22" t="str">
        <f>IMAGE("https://raw.githubusercontent.com/ltdimages/images/refs/heads/main/ClothAllBodySuitLongSkeleton_03.png")</f>
        <v/>
      </c>
      <c r="G62" s="22" t="s">
        <v>3095</v>
      </c>
      <c r="H62" s="22" t="s">
        <v>3095</v>
      </c>
      <c r="I62" s="22" t="s">
        <v>3095</v>
      </c>
      <c r="J62" s="22" t="s">
        <v>3095</v>
      </c>
      <c r="K62" s="63" t="s">
        <v>3099</v>
      </c>
      <c r="L62" s="23">
        <v>22.0</v>
      </c>
      <c r="M62" s="22" t="s">
        <v>3097</v>
      </c>
      <c r="N62" s="22" t="s">
        <v>3099</v>
      </c>
      <c r="O62" s="22" t="s">
        <v>45</v>
      </c>
      <c r="P62" s="22" t="s">
        <v>45</v>
      </c>
      <c r="Q62" s="22" t="s">
        <v>45</v>
      </c>
      <c r="R62" s="22" t="s">
        <v>49</v>
      </c>
      <c r="S62" s="22" t="s">
        <v>45</v>
      </c>
      <c r="T62" s="22" t="s">
        <v>2002</v>
      </c>
      <c r="U62" s="22" t="s">
        <v>45</v>
      </c>
      <c r="V62" s="22" t="s">
        <v>45</v>
      </c>
      <c r="W62" s="22" t="s">
        <v>6240</v>
      </c>
      <c r="X62" s="22" t="s">
        <v>3095</v>
      </c>
      <c r="Y62" s="22" t="s">
        <v>3095</v>
      </c>
      <c r="Z62" s="22" t="s">
        <v>3095</v>
      </c>
      <c r="AA62" s="22" t="s">
        <v>3095</v>
      </c>
      <c r="AB62" s="22" t="s">
        <v>3095</v>
      </c>
      <c r="AC62" s="22" t="s">
        <v>3095</v>
      </c>
      <c r="AD62" s="22" t="s">
        <v>3095</v>
      </c>
      <c r="AE62" s="22" t="s">
        <v>3095</v>
      </c>
      <c r="AF62" s="22" t="s">
        <v>3095</v>
      </c>
    </row>
    <row r="63" ht="45.0" customHeight="1">
      <c r="A63" s="55" t="s">
        <v>321</v>
      </c>
      <c r="B63" s="62" t="s">
        <v>6241</v>
      </c>
      <c r="C63" s="22" t="str">
        <f>IMAGE("https://raw.githubusercontent.com/ltdimages/images/refs/heads/main/ClothAllCostumeLongSnowman_00.png")</f>
        <v/>
      </c>
      <c r="D63" s="22" t="s">
        <v>3095</v>
      </c>
      <c r="E63" s="22" t="s">
        <v>3095</v>
      </c>
      <c r="F63" s="22" t="s">
        <v>3095</v>
      </c>
      <c r="G63" s="22" t="s">
        <v>3095</v>
      </c>
      <c r="H63" s="22" t="s">
        <v>3095</v>
      </c>
      <c r="I63" s="22" t="s">
        <v>3095</v>
      </c>
      <c r="J63" s="22" t="s">
        <v>3095</v>
      </c>
      <c r="K63" s="63" t="s">
        <v>3099</v>
      </c>
      <c r="L63" s="23">
        <v>30.0</v>
      </c>
      <c r="M63" s="22" t="s">
        <v>3097</v>
      </c>
      <c r="N63" s="22" t="s">
        <v>3114</v>
      </c>
      <c r="O63" s="22" t="s">
        <v>45</v>
      </c>
      <c r="P63" s="22" t="s">
        <v>45</v>
      </c>
      <c r="Q63" s="22" t="s">
        <v>45</v>
      </c>
      <c r="R63" s="22" t="s">
        <v>49</v>
      </c>
      <c r="S63" s="22" t="s">
        <v>45</v>
      </c>
      <c r="T63" s="22" t="s">
        <v>2002</v>
      </c>
      <c r="U63" s="22" t="s">
        <v>45</v>
      </c>
      <c r="V63" s="22" t="s">
        <v>45</v>
      </c>
      <c r="W63" s="22" t="s">
        <v>6242</v>
      </c>
      <c r="X63" s="22" t="s">
        <v>3095</v>
      </c>
      <c r="Y63" s="22" t="s">
        <v>3095</v>
      </c>
      <c r="Z63" s="22" t="s">
        <v>3095</v>
      </c>
      <c r="AA63" s="22" t="s">
        <v>3095</v>
      </c>
      <c r="AB63" s="22" t="s">
        <v>3095</v>
      </c>
      <c r="AC63" s="22" t="s">
        <v>3095</v>
      </c>
      <c r="AD63" s="22" t="s">
        <v>3095</v>
      </c>
      <c r="AE63" s="22" t="s">
        <v>3095</v>
      </c>
      <c r="AF63" s="22" t="s">
        <v>3095</v>
      </c>
    </row>
    <row r="64" ht="45.0" customHeight="1">
      <c r="A64" s="55" t="s">
        <v>325</v>
      </c>
      <c r="B64" s="62" t="s">
        <v>4025</v>
      </c>
      <c r="C64" s="22" t="str">
        <f>IMAGE("https://raw.githubusercontent.com/ltdimages/images/refs/heads/main/ClothAllCupLongDrink_00.png")</f>
        <v/>
      </c>
      <c r="D64" s="22" t="str">
        <f>IMAGE("https://raw.githubusercontent.com/ltdimages/images/refs/heads/main/ClothAllCupLongDrink_01.png")</f>
        <v/>
      </c>
      <c r="E64" s="22" t="str">
        <f>IMAGE("https://raw.githubusercontent.com/ltdimages/images/refs/heads/main/ClothAllCupLongDrink_02.png")</f>
        <v/>
      </c>
      <c r="F64" s="22" t="str">
        <f>IMAGE("https://raw.githubusercontent.com/ltdimages/images/refs/heads/main/ClothAllCupLongDrink_03.png")</f>
        <v/>
      </c>
      <c r="G64" s="22" t="str">
        <f>IMAGE("https://raw.githubusercontent.com/ltdimages/images/refs/heads/main/ClothAllCupLongDrink_04.png")</f>
        <v/>
      </c>
      <c r="H64" s="22" t="str">
        <f>IMAGE("https://raw.githubusercontent.com/ltdimages/images/refs/heads/main/ClothAllCupLongDrink_05.png")</f>
        <v/>
      </c>
      <c r="I64" s="22" t="str">
        <f>IMAGE("https://raw.githubusercontent.com/ltdimages/images/refs/heads/main/ClothAllCupLongDrink_06.png")</f>
        <v/>
      </c>
      <c r="J64" s="22" t="str">
        <f>IMAGE("https://raw.githubusercontent.com/ltdimages/images/refs/heads/main/ClothAllCupLongDrink_07.png")</f>
        <v/>
      </c>
      <c r="K64" s="63" t="s">
        <v>3099</v>
      </c>
      <c r="L64" s="23">
        <v>24.0</v>
      </c>
      <c r="M64" s="22" t="s">
        <v>3097</v>
      </c>
      <c r="N64" s="22" t="s">
        <v>3099</v>
      </c>
      <c r="O64" s="22" t="s">
        <v>45</v>
      </c>
      <c r="P64" s="22" t="s">
        <v>45</v>
      </c>
      <c r="Q64" s="22" t="s">
        <v>45</v>
      </c>
      <c r="R64" s="22" t="s">
        <v>49</v>
      </c>
      <c r="S64" s="22" t="s">
        <v>45</v>
      </c>
      <c r="T64" s="22" t="s">
        <v>2002</v>
      </c>
      <c r="U64" s="22" t="s">
        <v>45</v>
      </c>
      <c r="V64" s="22" t="s">
        <v>45</v>
      </c>
      <c r="W64" s="22" t="s">
        <v>6243</v>
      </c>
      <c r="X64" s="22" t="s">
        <v>3095</v>
      </c>
      <c r="Y64" s="22" t="s">
        <v>3095</v>
      </c>
      <c r="Z64" s="22" t="s">
        <v>3095</v>
      </c>
      <c r="AA64" s="22" t="s">
        <v>3095</v>
      </c>
      <c r="AB64" s="22" t="s">
        <v>3095</v>
      </c>
      <c r="AC64" s="22" t="s">
        <v>3095</v>
      </c>
      <c r="AD64" s="22" t="s">
        <v>3095</v>
      </c>
      <c r="AE64" s="22" t="s">
        <v>3095</v>
      </c>
      <c r="AF64" s="22" t="s">
        <v>3095</v>
      </c>
    </row>
    <row r="65" ht="45.0" customHeight="1">
      <c r="A65" s="55" t="s">
        <v>329</v>
      </c>
      <c r="B65" s="62" t="s">
        <v>4030</v>
      </c>
      <c r="C65" s="22" t="str">
        <f>IMAGE("https://raw.githubusercontent.com/ltdimages/images/refs/heads/main/ClothAllCupLongSoftcream_00.png")</f>
        <v/>
      </c>
      <c r="D65" s="22" t="s">
        <v>3095</v>
      </c>
      <c r="E65" s="22" t="s">
        <v>3095</v>
      </c>
      <c r="F65" s="22" t="s">
        <v>3095</v>
      </c>
      <c r="G65" s="22" t="s">
        <v>3095</v>
      </c>
      <c r="H65" s="22" t="s">
        <v>3095</v>
      </c>
      <c r="I65" s="22" t="s">
        <v>3095</v>
      </c>
      <c r="J65" s="22" t="s">
        <v>3095</v>
      </c>
      <c r="K65" s="63" t="s">
        <v>3099</v>
      </c>
      <c r="L65" s="23">
        <v>25.0</v>
      </c>
      <c r="M65" s="22" t="s">
        <v>3097</v>
      </c>
      <c r="N65" s="22" t="s">
        <v>3099</v>
      </c>
      <c r="O65" s="22" t="s">
        <v>45</v>
      </c>
      <c r="P65" s="22" t="s">
        <v>45</v>
      </c>
      <c r="Q65" s="22" t="s">
        <v>45</v>
      </c>
      <c r="R65" s="22" t="s">
        <v>49</v>
      </c>
      <c r="S65" s="22" t="s">
        <v>45</v>
      </c>
      <c r="T65" s="22" t="s">
        <v>2002</v>
      </c>
      <c r="U65" s="22" t="s">
        <v>45</v>
      </c>
      <c r="V65" s="22" t="s">
        <v>45</v>
      </c>
      <c r="W65" s="22" t="s">
        <v>6244</v>
      </c>
      <c r="X65" s="22" t="s">
        <v>3095</v>
      </c>
      <c r="Y65" s="22" t="s">
        <v>3095</v>
      </c>
      <c r="Z65" s="22" t="s">
        <v>3095</v>
      </c>
      <c r="AA65" s="22" t="s">
        <v>3095</v>
      </c>
      <c r="AB65" s="22" t="s">
        <v>3095</v>
      </c>
      <c r="AC65" s="22" t="s">
        <v>3095</v>
      </c>
      <c r="AD65" s="22" t="s">
        <v>3095</v>
      </c>
      <c r="AE65" s="22" t="s">
        <v>3095</v>
      </c>
      <c r="AF65" s="22" t="s">
        <v>3095</v>
      </c>
    </row>
    <row r="66" ht="45.0" customHeight="1">
      <c r="A66" s="55" t="s">
        <v>333</v>
      </c>
      <c r="B66" s="62" t="s">
        <v>3681</v>
      </c>
      <c r="C66" s="22" t="str">
        <f>IMAGE("https://raw.githubusercontent.com/ltdimages/images/refs/heads/main/ClothAllMascotLongArmor_00.png")</f>
        <v/>
      </c>
      <c r="D66" s="22" t="str">
        <f>IMAGE("https://raw.githubusercontent.com/ltdimages/images/refs/heads/main/ClothAllMascotLongArmor_01.png")</f>
        <v/>
      </c>
      <c r="E66" s="22" t="str">
        <f>IMAGE("https://raw.githubusercontent.com/ltdimages/images/refs/heads/main/ClothAllMascotLongArmor_02.png")</f>
        <v/>
      </c>
      <c r="F66" s="22" t="str">
        <f>IMAGE("https://raw.githubusercontent.com/ltdimages/images/refs/heads/main/ClothAllMascotLongArmor_03.png")</f>
        <v/>
      </c>
      <c r="G66" s="22" t="s">
        <v>3095</v>
      </c>
      <c r="H66" s="22" t="s">
        <v>3095</v>
      </c>
      <c r="I66" s="22" t="s">
        <v>3095</v>
      </c>
      <c r="J66" s="22" t="s">
        <v>3095</v>
      </c>
      <c r="K66" s="63" t="s">
        <v>3099</v>
      </c>
      <c r="L66" s="23">
        <v>650.0</v>
      </c>
      <c r="M66" s="22" t="s">
        <v>3097</v>
      </c>
      <c r="N66" s="22" t="s">
        <v>3099</v>
      </c>
      <c r="O66" s="22" t="s">
        <v>45</v>
      </c>
      <c r="P66" s="22" t="s">
        <v>45</v>
      </c>
      <c r="Q66" s="22" t="s">
        <v>45</v>
      </c>
      <c r="R66" s="22" t="s">
        <v>49</v>
      </c>
      <c r="S66" s="22" t="s">
        <v>45</v>
      </c>
      <c r="T66" s="22" t="s">
        <v>2002</v>
      </c>
      <c r="U66" s="22" t="s">
        <v>45</v>
      </c>
      <c r="V66" s="22" t="s">
        <v>45</v>
      </c>
      <c r="W66" s="22" t="s">
        <v>6245</v>
      </c>
      <c r="X66" s="22" t="s">
        <v>3095</v>
      </c>
      <c r="Y66" s="22" t="s">
        <v>3095</v>
      </c>
      <c r="Z66" s="22" t="s">
        <v>3095</v>
      </c>
      <c r="AA66" s="22" t="s">
        <v>3095</v>
      </c>
      <c r="AB66" s="22" t="s">
        <v>3095</v>
      </c>
      <c r="AC66" s="22" t="s">
        <v>3095</v>
      </c>
      <c r="AD66" s="22" t="s">
        <v>3095</v>
      </c>
      <c r="AE66" s="22" t="s">
        <v>3095</v>
      </c>
      <c r="AF66" s="22" t="s">
        <v>3095</v>
      </c>
    </row>
    <row r="67" ht="45.0" customHeight="1">
      <c r="A67" s="55" t="s">
        <v>337</v>
      </c>
      <c r="B67" s="62" t="s">
        <v>6246</v>
      </c>
      <c r="C67" s="22" t="str">
        <f>IMAGE("https://raw.githubusercontent.com/ltdimages/images/refs/heads/main/ClothAllMantleLongHero_00.png")</f>
        <v/>
      </c>
      <c r="D67" s="22" t="str">
        <f>IMAGE("https://raw.githubusercontent.com/ltdimages/images/refs/heads/main/ClothAllMantleLongHero_01.png")</f>
        <v/>
      </c>
      <c r="E67" s="22" t="str">
        <f>IMAGE("https://raw.githubusercontent.com/ltdimages/images/refs/heads/main/ClothAllMantleLongHero_02.png")</f>
        <v/>
      </c>
      <c r="F67" s="22" t="str">
        <f>IMAGE("https://raw.githubusercontent.com/ltdimages/images/refs/heads/main/ClothAllMantleLongHero_03.png")</f>
        <v/>
      </c>
      <c r="G67" s="22" t="str">
        <f>IMAGE("https://raw.githubusercontent.com/ltdimages/images/refs/heads/main/ClothAllMantleLongHero_04.png")</f>
        <v/>
      </c>
      <c r="H67" s="22" t="str">
        <f>IMAGE("https://raw.githubusercontent.com/ltdimages/images/refs/heads/main/ClothAllMantleLongHero_05.png")</f>
        <v/>
      </c>
      <c r="I67" s="22" t="s">
        <v>3095</v>
      </c>
      <c r="J67" s="22" t="s">
        <v>3095</v>
      </c>
      <c r="K67" s="63" t="s">
        <v>3099</v>
      </c>
      <c r="L67" s="23">
        <v>39.8</v>
      </c>
      <c r="M67" s="22" t="s">
        <v>3097</v>
      </c>
      <c r="N67" s="22" t="s">
        <v>3099</v>
      </c>
      <c r="O67" s="22" t="s">
        <v>45</v>
      </c>
      <c r="P67" s="22" t="s">
        <v>45</v>
      </c>
      <c r="Q67" s="22" t="s">
        <v>45</v>
      </c>
      <c r="R67" s="22" t="s">
        <v>49</v>
      </c>
      <c r="S67" s="22" t="s">
        <v>45</v>
      </c>
      <c r="T67" s="22" t="s">
        <v>2002</v>
      </c>
      <c r="U67" s="22" t="s">
        <v>45</v>
      </c>
      <c r="V67" s="22" t="s">
        <v>45</v>
      </c>
      <c r="W67" s="22" t="s">
        <v>6247</v>
      </c>
      <c r="X67" s="22" t="s">
        <v>3095</v>
      </c>
      <c r="Y67" s="22" t="s">
        <v>3095</v>
      </c>
      <c r="Z67" s="22" t="s">
        <v>3095</v>
      </c>
      <c r="AA67" s="22" t="s">
        <v>3095</v>
      </c>
      <c r="AB67" s="22" t="s">
        <v>3095</v>
      </c>
      <c r="AC67" s="22" t="s">
        <v>3095</v>
      </c>
      <c r="AD67" s="22" t="s">
        <v>3095</v>
      </c>
      <c r="AE67" s="22" t="s">
        <v>3095</v>
      </c>
      <c r="AF67" s="22" t="s">
        <v>3095</v>
      </c>
    </row>
    <row r="68" ht="45.0" customHeight="1">
      <c r="A68" s="55" t="s">
        <v>341</v>
      </c>
      <c r="B68" s="62" t="s">
        <v>6248</v>
      </c>
      <c r="C68" s="22" t="str">
        <f>IMAGE("https://raw.githubusercontent.com/ltdimages/images/refs/heads/main/ClothAllMascotLongTiger_00.png")</f>
        <v/>
      </c>
      <c r="D68" s="22" t="str">
        <f>IMAGE("https://raw.githubusercontent.com/ltdimages/images/refs/heads/main/ClothAllMascotLongTiger_01.png")</f>
        <v/>
      </c>
      <c r="E68" s="22" t="str">
        <f>IMAGE("https://raw.githubusercontent.com/ltdimages/images/refs/heads/main/ClothAllMascotLongTiger_02.png")</f>
        <v/>
      </c>
      <c r="F68" s="22" t="s">
        <v>3095</v>
      </c>
      <c r="G68" s="22" t="s">
        <v>3095</v>
      </c>
      <c r="H68" s="22" t="s">
        <v>3095</v>
      </c>
      <c r="I68" s="22" t="s">
        <v>3095</v>
      </c>
      <c r="J68" s="22" t="s">
        <v>3095</v>
      </c>
      <c r="K68" s="63" t="s">
        <v>3099</v>
      </c>
      <c r="L68" s="23">
        <v>33.0</v>
      </c>
      <c r="M68" s="22" t="s">
        <v>3097</v>
      </c>
      <c r="N68" s="22" t="s">
        <v>3099</v>
      </c>
      <c r="O68" s="22" t="s">
        <v>45</v>
      </c>
      <c r="P68" s="22" t="s">
        <v>45</v>
      </c>
      <c r="Q68" s="22" t="s">
        <v>45</v>
      </c>
      <c r="R68" s="22" t="s">
        <v>49</v>
      </c>
      <c r="S68" s="22" t="s">
        <v>45</v>
      </c>
      <c r="T68" s="22" t="s">
        <v>2002</v>
      </c>
      <c r="U68" s="22" t="s">
        <v>45</v>
      </c>
      <c r="V68" s="22" t="s">
        <v>45</v>
      </c>
      <c r="W68" s="22" t="s">
        <v>6249</v>
      </c>
      <c r="X68" s="22" t="s">
        <v>3095</v>
      </c>
      <c r="Y68" s="22" t="s">
        <v>3095</v>
      </c>
      <c r="Z68" s="22" t="s">
        <v>3095</v>
      </c>
      <c r="AA68" s="22" t="s">
        <v>3095</v>
      </c>
      <c r="AB68" s="22" t="s">
        <v>3095</v>
      </c>
      <c r="AC68" s="22" t="s">
        <v>3095</v>
      </c>
      <c r="AD68" s="22" t="s">
        <v>3095</v>
      </c>
      <c r="AE68" s="22" t="s">
        <v>3095</v>
      </c>
      <c r="AF68" s="22" t="s">
        <v>3095</v>
      </c>
    </row>
    <row r="69" ht="45.0" customHeight="1">
      <c r="A69" s="55" t="s">
        <v>345</v>
      </c>
      <c r="B69" s="62" t="s">
        <v>4132</v>
      </c>
      <c r="C69" s="22" t="str">
        <f>IMAGE("https://raw.githubusercontent.com/ltdimages/images/refs/heads/main/ClothAllBoxLongToyRobot_00.png")</f>
        <v/>
      </c>
      <c r="D69" s="22" t="str">
        <f>IMAGE("https://raw.githubusercontent.com/ltdimages/images/refs/heads/main/ClothAllBoxLongToyRobot_01.png")</f>
        <v/>
      </c>
      <c r="E69" s="22" t="str">
        <f>IMAGE("https://raw.githubusercontent.com/ltdimages/images/refs/heads/main/ClothAllBoxLongToyRobot_02.png")</f>
        <v/>
      </c>
      <c r="F69" s="22" t="str">
        <f>IMAGE("https://raw.githubusercontent.com/ltdimages/images/refs/heads/main/ClothAllBoxLongToyRobot_03.png")</f>
        <v/>
      </c>
      <c r="G69" s="22" t="s">
        <v>3095</v>
      </c>
      <c r="H69" s="22" t="s">
        <v>3095</v>
      </c>
      <c r="I69" s="22" t="s">
        <v>3095</v>
      </c>
      <c r="J69" s="22" t="s">
        <v>3095</v>
      </c>
      <c r="K69" s="63" t="s">
        <v>3099</v>
      </c>
      <c r="L69" s="23">
        <v>34.5</v>
      </c>
      <c r="M69" s="22" t="s">
        <v>3097</v>
      </c>
      <c r="N69" s="22" t="s">
        <v>3099</v>
      </c>
      <c r="O69" s="22" t="s">
        <v>45</v>
      </c>
      <c r="P69" s="22" t="s">
        <v>45</v>
      </c>
      <c r="Q69" s="22" t="s">
        <v>45</v>
      </c>
      <c r="R69" s="22" t="s">
        <v>49</v>
      </c>
      <c r="S69" s="22" t="s">
        <v>45</v>
      </c>
      <c r="T69" s="22" t="s">
        <v>2002</v>
      </c>
      <c r="U69" s="22" t="s">
        <v>45</v>
      </c>
      <c r="V69" s="22" t="s">
        <v>45</v>
      </c>
      <c r="W69" s="22" t="s">
        <v>6250</v>
      </c>
      <c r="X69" s="22" t="s">
        <v>3095</v>
      </c>
      <c r="Y69" s="22" t="s">
        <v>3095</v>
      </c>
      <c r="Z69" s="22" t="s">
        <v>3095</v>
      </c>
      <c r="AA69" s="22" t="s">
        <v>3095</v>
      </c>
      <c r="AB69" s="22" t="s">
        <v>3095</v>
      </c>
      <c r="AC69" s="22" t="s">
        <v>3095</v>
      </c>
      <c r="AD69" s="22" t="s">
        <v>3095</v>
      </c>
      <c r="AE69" s="22" t="s">
        <v>3095</v>
      </c>
      <c r="AF69" s="22" t="s">
        <v>3095</v>
      </c>
    </row>
    <row r="70" ht="45.0" customHeight="1">
      <c r="A70" s="55" t="s">
        <v>349</v>
      </c>
      <c r="B70" s="62" t="s">
        <v>6251</v>
      </c>
      <c r="C70" s="22" t="str">
        <f>IMAGE("https://raw.githubusercontent.com/ltdimages/images/refs/heads/main/ClothAllTrainLongTrain_00.png")</f>
        <v/>
      </c>
      <c r="D70" s="22" t="str">
        <f>IMAGE("https://raw.githubusercontent.com/ltdimages/images/refs/heads/main/ClothAllTrainLongTrain_01.png")</f>
        <v/>
      </c>
      <c r="E70" s="22" t="str">
        <f>IMAGE("https://raw.githubusercontent.com/ltdimages/images/refs/heads/main/ClothAllTrainLongTrain_02.png")</f>
        <v/>
      </c>
      <c r="F70" s="22" t="str">
        <f>IMAGE("https://raw.githubusercontent.com/ltdimages/images/refs/heads/main/ClothAllTrainLongTrain_03.png")</f>
        <v/>
      </c>
      <c r="G70" s="22" t="str">
        <f>IMAGE("https://raw.githubusercontent.com/ltdimages/images/refs/heads/main/ClothAllTrainLongTrain_04.png")</f>
        <v/>
      </c>
      <c r="H70" s="22" t="str">
        <f>IMAGE("https://raw.githubusercontent.com/ltdimages/images/refs/heads/main/ClothAllTrainLongTrain_05.png")</f>
        <v/>
      </c>
      <c r="I70" s="22" t="str">
        <f>IMAGE("https://raw.githubusercontent.com/ltdimages/images/refs/heads/main/ClothAllTrainLongTrain_06.png")</f>
        <v/>
      </c>
      <c r="J70" s="22" t="str">
        <f>IMAGE("https://raw.githubusercontent.com/ltdimages/images/refs/heads/main/ClothAllTrainLongTrain_07.png")</f>
        <v/>
      </c>
      <c r="K70" s="63" t="s">
        <v>3099</v>
      </c>
      <c r="L70" s="23">
        <v>43.0</v>
      </c>
      <c r="M70" s="22" t="s">
        <v>3097</v>
      </c>
      <c r="N70" s="22" t="s">
        <v>3099</v>
      </c>
      <c r="O70" s="22" t="s">
        <v>45</v>
      </c>
      <c r="P70" s="22" t="s">
        <v>45</v>
      </c>
      <c r="Q70" s="22" t="s">
        <v>45</v>
      </c>
      <c r="R70" s="22" t="s">
        <v>49</v>
      </c>
      <c r="S70" s="22" t="s">
        <v>45</v>
      </c>
      <c r="T70" s="22" t="s">
        <v>2002</v>
      </c>
      <c r="U70" s="22" t="s">
        <v>45</v>
      </c>
      <c r="V70" s="22" t="s">
        <v>45</v>
      </c>
      <c r="W70" s="22" t="s">
        <v>6252</v>
      </c>
      <c r="X70" s="22" t="s">
        <v>3095</v>
      </c>
      <c r="Y70" s="22" t="s">
        <v>3095</v>
      </c>
      <c r="Z70" s="22" t="s">
        <v>3095</v>
      </c>
      <c r="AA70" s="22" t="s">
        <v>3095</v>
      </c>
      <c r="AB70" s="22" t="s">
        <v>3095</v>
      </c>
      <c r="AC70" s="22" t="s">
        <v>3095</v>
      </c>
      <c r="AD70" s="22" t="s">
        <v>3095</v>
      </c>
      <c r="AE70" s="22" t="s">
        <v>3095</v>
      </c>
      <c r="AF70" s="22" t="s">
        <v>3095</v>
      </c>
    </row>
    <row r="71" ht="45.0" customHeight="1">
      <c r="A71" s="55" t="s">
        <v>354</v>
      </c>
      <c r="B71" s="62" t="s">
        <v>6253</v>
      </c>
      <c r="C71" s="22" t="str">
        <f>IMAGE("https://raw.githubusercontent.com/ltdimages/images/refs/heads/main/ClothAllCupLongGarbageCan_00.png")</f>
        <v/>
      </c>
      <c r="D71" s="22" t="str">
        <f>IMAGE("https://raw.githubusercontent.com/ltdimages/images/refs/heads/main/ClothAllCupLongGarbageCan_01.png")</f>
        <v/>
      </c>
      <c r="E71" s="22" t="str">
        <f>IMAGE("https://raw.githubusercontent.com/ltdimages/images/refs/heads/main/ClothAllCupLongGarbageCan_02.png")</f>
        <v/>
      </c>
      <c r="F71" s="22" t="s">
        <v>3095</v>
      </c>
      <c r="G71" s="22" t="s">
        <v>3095</v>
      </c>
      <c r="H71" s="22" t="s">
        <v>3095</v>
      </c>
      <c r="I71" s="22" t="s">
        <v>3095</v>
      </c>
      <c r="J71" s="22" t="s">
        <v>3095</v>
      </c>
      <c r="K71" s="63" t="s">
        <v>3099</v>
      </c>
      <c r="L71" s="23">
        <v>18.0</v>
      </c>
      <c r="M71" s="22" t="s">
        <v>3097</v>
      </c>
      <c r="N71" s="22" t="s">
        <v>3099</v>
      </c>
      <c r="O71" s="22" t="s">
        <v>45</v>
      </c>
      <c r="P71" s="22" t="s">
        <v>45</v>
      </c>
      <c r="Q71" s="22" t="s">
        <v>45</v>
      </c>
      <c r="R71" s="22" t="s">
        <v>49</v>
      </c>
      <c r="S71" s="22" t="s">
        <v>45</v>
      </c>
      <c r="T71" s="22" t="s">
        <v>2002</v>
      </c>
      <c r="U71" s="22" t="s">
        <v>45</v>
      </c>
      <c r="V71" s="22" t="s">
        <v>45</v>
      </c>
      <c r="W71" s="22" t="s">
        <v>6254</v>
      </c>
      <c r="X71" s="22" t="s">
        <v>3095</v>
      </c>
      <c r="Y71" s="22" t="s">
        <v>3095</v>
      </c>
      <c r="Z71" s="22" t="s">
        <v>3095</v>
      </c>
      <c r="AA71" s="22" t="s">
        <v>3095</v>
      </c>
      <c r="AB71" s="22" t="s">
        <v>3095</v>
      </c>
      <c r="AC71" s="22" t="s">
        <v>3095</v>
      </c>
      <c r="AD71" s="22" t="s">
        <v>3095</v>
      </c>
      <c r="AE71" s="22" t="s">
        <v>3095</v>
      </c>
      <c r="AF71" s="22" t="s">
        <v>3095</v>
      </c>
    </row>
    <row r="72" ht="45.0" customHeight="1">
      <c r="A72" s="55" t="s">
        <v>358</v>
      </c>
      <c r="B72" s="62" t="s">
        <v>4151</v>
      </c>
      <c r="C72" s="22" t="str">
        <f>IMAGE("https://raw.githubusercontent.com/ltdimages/images/refs/heads/main/ClothAllCupLongTree_00.png")</f>
        <v/>
      </c>
      <c r="D72" s="22" t="str">
        <f>IMAGE("https://raw.githubusercontent.com/ltdimages/images/refs/heads/main/ClothAllCupLongTree_01.png")</f>
        <v/>
      </c>
      <c r="E72" s="22" t="str">
        <f>IMAGE("https://raw.githubusercontent.com/ltdimages/images/refs/heads/main/ClothAllCupLongTree_02.png")</f>
        <v/>
      </c>
      <c r="F72" s="22" t="s">
        <v>3095</v>
      </c>
      <c r="G72" s="22" t="s">
        <v>3095</v>
      </c>
      <c r="H72" s="22" t="s">
        <v>3095</v>
      </c>
      <c r="I72" s="22" t="s">
        <v>3095</v>
      </c>
      <c r="J72" s="22" t="s">
        <v>3095</v>
      </c>
      <c r="K72" s="63" t="s">
        <v>3099</v>
      </c>
      <c r="L72" s="23">
        <v>22.0</v>
      </c>
      <c r="M72" s="22" t="s">
        <v>3097</v>
      </c>
      <c r="N72" s="22" t="s">
        <v>3099</v>
      </c>
      <c r="O72" s="22" t="s">
        <v>45</v>
      </c>
      <c r="P72" s="22" t="s">
        <v>45</v>
      </c>
      <c r="Q72" s="22" t="s">
        <v>45</v>
      </c>
      <c r="R72" s="22" t="s">
        <v>49</v>
      </c>
      <c r="S72" s="22" t="s">
        <v>45</v>
      </c>
      <c r="T72" s="22" t="s">
        <v>2002</v>
      </c>
      <c r="U72" s="22" t="s">
        <v>45</v>
      </c>
      <c r="V72" s="22" t="s">
        <v>45</v>
      </c>
      <c r="W72" s="22" t="s">
        <v>6255</v>
      </c>
      <c r="X72" s="22" t="s">
        <v>3095</v>
      </c>
      <c r="Y72" s="22" t="s">
        <v>3095</v>
      </c>
      <c r="Z72" s="22" t="s">
        <v>3095</v>
      </c>
      <c r="AA72" s="22" t="s">
        <v>3095</v>
      </c>
      <c r="AB72" s="22" t="s">
        <v>3095</v>
      </c>
      <c r="AC72" s="22" t="s">
        <v>3095</v>
      </c>
      <c r="AD72" s="22" t="s">
        <v>3095</v>
      </c>
      <c r="AE72" s="22" t="s">
        <v>3095</v>
      </c>
      <c r="AF72" s="22" t="s">
        <v>3095</v>
      </c>
    </row>
    <row r="73" ht="45.0" customHeight="1">
      <c r="A73" s="55" t="s">
        <v>362</v>
      </c>
      <c r="B73" s="62" t="s">
        <v>6256</v>
      </c>
      <c r="C73" s="22" t="str">
        <f>IMAGE("https://raw.githubusercontent.com/ltdimages/images/refs/heads/main/ClothAllCostumeLongTuna_00.png")</f>
        <v/>
      </c>
      <c r="D73" s="22" t="s">
        <v>3095</v>
      </c>
      <c r="E73" s="22" t="s">
        <v>3095</v>
      </c>
      <c r="F73" s="22" t="s">
        <v>3095</v>
      </c>
      <c r="G73" s="22" t="s">
        <v>3095</v>
      </c>
      <c r="H73" s="22" t="s">
        <v>3095</v>
      </c>
      <c r="I73" s="22" t="s">
        <v>3095</v>
      </c>
      <c r="J73" s="22" t="s">
        <v>3095</v>
      </c>
      <c r="K73" s="63" t="s">
        <v>3099</v>
      </c>
      <c r="L73" s="23">
        <v>25.5</v>
      </c>
      <c r="M73" s="22" t="s">
        <v>3097</v>
      </c>
      <c r="N73" s="22" t="s">
        <v>3099</v>
      </c>
      <c r="O73" s="22" t="s">
        <v>45</v>
      </c>
      <c r="P73" s="22" t="s">
        <v>45</v>
      </c>
      <c r="Q73" s="22" t="s">
        <v>45</v>
      </c>
      <c r="R73" s="22" t="s">
        <v>49</v>
      </c>
      <c r="S73" s="22" t="s">
        <v>45</v>
      </c>
      <c r="T73" s="22" t="s">
        <v>2002</v>
      </c>
      <c r="U73" s="22" t="s">
        <v>45</v>
      </c>
      <c r="V73" s="22" t="s">
        <v>45</v>
      </c>
      <c r="W73" s="22" t="s">
        <v>6257</v>
      </c>
      <c r="X73" s="22" t="s">
        <v>3095</v>
      </c>
      <c r="Y73" s="22" t="s">
        <v>3095</v>
      </c>
      <c r="Z73" s="22" t="s">
        <v>3095</v>
      </c>
      <c r="AA73" s="22" t="s">
        <v>3095</v>
      </c>
      <c r="AB73" s="22" t="s">
        <v>3095</v>
      </c>
      <c r="AC73" s="22" t="s">
        <v>3095</v>
      </c>
      <c r="AD73" s="22" t="s">
        <v>3095</v>
      </c>
      <c r="AE73" s="22" t="s">
        <v>3095</v>
      </c>
      <c r="AF73" s="22" t="s">
        <v>3095</v>
      </c>
    </row>
    <row r="74" ht="45.0" customHeight="1">
      <c r="A74" s="55" t="s">
        <v>367</v>
      </c>
      <c r="B74" s="62" t="s">
        <v>4158</v>
      </c>
      <c r="C74" s="22" t="str">
        <f>IMAGE("https://raw.githubusercontent.com/ltdimages/images/refs/heads/main/ClothAllMonsterLongTurkey_00.png")</f>
        <v/>
      </c>
      <c r="D74" s="22" t="s">
        <v>3095</v>
      </c>
      <c r="E74" s="22" t="s">
        <v>3095</v>
      </c>
      <c r="F74" s="22" t="s">
        <v>3095</v>
      </c>
      <c r="G74" s="22" t="s">
        <v>3095</v>
      </c>
      <c r="H74" s="22" t="s">
        <v>3095</v>
      </c>
      <c r="I74" s="22" t="s">
        <v>3095</v>
      </c>
      <c r="J74" s="22" t="s">
        <v>3095</v>
      </c>
      <c r="K74" s="63" t="s">
        <v>3099</v>
      </c>
      <c r="L74" s="23">
        <v>28.0</v>
      </c>
      <c r="M74" s="22" t="s">
        <v>3097</v>
      </c>
      <c r="N74" s="22" t="s">
        <v>3099</v>
      </c>
      <c r="O74" s="22" t="s">
        <v>45</v>
      </c>
      <c r="P74" s="22" t="s">
        <v>45</v>
      </c>
      <c r="Q74" s="22" t="s">
        <v>45</v>
      </c>
      <c r="R74" s="22" t="s">
        <v>49</v>
      </c>
      <c r="S74" s="22" t="s">
        <v>45</v>
      </c>
      <c r="T74" s="22" t="s">
        <v>2002</v>
      </c>
      <c r="U74" s="22" t="s">
        <v>45</v>
      </c>
      <c r="V74" s="22" t="s">
        <v>45</v>
      </c>
      <c r="W74" s="22" t="s">
        <v>6258</v>
      </c>
      <c r="X74" s="22" t="s">
        <v>3095</v>
      </c>
      <c r="Y74" s="22" t="s">
        <v>3095</v>
      </c>
      <c r="Z74" s="22" t="s">
        <v>3095</v>
      </c>
      <c r="AA74" s="22" t="s">
        <v>3095</v>
      </c>
      <c r="AB74" s="22" t="s">
        <v>3095</v>
      </c>
      <c r="AC74" s="22" t="s">
        <v>3095</v>
      </c>
      <c r="AD74" s="22" t="s">
        <v>3095</v>
      </c>
      <c r="AE74" s="22" t="s">
        <v>3095</v>
      </c>
      <c r="AF74" s="22" t="s">
        <v>3095</v>
      </c>
    </row>
    <row r="75" ht="45.0" customHeight="1">
      <c r="A75" s="55" t="s">
        <v>371</v>
      </c>
      <c r="B75" s="62" t="s">
        <v>6259</v>
      </c>
      <c r="C75" s="22" t="str">
        <f>IMAGE("https://raw.githubusercontent.com/ltdimages/images/refs/heads/main/ClothAllUfoAlien_00.png")</f>
        <v/>
      </c>
      <c r="D75" s="22" t="s">
        <v>3095</v>
      </c>
      <c r="E75" s="22" t="s">
        <v>3095</v>
      </c>
      <c r="F75" s="22" t="s">
        <v>3095</v>
      </c>
      <c r="G75" s="22" t="s">
        <v>3095</v>
      </c>
      <c r="H75" s="22" t="s">
        <v>3095</v>
      </c>
      <c r="I75" s="22" t="s">
        <v>3095</v>
      </c>
      <c r="J75" s="22" t="s">
        <v>3095</v>
      </c>
      <c r="K75" s="63" t="s">
        <v>3099</v>
      </c>
      <c r="L75" s="23">
        <v>28.0</v>
      </c>
      <c r="M75" s="22" t="s">
        <v>3097</v>
      </c>
      <c r="N75" s="22" t="s">
        <v>3099</v>
      </c>
      <c r="O75" s="22" t="s">
        <v>45</v>
      </c>
      <c r="P75" s="22" t="s">
        <v>45</v>
      </c>
      <c r="Q75" s="22" t="s">
        <v>45</v>
      </c>
      <c r="R75" s="22" t="s">
        <v>49</v>
      </c>
      <c r="S75" s="22" t="s">
        <v>45</v>
      </c>
      <c r="T75" s="22" t="s">
        <v>2002</v>
      </c>
      <c r="U75" s="22" t="s">
        <v>45</v>
      </c>
      <c r="V75" s="22" t="s">
        <v>45</v>
      </c>
      <c r="W75" s="22" t="s">
        <v>6260</v>
      </c>
      <c r="X75" s="22" t="s">
        <v>3095</v>
      </c>
      <c r="Y75" s="22" t="s">
        <v>3095</v>
      </c>
      <c r="Z75" s="22" t="s">
        <v>3095</v>
      </c>
      <c r="AA75" s="22" t="s">
        <v>3095</v>
      </c>
      <c r="AB75" s="22" t="s">
        <v>3095</v>
      </c>
      <c r="AC75" s="22" t="s">
        <v>3095</v>
      </c>
      <c r="AD75" s="22" t="s">
        <v>3095</v>
      </c>
      <c r="AE75" s="22" t="s">
        <v>3095</v>
      </c>
      <c r="AF75" s="22" t="s">
        <v>3095</v>
      </c>
    </row>
  </sheetData>
  <autoFilter ref="$A$1:$AF$75">
    <sortState ref="A1:AF75">
      <sortCondition ref="A1:A75"/>
    </sortState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88"/>
    <col customWidth="1" min="2" max="2" width="24.38"/>
    <col customWidth="1" min="3" max="10" width="7.63"/>
    <col customWidth="1" min="11" max="11" width="15.13"/>
    <col customWidth="1" min="12" max="12" width="11.38"/>
    <col customWidth="1" min="13" max="13" width="17.13"/>
    <col customWidth="1" min="14" max="14" width="30.25"/>
    <col customWidth="1" min="15" max="15" width="18.5"/>
  </cols>
  <sheetData>
    <row r="1" ht="31.5" customHeight="1">
      <c r="A1" s="58" t="s">
        <v>23</v>
      </c>
      <c r="B1" s="59" t="s">
        <v>25</v>
      </c>
      <c r="C1" s="60" t="s">
        <v>3059</v>
      </c>
      <c r="D1" s="60" t="s">
        <v>3060</v>
      </c>
      <c r="E1" s="60" t="s">
        <v>3061</v>
      </c>
      <c r="F1" s="60" t="s">
        <v>3062</v>
      </c>
      <c r="G1" s="60" t="s">
        <v>3063</v>
      </c>
      <c r="H1" s="60" t="s">
        <v>3064</v>
      </c>
      <c r="I1" s="60" t="s">
        <v>3065</v>
      </c>
      <c r="J1" s="60" t="s">
        <v>3066</v>
      </c>
      <c r="K1" s="19" t="s">
        <v>29</v>
      </c>
      <c r="L1" s="19" t="s">
        <v>6261</v>
      </c>
      <c r="M1" s="58" t="s">
        <v>1999</v>
      </c>
      <c r="N1" s="19" t="s">
        <v>39</v>
      </c>
      <c r="O1" s="19" t="s">
        <v>40</v>
      </c>
    </row>
    <row r="2" ht="45.0" customHeight="1">
      <c r="A2" s="55" t="s">
        <v>41</v>
      </c>
      <c r="B2" s="62" t="s">
        <v>6262</v>
      </c>
      <c r="C2" s="22" t="str">
        <f>IMAGE("https://raw.githubusercontent.com/ltdimages/images/refs/heads/main/Room_Style_Game00.png")</f>
        <v/>
      </c>
      <c r="D2" s="22" t="str">
        <f>IMAGE("https://raw.githubusercontent.com/ltdimages/images/refs/heads/main/Room_Style_Game01.png")</f>
        <v/>
      </c>
      <c r="E2" s="22" t="s">
        <v>3095</v>
      </c>
      <c r="F2" s="22" t="s">
        <v>3095</v>
      </c>
      <c r="G2" s="22" t="s">
        <v>3095</v>
      </c>
      <c r="H2" s="22" t="s">
        <v>3095</v>
      </c>
      <c r="I2" s="22" t="s">
        <v>3095</v>
      </c>
      <c r="J2" s="22" t="s">
        <v>3095</v>
      </c>
      <c r="K2" s="63">
        <v>188.0</v>
      </c>
      <c r="L2" s="23" t="s">
        <v>49</v>
      </c>
      <c r="M2" s="55" t="s">
        <v>6263</v>
      </c>
      <c r="N2" s="22" t="s">
        <v>6264</v>
      </c>
      <c r="O2" s="22" t="s">
        <v>6265</v>
      </c>
    </row>
    <row r="3" ht="45.0" customHeight="1">
      <c r="A3" s="55" t="s">
        <v>52</v>
      </c>
      <c r="B3" s="62" t="s">
        <v>6266</v>
      </c>
      <c r="C3" s="22" t="str">
        <f>IMAGE("https://raw.githubusercontent.com/ltdimages/images/refs/heads/main/Room_Style_Gym00.png")</f>
        <v/>
      </c>
      <c r="D3" s="22" t="str">
        <f>IMAGE("https://raw.githubusercontent.com/ltdimages/images/refs/heads/main/Room_Style_Gym01.png")</f>
        <v/>
      </c>
      <c r="E3" s="22" t="str">
        <f>IMAGE("https://raw.githubusercontent.com/ltdimages/images/refs/heads/main/Room_Style_Gym02.png")</f>
        <v/>
      </c>
      <c r="F3" s="22" t="s">
        <v>3095</v>
      </c>
      <c r="G3" s="22" t="s">
        <v>3095</v>
      </c>
      <c r="H3" s="22" t="s">
        <v>3095</v>
      </c>
      <c r="I3" s="22" t="s">
        <v>3095</v>
      </c>
      <c r="J3" s="22" t="s">
        <v>3095</v>
      </c>
      <c r="K3" s="63">
        <v>170.0</v>
      </c>
      <c r="L3" s="23" t="s">
        <v>49</v>
      </c>
      <c r="M3" s="55" t="s">
        <v>6263</v>
      </c>
      <c r="N3" s="22" t="s">
        <v>6267</v>
      </c>
      <c r="O3" s="22" t="s">
        <v>6268</v>
      </c>
    </row>
    <row r="4" ht="45.0" customHeight="1">
      <c r="A4" s="55" t="s">
        <v>60</v>
      </c>
      <c r="B4" s="62" t="s">
        <v>6269</v>
      </c>
      <c r="C4" s="22" t="str">
        <f>IMAGE("https://raw.githubusercontent.com/ltdimages/images/refs/heads/main/Room_Style_Antarctic00.png")</f>
        <v/>
      </c>
      <c r="D4" s="22" t="s">
        <v>3095</v>
      </c>
      <c r="E4" s="22" t="s">
        <v>3095</v>
      </c>
      <c r="F4" s="22" t="s">
        <v>3095</v>
      </c>
      <c r="G4" s="22" t="s">
        <v>3095</v>
      </c>
      <c r="H4" s="22" t="s">
        <v>3095</v>
      </c>
      <c r="I4" s="22" t="s">
        <v>3095</v>
      </c>
      <c r="J4" s="22" t="s">
        <v>3095</v>
      </c>
      <c r="K4" s="63">
        <v>220.0</v>
      </c>
      <c r="L4" s="23" t="s">
        <v>49</v>
      </c>
      <c r="M4" s="55" t="s">
        <v>6263</v>
      </c>
      <c r="N4" s="22" t="s">
        <v>6270</v>
      </c>
      <c r="O4" s="22" t="s">
        <v>6271</v>
      </c>
    </row>
    <row r="5" ht="45.0" customHeight="1">
      <c r="A5" s="55" t="s">
        <v>65</v>
      </c>
      <c r="B5" s="62" t="s">
        <v>6272</v>
      </c>
      <c r="C5" s="22" t="str">
        <f>IMAGE("https://raw.githubusercontent.com/ltdimages/images/refs/heads/main/Room_Style_Damask06.png")</f>
        <v/>
      </c>
      <c r="D5" s="22" t="str">
        <f>IMAGE("https://raw.githubusercontent.com/ltdimages/images/refs/heads/main/Room_Style_Damask04.png")</f>
        <v/>
      </c>
      <c r="E5" s="22" t="str">
        <f>IMAGE("https://raw.githubusercontent.com/ltdimages/images/refs/heads/main/Room_Style_Damask05.png")</f>
        <v/>
      </c>
      <c r="F5" s="22" t="str">
        <f>IMAGE("https://raw.githubusercontent.com/ltdimages/images/refs/heads/main/Room_Style_Damask02.png")</f>
        <v/>
      </c>
      <c r="G5" s="22" t="str">
        <f>IMAGE("https://raw.githubusercontent.com/ltdimages/images/refs/heads/main/Room_Style_Damask07.png")</f>
        <v/>
      </c>
      <c r="H5" s="22" t="str">
        <f>IMAGE("https://raw.githubusercontent.com/ltdimages/images/refs/heads/main/Room_Style_Damask01.png")</f>
        <v/>
      </c>
      <c r="I5" s="22" t="str">
        <f>IMAGE("https://raw.githubusercontent.com/ltdimages/images/refs/heads/main/Room_Style_Damask03.png")</f>
        <v/>
      </c>
      <c r="J5" s="22" t="str">
        <f>IMAGE("https://raw.githubusercontent.com/ltdimages/images/refs/heads/main/Room_Style_Damask00.png")</f>
        <v/>
      </c>
      <c r="K5" s="63">
        <v>131.0</v>
      </c>
      <c r="L5" s="23" t="s">
        <v>45</v>
      </c>
      <c r="M5" s="55" t="s">
        <v>3095</v>
      </c>
      <c r="N5" s="22" t="s">
        <v>6273</v>
      </c>
      <c r="O5" s="22" t="s">
        <v>6274</v>
      </c>
    </row>
    <row r="6" ht="45.0" customHeight="1">
      <c r="A6" s="55" t="s">
        <v>70</v>
      </c>
      <c r="B6" s="62" t="s">
        <v>6275</v>
      </c>
      <c r="C6" s="22" t="str">
        <f>IMAGE("https://raw.githubusercontent.com/ltdimages/images/refs/heads/main/Room_Style_Nobility00.png")</f>
        <v/>
      </c>
      <c r="D6" s="22" t="str">
        <f>IMAGE("https://raw.githubusercontent.com/ltdimages/images/refs/heads/main/Room_Style_Nobility01.png")</f>
        <v/>
      </c>
      <c r="E6" s="22" t="str">
        <f>IMAGE("https://raw.githubusercontent.com/ltdimages/images/refs/heads/main/Room_Style_Nobility02.png")</f>
        <v/>
      </c>
      <c r="F6" s="22" t="s">
        <v>3095</v>
      </c>
      <c r="G6" s="22" t="s">
        <v>3095</v>
      </c>
      <c r="H6" s="22" t="s">
        <v>3095</v>
      </c>
      <c r="I6" s="22" t="s">
        <v>3095</v>
      </c>
      <c r="J6" s="22" t="s">
        <v>3095</v>
      </c>
      <c r="K6" s="63">
        <v>1000.0</v>
      </c>
      <c r="L6" s="23" t="s">
        <v>45</v>
      </c>
      <c r="M6" s="55" t="s">
        <v>6276</v>
      </c>
      <c r="N6" s="22" t="s">
        <v>6277</v>
      </c>
      <c r="O6" s="22" t="s">
        <v>6278</v>
      </c>
    </row>
    <row r="7" ht="45.0" customHeight="1">
      <c r="A7" s="55" t="s">
        <v>74</v>
      </c>
      <c r="B7" s="62" t="s">
        <v>6279</v>
      </c>
      <c r="C7" s="22" t="str">
        <f>IMAGE("https://raw.githubusercontent.com/ltdimages/images/refs/heads/main/Room_Style_Street00.png")</f>
        <v/>
      </c>
      <c r="D7" s="22" t="s">
        <v>3095</v>
      </c>
      <c r="E7" s="22" t="s">
        <v>3095</v>
      </c>
      <c r="F7" s="22" t="s">
        <v>3095</v>
      </c>
      <c r="G7" s="22" t="s">
        <v>3095</v>
      </c>
      <c r="H7" s="22" t="s">
        <v>3095</v>
      </c>
      <c r="I7" s="22" t="s">
        <v>3095</v>
      </c>
      <c r="J7" s="22" t="s">
        <v>3095</v>
      </c>
      <c r="K7" s="63">
        <v>125.0</v>
      </c>
      <c r="L7" s="23" t="s">
        <v>45</v>
      </c>
      <c r="M7" s="55" t="s">
        <v>6280</v>
      </c>
      <c r="N7" s="22" t="s">
        <v>6281</v>
      </c>
      <c r="O7" s="22" t="s">
        <v>6282</v>
      </c>
    </row>
    <row r="8" ht="45.0" customHeight="1">
      <c r="A8" s="55" t="s">
        <v>78</v>
      </c>
      <c r="B8" s="62" t="s">
        <v>6283</v>
      </c>
      <c r="C8" s="22" t="str">
        <f>IMAGE("https://raw.githubusercontent.com/ltdimages/images/refs/heads/main/Room_Style_Training00.png")</f>
        <v/>
      </c>
      <c r="D8" s="22" t="s">
        <v>3095</v>
      </c>
      <c r="E8" s="22" t="s">
        <v>3095</v>
      </c>
      <c r="F8" s="22" t="s">
        <v>3095</v>
      </c>
      <c r="G8" s="22" t="s">
        <v>3095</v>
      </c>
      <c r="H8" s="22" t="s">
        <v>3095</v>
      </c>
      <c r="I8" s="22" t="s">
        <v>3095</v>
      </c>
      <c r="J8" s="22" t="s">
        <v>3095</v>
      </c>
      <c r="K8" s="63">
        <v>85.0</v>
      </c>
      <c r="L8" s="23" t="s">
        <v>45</v>
      </c>
      <c r="M8" s="55" t="s">
        <v>6284</v>
      </c>
      <c r="N8" s="22" t="s">
        <v>6285</v>
      </c>
      <c r="O8" s="22" t="s">
        <v>6286</v>
      </c>
    </row>
    <row r="9" ht="45.0" customHeight="1">
      <c r="A9" s="55" t="s">
        <v>83</v>
      </c>
      <c r="B9" s="62" t="s">
        <v>6287</v>
      </c>
      <c r="C9" s="22" t="str">
        <f>IMAGE("https://raw.githubusercontent.com/ltdimages/images/refs/heads/main/Room_Style_PublicBath00.png")</f>
        <v/>
      </c>
      <c r="D9" s="22" t="s">
        <v>3095</v>
      </c>
      <c r="E9" s="22" t="s">
        <v>3095</v>
      </c>
      <c r="F9" s="22" t="s">
        <v>3095</v>
      </c>
      <c r="G9" s="22" t="s">
        <v>3095</v>
      </c>
      <c r="H9" s="22" t="s">
        <v>3095</v>
      </c>
      <c r="I9" s="22" t="s">
        <v>3095</v>
      </c>
      <c r="J9" s="22" t="s">
        <v>3095</v>
      </c>
      <c r="K9" s="63">
        <v>180.0</v>
      </c>
      <c r="L9" s="23" t="s">
        <v>45</v>
      </c>
      <c r="M9" s="55" t="s">
        <v>6288</v>
      </c>
      <c r="N9" s="22" t="s">
        <v>6289</v>
      </c>
      <c r="O9" s="22" t="s">
        <v>6290</v>
      </c>
    </row>
    <row r="10" ht="45.0" customHeight="1">
      <c r="A10" s="55" t="s">
        <v>89</v>
      </c>
      <c r="B10" s="62" t="s">
        <v>6291</v>
      </c>
      <c r="C10" s="22" t="str">
        <f>IMAGE("https://raw.githubusercontent.com/ltdimages/images/refs/heads/main/Room_Style_Bathroom00.png")</f>
        <v/>
      </c>
      <c r="D10" s="22" t="str">
        <f>IMAGE("https://raw.githubusercontent.com/ltdimages/images/refs/heads/main/Room_Style_Bathroom01.png")</f>
        <v/>
      </c>
      <c r="E10" s="22" t="str">
        <f>IMAGE("https://raw.githubusercontent.com/ltdimages/images/refs/heads/main/Room_Style_Bathroom02.png")</f>
        <v/>
      </c>
      <c r="F10" s="22" t="str">
        <f>IMAGE("https://raw.githubusercontent.com/ltdimages/images/refs/heads/main/Room_Style_Bathroom03.png")</f>
        <v/>
      </c>
      <c r="G10" s="22" t="str">
        <f>IMAGE("https://raw.githubusercontent.com/ltdimages/images/refs/heads/main/Room_Style_Bathroom04.png")</f>
        <v/>
      </c>
      <c r="H10" s="22" t="s">
        <v>3095</v>
      </c>
      <c r="I10" s="22" t="s">
        <v>3095</v>
      </c>
      <c r="J10" s="22" t="s">
        <v>3095</v>
      </c>
      <c r="K10" s="63">
        <v>111.0</v>
      </c>
      <c r="L10" s="23" t="s">
        <v>49</v>
      </c>
      <c r="M10" s="55" t="s">
        <v>6263</v>
      </c>
      <c r="N10" s="22" t="s">
        <v>6292</v>
      </c>
      <c r="O10" s="22" t="s">
        <v>6293</v>
      </c>
    </row>
    <row r="11" ht="45.0" customHeight="1">
      <c r="A11" s="55" t="s">
        <v>94</v>
      </c>
      <c r="B11" s="62" t="s">
        <v>6294</v>
      </c>
      <c r="C11" s="22" t="str">
        <f>IMAGE("https://raw.githubusercontent.com/ltdimages/images/refs/heads/main/Room_Style_Beach00.png")</f>
        <v/>
      </c>
      <c r="D11" s="22" t="s">
        <v>3095</v>
      </c>
      <c r="E11" s="22" t="s">
        <v>3095</v>
      </c>
      <c r="F11" s="22" t="s">
        <v>3095</v>
      </c>
      <c r="G11" s="22" t="s">
        <v>3095</v>
      </c>
      <c r="H11" s="22" t="s">
        <v>3095</v>
      </c>
      <c r="I11" s="22" t="s">
        <v>3095</v>
      </c>
      <c r="J11" s="22" t="s">
        <v>3095</v>
      </c>
      <c r="K11" s="63">
        <v>300.0</v>
      </c>
      <c r="L11" s="23" t="s">
        <v>45</v>
      </c>
      <c r="M11" s="55" t="s">
        <v>6295</v>
      </c>
      <c r="N11" s="22" t="s">
        <v>6296</v>
      </c>
      <c r="O11" s="22" t="s">
        <v>6297</v>
      </c>
    </row>
    <row r="12" ht="45.0" customHeight="1">
      <c r="A12" s="55" t="s">
        <v>98</v>
      </c>
      <c r="B12" s="62" t="s">
        <v>6298</v>
      </c>
      <c r="C12" s="22" t="str">
        <f>IMAGE("https://raw.githubusercontent.com/ltdimages/images/refs/heads/main/Room_Style_WhiteRoom00.png")</f>
        <v/>
      </c>
      <c r="D12" s="22" t="s">
        <v>3095</v>
      </c>
      <c r="E12" s="22" t="s">
        <v>3095</v>
      </c>
      <c r="F12" s="22" t="s">
        <v>3095</v>
      </c>
      <c r="G12" s="22" t="s">
        <v>3095</v>
      </c>
      <c r="H12" s="22" t="s">
        <v>3095</v>
      </c>
      <c r="I12" s="22" t="s">
        <v>3095</v>
      </c>
      <c r="J12" s="22" t="s">
        <v>3095</v>
      </c>
      <c r="K12" s="63">
        <v>20.0</v>
      </c>
      <c r="L12" s="23" t="s">
        <v>45</v>
      </c>
      <c r="M12" s="55" t="s">
        <v>3095</v>
      </c>
      <c r="N12" s="22" t="s">
        <v>6299</v>
      </c>
      <c r="O12" s="22" t="s">
        <v>6300</v>
      </c>
    </row>
    <row r="13" ht="45.0" customHeight="1">
      <c r="A13" s="55" t="s">
        <v>104</v>
      </c>
      <c r="B13" s="62" t="s">
        <v>6301</v>
      </c>
      <c r="C13" s="22" t="str">
        <f>IMAGE("https://raw.githubusercontent.com/ltdimages/images/refs/heads/main/Room_Style_Book00.png")</f>
        <v/>
      </c>
      <c r="D13" s="22" t="str">
        <f>IMAGE("https://raw.githubusercontent.com/ltdimages/images/refs/heads/main/Room_Style_Book01.png")</f>
        <v/>
      </c>
      <c r="E13" s="22" t="str">
        <f>IMAGE("https://raw.githubusercontent.com/ltdimages/images/refs/heads/main/Room_Style_Book02.png")</f>
        <v/>
      </c>
      <c r="F13" s="22" t="s">
        <v>3095</v>
      </c>
      <c r="G13" s="22" t="s">
        <v>3095</v>
      </c>
      <c r="H13" s="22" t="s">
        <v>3095</v>
      </c>
      <c r="I13" s="22" t="s">
        <v>3095</v>
      </c>
      <c r="J13" s="22" t="s">
        <v>3095</v>
      </c>
      <c r="K13" s="63">
        <v>135.0</v>
      </c>
      <c r="L13" s="23" t="s">
        <v>45</v>
      </c>
      <c r="M13" s="55" t="s">
        <v>6284</v>
      </c>
      <c r="N13" s="22" t="s">
        <v>6302</v>
      </c>
      <c r="O13" s="22" t="s">
        <v>6303</v>
      </c>
    </row>
    <row r="14" ht="45.0" customHeight="1">
      <c r="A14" s="55" t="s">
        <v>109</v>
      </c>
      <c r="B14" s="62" t="s">
        <v>6304</v>
      </c>
      <c r="C14" s="22" t="str">
        <f>IMAGE("https://raw.githubusercontent.com/ltdimages/images/refs/heads/main/Room_Style_Botanical00.png")</f>
        <v/>
      </c>
      <c r="D14" s="22" t="s">
        <v>3095</v>
      </c>
      <c r="E14" s="22" t="s">
        <v>3095</v>
      </c>
      <c r="F14" s="22" t="s">
        <v>3095</v>
      </c>
      <c r="G14" s="22" t="s">
        <v>3095</v>
      </c>
      <c r="H14" s="22" t="s">
        <v>3095</v>
      </c>
      <c r="I14" s="22" t="s">
        <v>3095</v>
      </c>
      <c r="J14" s="22" t="s">
        <v>3095</v>
      </c>
      <c r="K14" s="63">
        <v>120.0</v>
      </c>
      <c r="L14" s="23" t="s">
        <v>45</v>
      </c>
      <c r="M14" s="55" t="s">
        <v>3095</v>
      </c>
      <c r="N14" s="22" t="s">
        <v>6305</v>
      </c>
      <c r="O14" s="22" t="s">
        <v>6306</v>
      </c>
    </row>
    <row r="15" ht="45.0" customHeight="1">
      <c r="A15" s="55" t="s">
        <v>115</v>
      </c>
      <c r="B15" s="62" t="s">
        <v>6307</v>
      </c>
      <c r="C15" s="22" t="str">
        <f>IMAGE("https://raw.githubusercontent.com/ltdimages/images/refs/heads/main/Room_Style_Camouflage00.png")</f>
        <v/>
      </c>
      <c r="D15" s="22" t="str">
        <f>IMAGE("https://raw.githubusercontent.com/ltdimages/images/refs/heads/main/Room_Style_Camouflage01.png")</f>
        <v/>
      </c>
      <c r="E15" s="22" t="str">
        <f>IMAGE("https://raw.githubusercontent.com/ltdimages/images/refs/heads/main/Room_Style_Camouflage02.png")</f>
        <v/>
      </c>
      <c r="F15" s="22" t="str">
        <f>IMAGE("https://raw.githubusercontent.com/ltdimages/images/refs/heads/main/Room_Style_Camouflage03.png")</f>
        <v/>
      </c>
      <c r="G15" s="22" t="s">
        <v>3095</v>
      </c>
      <c r="H15" s="22" t="s">
        <v>3095</v>
      </c>
      <c r="I15" s="22" t="s">
        <v>3095</v>
      </c>
      <c r="J15" s="22" t="s">
        <v>3095</v>
      </c>
      <c r="K15" s="63">
        <v>110.0</v>
      </c>
      <c r="L15" s="23" t="s">
        <v>45</v>
      </c>
      <c r="M15" s="55" t="s">
        <v>6284</v>
      </c>
      <c r="N15" s="22" t="s">
        <v>6308</v>
      </c>
      <c r="O15" s="22" t="s">
        <v>6309</v>
      </c>
    </row>
    <row r="16" ht="45.0" customHeight="1">
      <c r="A16" s="55" t="s">
        <v>119</v>
      </c>
      <c r="B16" s="62" t="s">
        <v>6310</v>
      </c>
      <c r="C16" s="22" t="str">
        <f>IMAGE("https://raw.githubusercontent.com/ltdimages/images/refs/heads/main/Room_Style_MultiDot00.png")</f>
        <v/>
      </c>
      <c r="D16" s="22" t="str">
        <f>IMAGE("https://raw.githubusercontent.com/ltdimages/images/refs/heads/main/Room_Style_MultiDot01.png")</f>
        <v/>
      </c>
      <c r="E16" s="22" t="str">
        <f>IMAGE("https://raw.githubusercontent.com/ltdimages/images/refs/heads/main/Room_Style_MultiDot02.png")</f>
        <v/>
      </c>
      <c r="F16" s="22" t="str">
        <f>IMAGE("https://raw.githubusercontent.com/ltdimages/images/refs/heads/main/Room_Style_MultiDot03.png")</f>
        <v/>
      </c>
      <c r="G16" s="22" t="s">
        <v>3095</v>
      </c>
      <c r="H16" s="22" t="s">
        <v>3095</v>
      </c>
      <c r="I16" s="22" t="s">
        <v>3095</v>
      </c>
      <c r="J16" s="22" t="s">
        <v>3095</v>
      </c>
      <c r="K16" s="63">
        <v>120.0</v>
      </c>
      <c r="L16" s="23" t="s">
        <v>45</v>
      </c>
      <c r="M16" s="55" t="s">
        <v>6284</v>
      </c>
      <c r="N16" s="22" t="s">
        <v>6311</v>
      </c>
      <c r="O16" s="22" t="s">
        <v>6312</v>
      </c>
    </row>
    <row r="17" ht="45.0" customHeight="1">
      <c r="A17" s="55" t="s">
        <v>124</v>
      </c>
      <c r="B17" s="62" t="s">
        <v>6313</v>
      </c>
      <c r="C17" s="22" t="str">
        <f>IMAGE("https://raw.githubusercontent.com/ltdimages/images/refs/heads/main/Room_Style_StainedGlass00.png")</f>
        <v/>
      </c>
      <c r="D17" s="22" t="str">
        <f>IMAGE("https://raw.githubusercontent.com/ltdimages/images/refs/heads/main/Room_Style_StainedGlass01.png")</f>
        <v/>
      </c>
      <c r="E17" s="22" t="str">
        <f>IMAGE("https://raw.githubusercontent.com/ltdimages/images/refs/heads/main/Room_Style_StainedGlass02.png")</f>
        <v/>
      </c>
      <c r="F17" s="22" t="s">
        <v>3095</v>
      </c>
      <c r="G17" s="22" t="s">
        <v>3095</v>
      </c>
      <c r="H17" s="22" t="s">
        <v>3095</v>
      </c>
      <c r="I17" s="22" t="s">
        <v>3095</v>
      </c>
      <c r="J17" s="22" t="s">
        <v>3095</v>
      </c>
      <c r="K17" s="63">
        <v>184.0</v>
      </c>
      <c r="L17" s="23" t="s">
        <v>49</v>
      </c>
      <c r="M17" s="55" t="s">
        <v>6263</v>
      </c>
      <c r="N17" s="22" t="s">
        <v>6314</v>
      </c>
      <c r="O17" s="22" t="s">
        <v>6315</v>
      </c>
    </row>
    <row r="18" ht="45.0" customHeight="1">
      <c r="A18" s="55" t="s">
        <v>129</v>
      </c>
      <c r="B18" s="62" t="s">
        <v>6316</v>
      </c>
      <c r="C18" s="22" t="str">
        <f>IMAGE("https://raw.githubusercontent.com/ltdimages/images/refs/heads/main/Room_Style_Atelier00.png")</f>
        <v/>
      </c>
      <c r="D18" s="22" t="str">
        <f>IMAGE("https://raw.githubusercontent.com/ltdimages/images/refs/heads/main/Room_Style_Atelier01.png")</f>
        <v/>
      </c>
      <c r="E18" s="22" t="s">
        <v>3095</v>
      </c>
      <c r="F18" s="22" t="s">
        <v>3095</v>
      </c>
      <c r="G18" s="22" t="s">
        <v>3095</v>
      </c>
      <c r="H18" s="22" t="s">
        <v>3095</v>
      </c>
      <c r="I18" s="22" t="s">
        <v>3095</v>
      </c>
      <c r="J18" s="22" t="s">
        <v>3095</v>
      </c>
      <c r="K18" s="63">
        <v>91.0</v>
      </c>
      <c r="L18" s="23" t="s">
        <v>45</v>
      </c>
      <c r="M18" s="55" t="s">
        <v>6317</v>
      </c>
      <c r="N18" s="22" t="s">
        <v>6318</v>
      </c>
      <c r="O18" s="22" t="s">
        <v>6319</v>
      </c>
    </row>
    <row r="19" ht="45.0" customHeight="1">
      <c r="A19" s="55" t="s">
        <v>134</v>
      </c>
      <c r="B19" s="62" t="s">
        <v>6320</v>
      </c>
      <c r="C19" s="22" t="str">
        <f>IMAGE("https://raw.githubusercontent.com/ltdimages/images/refs/heads/main/Room_Style_WesternStyle00.png")</f>
        <v/>
      </c>
      <c r="D19" s="22" t="str">
        <f>IMAGE("https://raw.githubusercontent.com/ltdimages/images/refs/heads/main/Room_Style_WesternStyle01.png")</f>
        <v/>
      </c>
      <c r="E19" s="22" t="str">
        <f>IMAGE("https://raw.githubusercontent.com/ltdimages/images/refs/heads/main/Room_Style_WesternStyle02.png")</f>
        <v/>
      </c>
      <c r="F19" s="22" t="str">
        <f>IMAGE("https://raw.githubusercontent.com/ltdimages/images/refs/heads/main/Room_Style_WesternStyle03.png")</f>
        <v/>
      </c>
      <c r="G19" s="22" t="str">
        <f>IMAGE("https://raw.githubusercontent.com/ltdimages/images/refs/heads/main/Room_Style_WesternStyle04.png")</f>
        <v/>
      </c>
      <c r="H19" s="22" t="str">
        <f>IMAGE("https://raw.githubusercontent.com/ltdimages/images/refs/heads/main/Room_Style_WesternStyle05.png")</f>
        <v/>
      </c>
      <c r="I19" s="22" t="str">
        <f>IMAGE("https://raw.githubusercontent.com/ltdimages/images/refs/heads/main/Room_Style_WesternStyle06.png")</f>
        <v/>
      </c>
      <c r="J19" s="22" t="str">
        <f>IMAGE("https://raw.githubusercontent.com/ltdimages/images/refs/heads/main/Room_Style_WesternStyle07.png")</f>
        <v/>
      </c>
      <c r="K19" s="63">
        <v>20.0</v>
      </c>
      <c r="L19" s="23" t="s">
        <v>45</v>
      </c>
      <c r="M19" s="55" t="s">
        <v>3095</v>
      </c>
      <c r="N19" s="22" t="s">
        <v>6321</v>
      </c>
      <c r="O19" s="22" t="s">
        <v>6322</v>
      </c>
    </row>
    <row r="20" ht="45.0" customHeight="1">
      <c r="A20" s="55" t="s">
        <v>138</v>
      </c>
      <c r="B20" s="62" t="s">
        <v>6323</v>
      </c>
      <c r="C20" s="22" t="str">
        <f>IMAGE("https://raw.githubusercontent.com/ltdimages/images/refs/heads/main/Room_Style_Cute00.png")</f>
        <v/>
      </c>
      <c r="D20" s="22" t="str">
        <f>IMAGE("https://raw.githubusercontent.com/ltdimages/images/refs/heads/main/Room_Style_Cute01.png")</f>
        <v/>
      </c>
      <c r="E20" s="22" t="str">
        <f>IMAGE("https://raw.githubusercontent.com/ltdimages/images/refs/heads/main/Room_Style_Dinosaur00.png")</f>
        <v/>
      </c>
      <c r="F20" s="22" t="str">
        <f>IMAGE("https://raw.githubusercontent.com/ltdimages/images/refs/heads/main/Room_Style_Dinosaur01.png")</f>
        <v/>
      </c>
      <c r="G20" s="22" t="s">
        <v>3095</v>
      </c>
      <c r="H20" s="22" t="s">
        <v>3095</v>
      </c>
      <c r="I20" s="22" t="s">
        <v>3095</v>
      </c>
      <c r="J20" s="22" t="s">
        <v>3095</v>
      </c>
      <c r="K20" s="63">
        <v>76.0</v>
      </c>
      <c r="L20" s="23" t="s">
        <v>45</v>
      </c>
      <c r="M20" s="55" t="s">
        <v>6284</v>
      </c>
      <c r="N20" s="22" t="s">
        <v>6324</v>
      </c>
      <c r="O20" s="22" t="s">
        <v>6325</v>
      </c>
    </row>
    <row r="21" ht="45.0" customHeight="1">
      <c r="A21" s="55" t="s">
        <v>142</v>
      </c>
      <c r="B21" s="62" t="s">
        <v>6326</v>
      </c>
      <c r="C21" s="22" t="str">
        <f>IMAGE("https://raw.githubusercontent.com/ltdimages/images/refs/heads/main/Room_Style_DropCurtain00.png")</f>
        <v/>
      </c>
      <c r="D21" s="22" t="s">
        <v>3095</v>
      </c>
      <c r="E21" s="22" t="s">
        <v>3095</v>
      </c>
      <c r="F21" s="22" t="s">
        <v>3095</v>
      </c>
      <c r="G21" s="22" t="s">
        <v>3095</v>
      </c>
      <c r="H21" s="22" t="s">
        <v>3095</v>
      </c>
      <c r="I21" s="22" t="s">
        <v>3095</v>
      </c>
      <c r="J21" s="22" t="s">
        <v>3095</v>
      </c>
      <c r="K21" s="63">
        <v>152.0</v>
      </c>
      <c r="L21" s="23" t="s">
        <v>49</v>
      </c>
      <c r="M21" s="55" t="s">
        <v>6263</v>
      </c>
      <c r="N21" s="22" t="s">
        <v>6327</v>
      </c>
      <c r="O21" s="22" t="s">
        <v>6328</v>
      </c>
    </row>
    <row r="22" ht="45.0" customHeight="1">
      <c r="A22" s="55" t="s">
        <v>147</v>
      </c>
      <c r="B22" s="62" t="s">
        <v>6329</v>
      </c>
      <c r="C22" s="22" t="str">
        <f>IMAGE("https://raw.githubusercontent.com/ltdimages/images/refs/heads/main/Room_Style_Gold00.png")</f>
        <v/>
      </c>
      <c r="D22" s="22" t="s">
        <v>3095</v>
      </c>
      <c r="E22" s="22" t="s">
        <v>3095</v>
      </c>
      <c r="F22" s="22" t="s">
        <v>3095</v>
      </c>
      <c r="G22" s="22" t="s">
        <v>3095</v>
      </c>
      <c r="H22" s="22" t="s">
        <v>3095</v>
      </c>
      <c r="I22" s="22" t="s">
        <v>3095</v>
      </c>
      <c r="J22" s="22" t="s">
        <v>3095</v>
      </c>
      <c r="K22" s="63">
        <v>10000.0</v>
      </c>
      <c r="L22" s="23" t="s">
        <v>49</v>
      </c>
      <c r="M22" s="55" t="s">
        <v>6263</v>
      </c>
      <c r="N22" s="22" t="s">
        <v>6330</v>
      </c>
      <c r="O22" s="22" t="s">
        <v>6331</v>
      </c>
    </row>
    <row r="23" ht="45.0" customHeight="1">
      <c r="A23" s="55" t="s">
        <v>152</v>
      </c>
      <c r="B23" s="62" t="s">
        <v>6332</v>
      </c>
      <c r="C23" s="22" t="str">
        <f>IMAGE("https://raw.githubusercontent.com/ltdimages/images/refs/heads/main/Room_Style_Classroom00.png")</f>
        <v/>
      </c>
      <c r="D23" s="22" t="str">
        <f>IMAGE("https://raw.githubusercontent.com/ltdimages/images/refs/heads/main/Room_Style_Classroom01.png")</f>
        <v/>
      </c>
      <c r="E23" s="22" t="s">
        <v>3095</v>
      </c>
      <c r="F23" s="22" t="s">
        <v>3095</v>
      </c>
      <c r="G23" s="22" t="s">
        <v>3095</v>
      </c>
      <c r="H23" s="22" t="s">
        <v>3095</v>
      </c>
      <c r="I23" s="22" t="s">
        <v>3095</v>
      </c>
      <c r="J23" s="22" t="s">
        <v>3095</v>
      </c>
      <c r="K23" s="63">
        <v>160.0</v>
      </c>
      <c r="L23" s="23" t="s">
        <v>49</v>
      </c>
      <c r="M23" s="55" t="s">
        <v>6263</v>
      </c>
      <c r="N23" s="22" t="s">
        <v>6333</v>
      </c>
      <c r="O23" s="22" t="s">
        <v>6334</v>
      </c>
    </row>
    <row r="24" ht="45.0" customHeight="1">
      <c r="A24" s="55" t="s">
        <v>156</v>
      </c>
      <c r="B24" s="62" t="s">
        <v>6335</v>
      </c>
      <c r="C24" s="22" t="str">
        <f>IMAGE("https://raw.githubusercontent.com/ltdimages/images/refs/heads/main/Room_Style_LightStick00.png")</f>
        <v/>
      </c>
      <c r="D24" s="22" t="str">
        <f>IMAGE("https://raw.githubusercontent.com/ltdimages/images/refs/heads/main/Room_Style_LightStick01.png")</f>
        <v/>
      </c>
      <c r="E24" s="22" t="str">
        <f>IMAGE("https://raw.githubusercontent.com/ltdimages/images/refs/heads/main/Room_Style_LightStick02.png")</f>
        <v/>
      </c>
      <c r="F24" s="22" t="str">
        <f>IMAGE("https://raw.githubusercontent.com/ltdimages/images/refs/heads/main/Room_Style_LightStick03.png")</f>
        <v/>
      </c>
      <c r="G24" s="22" t="str">
        <f>IMAGE("https://raw.githubusercontent.com/ltdimages/images/refs/heads/main/Room_Style_LightStick04.png")</f>
        <v/>
      </c>
      <c r="H24" s="22" t="str">
        <f>IMAGE("https://raw.githubusercontent.com/ltdimages/images/refs/heads/main/Room_Style_LightStick05.png")</f>
        <v/>
      </c>
      <c r="I24" s="22" t="str">
        <f>IMAGE("https://raw.githubusercontent.com/ltdimages/images/refs/heads/main/Room_Style_LightStick06.png")</f>
        <v/>
      </c>
      <c r="J24" s="22" t="str">
        <f>IMAGE("https://raw.githubusercontent.com/ltdimages/images/refs/heads/main/Room_Style_LightStick07.png")</f>
        <v/>
      </c>
      <c r="K24" s="63">
        <v>500.0</v>
      </c>
      <c r="L24" s="23" t="s">
        <v>49</v>
      </c>
      <c r="M24" s="55" t="s">
        <v>6263</v>
      </c>
      <c r="N24" s="22" t="s">
        <v>6336</v>
      </c>
      <c r="O24" s="22" t="s">
        <v>6337</v>
      </c>
    </row>
    <row r="25" ht="45.0" customHeight="1">
      <c r="A25" s="55" t="s">
        <v>161</v>
      </c>
      <c r="B25" s="62" t="s">
        <v>6338</v>
      </c>
      <c r="C25" s="22" t="str">
        <f>IMAGE("https://raw.githubusercontent.com/ltdimages/images/refs/heads/main/Room_Style_BlueSheet00.png")</f>
        <v/>
      </c>
      <c r="D25" s="22" t="s">
        <v>3095</v>
      </c>
      <c r="E25" s="22" t="s">
        <v>3095</v>
      </c>
      <c r="F25" s="22" t="s">
        <v>3095</v>
      </c>
      <c r="G25" s="22" t="s">
        <v>3095</v>
      </c>
      <c r="H25" s="22" t="s">
        <v>3095</v>
      </c>
      <c r="I25" s="22" t="s">
        <v>3095</v>
      </c>
      <c r="J25" s="22" t="s">
        <v>3095</v>
      </c>
      <c r="K25" s="63">
        <v>155.0</v>
      </c>
      <c r="L25" s="23" t="s">
        <v>49</v>
      </c>
      <c r="M25" s="55" t="s">
        <v>6263</v>
      </c>
      <c r="N25" s="22" t="s">
        <v>6339</v>
      </c>
      <c r="O25" s="22" t="s">
        <v>6340</v>
      </c>
    </row>
    <row r="26" ht="45.0" customHeight="1">
      <c r="A26" s="55" t="s">
        <v>165</v>
      </c>
      <c r="B26" s="62" t="s">
        <v>6341</v>
      </c>
      <c r="C26" s="22" t="str">
        <f>IMAGE("https://raw.githubusercontent.com/ltdimages/images/refs/heads/main/Room_Style_TropicalSea00.png")</f>
        <v/>
      </c>
      <c r="D26" s="22" t="s">
        <v>3095</v>
      </c>
      <c r="E26" s="22" t="s">
        <v>3095</v>
      </c>
      <c r="F26" s="22" t="s">
        <v>3095</v>
      </c>
      <c r="G26" s="22" t="s">
        <v>3095</v>
      </c>
      <c r="H26" s="22" t="s">
        <v>3095</v>
      </c>
      <c r="I26" s="22" t="s">
        <v>3095</v>
      </c>
      <c r="J26" s="22" t="s">
        <v>3095</v>
      </c>
      <c r="K26" s="63">
        <v>130.0</v>
      </c>
      <c r="L26" s="23" t="s">
        <v>45</v>
      </c>
      <c r="M26" s="55" t="s">
        <v>6295</v>
      </c>
      <c r="N26" s="22" t="s">
        <v>6342</v>
      </c>
      <c r="O26" s="22" t="s">
        <v>6343</v>
      </c>
    </row>
    <row r="27" ht="45.0" customHeight="1">
      <c r="A27" s="55" t="s">
        <v>170</v>
      </c>
      <c r="B27" s="62" t="s">
        <v>6344</v>
      </c>
      <c r="C27" s="22" t="str">
        <f>IMAGE("https://raw.githubusercontent.com/ltdimages/images/refs/heads/main/Room_Style_Field00.png")</f>
        <v/>
      </c>
      <c r="D27" s="22" t="str">
        <f>IMAGE("https://raw.githubusercontent.com/ltdimages/images/refs/heads/main/Room_Style_Field01.png")</f>
        <v/>
      </c>
      <c r="E27" s="22" t="s">
        <v>3095</v>
      </c>
      <c r="F27" s="22" t="s">
        <v>3095</v>
      </c>
      <c r="G27" s="22" t="s">
        <v>3095</v>
      </c>
      <c r="H27" s="22" t="s">
        <v>3095</v>
      </c>
      <c r="I27" s="22" t="s">
        <v>3095</v>
      </c>
      <c r="J27" s="22" t="s">
        <v>3095</v>
      </c>
      <c r="K27" s="63">
        <v>100.0</v>
      </c>
      <c r="L27" s="23" t="s">
        <v>49</v>
      </c>
      <c r="M27" s="55" t="s">
        <v>6263</v>
      </c>
      <c r="N27" s="22" t="s">
        <v>6345</v>
      </c>
      <c r="O27" s="22" t="s">
        <v>6346</v>
      </c>
    </row>
    <row r="28" ht="45.0" customHeight="1">
      <c r="A28" s="55" t="s">
        <v>175</v>
      </c>
      <c r="B28" s="62" t="s">
        <v>6347</v>
      </c>
      <c r="C28" s="22" t="str">
        <f>IMAGE("https://raw.githubusercontent.com/ltdimages/images/refs/heads/main/Room_Style_Desert00.png")</f>
        <v/>
      </c>
      <c r="D28" s="22" t="s">
        <v>3095</v>
      </c>
      <c r="E28" s="22" t="s">
        <v>3095</v>
      </c>
      <c r="F28" s="22" t="s">
        <v>3095</v>
      </c>
      <c r="G28" s="22" t="s">
        <v>3095</v>
      </c>
      <c r="H28" s="22" t="s">
        <v>3095</v>
      </c>
      <c r="I28" s="22" t="s">
        <v>3095</v>
      </c>
      <c r="J28" s="22" t="s">
        <v>3095</v>
      </c>
      <c r="K28" s="63">
        <v>85.0</v>
      </c>
      <c r="L28" s="23" t="s">
        <v>45</v>
      </c>
      <c r="M28" s="55" t="s">
        <v>6284</v>
      </c>
      <c r="N28" s="22" t="s">
        <v>6348</v>
      </c>
      <c r="O28" s="22" t="s">
        <v>6349</v>
      </c>
    </row>
    <row r="29" ht="45.0" customHeight="1">
      <c r="A29" s="55" t="s">
        <v>180</v>
      </c>
      <c r="B29" s="62" t="s">
        <v>6350</v>
      </c>
      <c r="C29" s="22" t="str">
        <f>IMAGE("https://raw.githubusercontent.com/ltdimages/images/refs/heads/main/Room_Style_Dilapidated00.png")</f>
        <v/>
      </c>
      <c r="D29" s="22" t="s">
        <v>3095</v>
      </c>
      <c r="E29" s="22" t="s">
        <v>3095</v>
      </c>
      <c r="F29" s="22" t="s">
        <v>3095</v>
      </c>
      <c r="G29" s="22" t="s">
        <v>3095</v>
      </c>
      <c r="H29" s="22" t="s">
        <v>3095</v>
      </c>
      <c r="I29" s="22" t="s">
        <v>3095</v>
      </c>
      <c r="J29" s="22" t="s">
        <v>3095</v>
      </c>
      <c r="K29" s="63">
        <v>15.0</v>
      </c>
      <c r="L29" s="23" t="s">
        <v>45</v>
      </c>
      <c r="M29" s="55" t="s">
        <v>6351</v>
      </c>
      <c r="N29" s="22" t="s">
        <v>6352</v>
      </c>
      <c r="O29" s="22" t="s">
        <v>6353</v>
      </c>
    </row>
    <row r="30" ht="45.0" customHeight="1">
      <c r="A30" s="55" t="s">
        <v>185</v>
      </c>
      <c r="B30" s="62" t="s">
        <v>6354</v>
      </c>
      <c r="C30" s="22" t="str">
        <f>IMAGE("https://raw.githubusercontent.com/ltdimages/images/refs/heads/main/Room_Style_Dog00.png")</f>
        <v/>
      </c>
      <c r="D30" s="22" t="str">
        <f>IMAGE("https://raw.githubusercontent.com/ltdimages/images/refs/heads/main/Room_Style_Dog01.png")</f>
        <v/>
      </c>
      <c r="E30" s="22" t="s">
        <v>3095</v>
      </c>
      <c r="F30" s="22" t="s">
        <v>3095</v>
      </c>
      <c r="G30" s="22" t="s">
        <v>3095</v>
      </c>
      <c r="H30" s="22" t="s">
        <v>3095</v>
      </c>
      <c r="I30" s="22" t="s">
        <v>3095</v>
      </c>
      <c r="J30" s="22" t="s">
        <v>3095</v>
      </c>
      <c r="K30" s="63">
        <v>79.0</v>
      </c>
      <c r="L30" s="23" t="s">
        <v>45</v>
      </c>
      <c r="M30" s="55" t="s">
        <v>6284</v>
      </c>
      <c r="N30" s="22" t="s">
        <v>6355</v>
      </c>
      <c r="O30" s="22" t="s">
        <v>6356</v>
      </c>
    </row>
    <row r="31" ht="45.0" customHeight="1">
      <c r="A31" s="55" t="s">
        <v>189</v>
      </c>
      <c r="B31" s="62" t="s">
        <v>6357</v>
      </c>
      <c r="C31" s="22" t="str">
        <f>IMAGE("https://raw.githubusercontent.com/ltdimages/images/refs/heads/main/Room_Style_Asianresort00.png")</f>
        <v/>
      </c>
      <c r="D31" s="22" t="str">
        <f>IMAGE("https://raw.githubusercontent.com/ltdimages/images/refs/heads/main/Room_Style_Asianresort01.png")</f>
        <v/>
      </c>
      <c r="E31" s="22" t="s">
        <v>3095</v>
      </c>
      <c r="F31" s="22" t="s">
        <v>3095</v>
      </c>
      <c r="G31" s="22" t="s">
        <v>3095</v>
      </c>
      <c r="H31" s="22" t="s">
        <v>3095</v>
      </c>
      <c r="I31" s="22" t="s">
        <v>3095</v>
      </c>
      <c r="J31" s="22" t="s">
        <v>3095</v>
      </c>
      <c r="K31" s="63">
        <v>122.0</v>
      </c>
      <c r="L31" s="23" t="s">
        <v>45</v>
      </c>
      <c r="M31" s="55" t="s">
        <v>6284</v>
      </c>
      <c r="N31" s="22" t="s">
        <v>6358</v>
      </c>
      <c r="O31" s="22" t="s">
        <v>6359</v>
      </c>
    </row>
    <row r="32" ht="45.0" customHeight="1">
      <c r="A32" s="55" t="s">
        <v>194</v>
      </c>
      <c r="B32" s="62" t="s">
        <v>6360</v>
      </c>
      <c r="C32" s="22" t="str">
        <f>IMAGE("https://raw.githubusercontent.com/ltdimages/images/refs/heads/main/Room_Style_Garden00.png")</f>
        <v/>
      </c>
      <c r="D32" s="22" t="s">
        <v>3095</v>
      </c>
      <c r="E32" s="22" t="s">
        <v>3095</v>
      </c>
      <c r="F32" s="22" t="s">
        <v>3095</v>
      </c>
      <c r="G32" s="22" t="s">
        <v>3095</v>
      </c>
      <c r="H32" s="22" t="s">
        <v>3095</v>
      </c>
      <c r="I32" s="22" t="s">
        <v>3095</v>
      </c>
      <c r="J32" s="22" t="s">
        <v>3095</v>
      </c>
      <c r="K32" s="63">
        <v>155.0</v>
      </c>
      <c r="L32" s="23" t="s">
        <v>49</v>
      </c>
      <c r="M32" s="55" t="s">
        <v>6263</v>
      </c>
      <c r="N32" s="22" t="s">
        <v>6361</v>
      </c>
      <c r="O32" s="22" t="s">
        <v>6362</v>
      </c>
    </row>
    <row r="33" ht="45.0" customHeight="1">
      <c r="A33" s="55" t="s">
        <v>198</v>
      </c>
      <c r="B33" s="62" t="s">
        <v>6363</v>
      </c>
      <c r="C33" s="22" t="str">
        <f>IMAGE("https://raw.githubusercontent.com/ltdimages/images/refs/heads/main/Room_Style_Formula00.png")</f>
        <v/>
      </c>
      <c r="D33" s="22" t="str">
        <f>IMAGE("https://raw.githubusercontent.com/ltdimages/images/refs/heads/main/Room_Style_Formula01.png")</f>
        <v/>
      </c>
      <c r="E33" s="22" t="s">
        <v>3095</v>
      </c>
      <c r="F33" s="22" t="s">
        <v>3095</v>
      </c>
      <c r="G33" s="22" t="s">
        <v>3095</v>
      </c>
      <c r="H33" s="22" t="s">
        <v>3095</v>
      </c>
      <c r="I33" s="22" t="s">
        <v>3095</v>
      </c>
      <c r="J33" s="22" t="s">
        <v>3095</v>
      </c>
      <c r="K33" s="63">
        <v>200.0</v>
      </c>
      <c r="L33" s="23" t="s">
        <v>45</v>
      </c>
      <c r="M33" s="55" t="s">
        <v>6284</v>
      </c>
      <c r="N33" s="22" t="s">
        <v>6364</v>
      </c>
      <c r="O33" s="22" t="s">
        <v>6365</v>
      </c>
    </row>
    <row r="34" ht="45.0" customHeight="1">
      <c r="A34" s="55" t="s">
        <v>202</v>
      </c>
      <c r="B34" s="62" t="s">
        <v>6366</v>
      </c>
      <c r="C34" s="22" t="str">
        <f>IMAGE("https://raw.githubusercontent.com/ltdimages/images/refs/heads/main/Room_Style_Brick00.png")</f>
        <v/>
      </c>
      <c r="D34" s="22" t="str">
        <f>IMAGE("https://raw.githubusercontent.com/ltdimages/images/refs/heads/main/Room_Style_Brick01.png")</f>
        <v/>
      </c>
      <c r="E34" s="22" t="s">
        <v>3095</v>
      </c>
      <c r="F34" s="22" t="s">
        <v>3095</v>
      </c>
      <c r="G34" s="22" t="s">
        <v>3095</v>
      </c>
      <c r="H34" s="22" t="s">
        <v>3095</v>
      </c>
      <c r="I34" s="22" t="s">
        <v>3095</v>
      </c>
      <c r="J34" s="22" t="s">
        <v>3095</v>
      </c>
      <c r="K34" s="63">
        <v>80.0</v>
      </c>
      <c r="L34" s="23" t="s">
        <v>45</v>
      </c>
      <c r="M34" s="55" t="s">
        <v>3095</v>
      </c>
      <c r="N34" s="22" t="s">
        <v>6367</v>
      </c>
      <c r="O34" s="22" t="s">
        <v>6368</v>
      </c>
    </row>
    <row r="35" ht="45.0" customHeight="1">
      <c r="A35" s="55" t="s">
        <v>207</v>
      </c>
      <c r="B35" s="62" t="s">
        <v>6369</v>
      </c>
      <c r="C35" s="22" t="str">
        <f>IMAGE("https://raw.githubusercontent.com/ltdimages/images/refs/heads/main/Room_Style_Factry00.png")</f>
        <v/>
      </c>
      <c r="D35" s="22" t="s">
        <v>3095</v>
      </c>
      <c r="E35" s="22" t="s">
        <v>3095</v>
      </c>
      <c r="F35" s="22" t="s">
        <v>3095</v>
      </c>
      <c r="G35" s="22" t="s">
        <v>3095</v>
      </c>
      <c r="H35" s="22" t="s">
        <v>3095</v>
      </c>
      <c r="I35" s="22" t="s">
        <v>3095</v>
      </c>
      <c r="J35" s="22" t="s">
        <v>3095</v>
      </c>
      <c r="K35" s="63">
        <v>140.0</v>
      </c>
      <c r="L35" s="23" t="s">
        <v>49</v>
      </c>
      <c r="M35" s="55" t="s">
        <v>6263</v>
      </c>
      <c r="N35" s="22" t="s">
        <v>6370</v>
      </c>
      <c r="O35" s="22" t="s">
        <v>6371</v>
      </c>
    </row>
    <row r="36" ht="45.0" customHeight="1">
      <c r="A36" s="55" t="s">
        <v>211</v>
      </c>
      <c r="B36" s="62" t="s">
        <v>6372</v>
      </c>
      <c r="C36" s="22" t="str">
        <f>IMAGE("https://raw.githubusercontent.com/ltdimages/images/refs/heads/main/Room_Style_Jail00.png")</f>
        <v/>
      </c>
      <c r="D36" s="22" t="s">
        <v>3095</v>
      </c>
      <c r="E36" s="22" t="s">
        <v>3095</v>
      </c>
      <c r="F36" s="22" t="s">
        <v>3095</v>
      </c>
      <c r="G36" s="22" t="s">
        <v>3095</v>
      </c>
      <c r="H36" s="22" t="s">
        <v>3095</v>
      </c>
      <c r="I36" s="22" t="s">
        <v>3095</v>
      </c>
      <c r="J36" s="22" t="s">
        <v>3095</v>
      </c>
      <c r="K36" s="63">
        <v>50.0</v>
      </c>
      <c r="L36" s="23" t="s">
        <v>45</v>
      </c>
      <c r="M36" s="55" t="s">
        <v>6373</v>
      </c>
      <c r="N36" s="22" t="s">
        <v>6374</v>
      </c>
      <c r="O36" s="22" t="s">
        <v>6375</v>
      </c>
    </row>
    <row r="37" ht="45.0" customHeight="1">
      <c r="A37" s="55" t="s">
        <v>215</v>
      </c>
      <c r="B37" s="62" t="s">
        <v>6376</v>
      </c>
      <c r="C37" s="22" t="str">
        <f>IMAGE("https://raw.githubusercontent.com/ltdimages/images/refs/heads/main/Room_Style_Fantasy00.png")</f>
        <v/>
      </c>
      <c r="D37" s="22" t="str">
        <f>IMAGE("https://raw.githubusercontent.com/ltdimages/images/refs/heads/main/Room_Style_Fantasy01.png")</f>
        <v/>
      </c>
      <c r="E37" s="22" t="str">
        <f>IMAGE("https://raw.githubusercontent.com/ltdimages/images/refs/heads/main/Room_Style_Fantasy02.png")</f>
        <v/>
      </c>
      <c r="F37" s="22" t="s">
        <v>3095</v>
      </c>
      <c r="G37" s="22" t="s">
        <v>3095</v>
      </c>
      <c r="H37" s="22" t="s">
        <v>3095</v>
      </c>
      <c r="I37" s="22" t="s">
        <v>3095</v>
      </c>
      <c r="J37" s="22" t="s">
        <v>3095</v>
      </c>
      <c r="K37" s="63">
        <v>182.0</v>
      </c>
      <c r="L37" s="23" t="s">
        <v>49</v>
      </c>
      <c r="M37" s="55" t="s">
        <v>6263</v>
      </c>
      <c r="N37" s="22" t="s">
        <v>6377</v>
      </c>
      <c r="O37" s="22" t="s">
        <v>6378</v>
      </c>
    </row>
    <row r="38" ht="45.0" customHeight="1">
      <c r="A38" s="55" t="s">
        <v>220</v>
      </c>
      <c r="B38" s="62" t="s">
        <v>6379</v>
      </c>
      <c r="C38" s="22" t="str">
        <f>IMAGE("https://raw.githubusercontent.com/ltdimages/images/refs/heads/main/Room_Style_Flowergarden00.png")</f>
        <v/>
      </c>
      <c r="D38" s="22" t="s">
        <v>3095</v>
      </c>
      <c r="E38" s="22" t="s">
        <v>3095</v>
      </c>
      <c r="F38" s="22" t="s">
        <v>3095</v>
      </c>
      <c r="G38" s="22" t="s">
        <v>3095</v>
      </c>
      <c r="H38" s="22" t="s">
        <v>3095</v>
      </c>
      <c r="I38" s="22" t="s">
        <v>3095</v>
      </c>
      <c r="J38" s="22" t="s">
        <v>3095</v>
      </c>
      <c r="K38" s="63">
        <v>80.0</v>
      </c>
      <c r="L38" s="23" t="s">
        <v>45</v>
      </c>
      <c r="M38" s="55" t="s">
        <v>6284</v>
      </c>
      <c r="N38" s="22" t="s">
        <v>6380</v>
      </c>
      <c r="O38" s="22" t="s">
        <v>6381</v>
      </c>
    </row>
    <row r="39" ht="45.0" customHeight="1">
      <c r="A39" s="55" t="s">
        <v>224</v>
      </c>
      <c r="B39" s="62" t="s">
        <v>6382</v>
      </c>
      <c r="C39" s="22" t="str">
        <f>IMAGE("https://raw.githubusercontent.com/ltdimages/images/refs/heads/main/Room_Style_Market00.png")</f>
        <v/>
      </c>
      <c r="D39" s="22" t="s">
        <v>3095</v>
      </c>
      <c r="E39" s="22" t="s">
        <v>3095</v>
      </c>
      <c r="F39" s="22" t="s">
        <v>3095</v>
      </c>
      <c r="G39" s="22" t="s">
        <v>3095</v>
      </c>
      <c r="H39" s="22" t="s">
        <v>3095</v>
      </c>
      <c r="I39" s="22" t="s">
        <v>3095</v>
      </c>
      <c r="J39" s="22" t="s">
        <v>3095</v>
      </c>
      <c r="K39" s="63">
        <v>149.0</v>
      </c>
      <c r="L39" s="23" t="s">
        <v>49</v>
      </c>
      <c r="M39" s="55" t="s">
        <v>6263</v>
      </c>
      <c r="N39" s="22" t="s">
        <v>6383</v>
      </c>
      <c r="O39" s="22" t="s">
        <v>6384</v>
      </c>
    </row>
    <row r="40" ht="45.0" customHeight="1">
      <c r="A40" s="55" t="s">
        <v>229</v>
      </c>
      <c r="B40" s="62" t="s">
        <v>6385</v>
      </c>
      <c r="C40" s="22" t="str">
        <f>IMAGE("https://raw.githubusercontent.com/ltdimages/images/refs/heads/main/Room_Style_Strata00.png")</f>
        <v/>
      </c>
      <c r="D40" s="22" t="s">
        <v>3095</v>
      </c>
      <c r="E40" s="22" t="s">
        <v>3095</v>
      </c>
      <c r="F40" s="22" t="s">
        <v>3095</v>
      </c>
      <c r="G40" s="22" t="s">
        <v>3095</v>
      </c>
      <c r="H40" s="22" t="s">
        <v>3095</v>
      </c>
      <c r="I40" s="22" t="s">
        <v>3095</v>
      </c>
      <c r="J40" s="22" t="s">
        <v>3095</v>
      </c>
      <c r="K40" s="63">
        <v>92.0</v>
      </c>
      <c r="L40" s="23" t="s">
        <v>49</v>
      </c>
      <c r="M40" s="55" t="s">
        <v>6263</v>
      </c>
      <c r="N40" s="22" t="s">
        <v>6386</v>
      </c>
      <c r="O40" s="22" t="s">
        <v>6387</v>
      </c>
    </row>
    <row r="41" ht="45.0" customHeight="1">
      <c r="A41" s="55" t="s">
        <v>233</v>
      </c>
      <c r="B41" s="62" t="s">
        <v>6388</v>
      </c>
      <c r="C41" s="22" t="str">
        <f>IMAGE("https://raw.githubusercontent.com/ltdimages/images/refs/heads/main/Room_Style_Lace00.png")</f>
        <v/>
      </c>
      <c r="D41" s="22" t="str">
        <f>IMAGE("https://raw.githubusercontent.com/ltdimages/images/refs/heads/main/Room_Style_Lace01.png")</f>
        <v/>
      </c>
      <c r="E41" s="22" t="str">
        <f>IMAGE("https://raw.githubusercontent.com/ltdimages/images/refs/heads/main/Room_Style_Lace02.png")</f>
        <v/>
      </c>
      <c r="F41" s="22" t="str">
        <f>IMAGE("https://raw.githubusercontent.com/ltdimages/images/refs/heads/main/Room_Style_Lace03.png")</f>
        <v/>
      </c>
      <c r="G41" s="22" t="str">
        <f>IMAGE("https://raw.githubusercontent.com/ltdimages/images/refs/heads/main/Room_Style_Lace04.png")</f>
        <v/>
      </c>
      <c r="H41" s="22" t="str">
        <f>IMAGE("https://raw.githubusercontent.com/ltdimages/images/refs/heads/main/Room_Style_Lace05.png")</f>
        <v/>
      </c>
      <c r="I41" s="22" t="s">
        <v>3095</v>
      </c>
      <c r="J41" s="22" t="s">
        <v>3095</v>
      </c>
      <c r="K41" s="63">
        <v>200.0</v>
      </c>
      <c r="L41" s="23" t="s">
        <v>49</v>
      </c>
      <c r="M41" s="55" t="s">
        <v>6263</v>
      </c>
      <c r="N41" s="22" t="s">
        <v>6389</v>
      </c>
      <c r="O41" s="22" t="s">
        <v>6390</v>
      </c>
    </row>
    <row r="42" ht="45.0" customHeight="1">
      <c r="A42" s="55" t="s">
        <v>237</v>
      </c>
      <c r="B42" s="62" t="s">
        <v>6391</v>
      </c>
      <c r="C42" s="22" t="str">
        <f>IMAGE("https://raw.githubusercontent.com/ltdimages/images/refs/heads/main/Room_Style_Fruit01.png")</f>
        <v/>
      </c>
      <c r="D42" s="22" t="str">
        <f>IMAGE("https://raw.githubusercontent.com/ltdimages/images/refs/heads/main/Room_Style_Fruit02.png")</f>
        <v/>
      </c>
      <c r="E42" s="22" t="str">
        <f>IMAGE("https://raw.githubusercontent.com/ltdimages/images/refs/heads/main/Room_Style_Fruit03.png")</f>
        <v/>
      </c>
      <c r="F42" s="22" t="str">
        <f>IMAGE("https://raw.githubusercontent.com/ltdimages/images/refs/heads/main/Room_Style_Fruit04.png")</f>
        <v/>
      </c>
      <c r="G42" s="22" t="str">
        <f>IMAGE("https://raw.githubusercontent.com/ltdimages/images/refs/heads/main/Room_Style_Fruit05.png")</f>
        <v/>
      </c>
      <c r="H42" s="22" t="str">
        <f>IMAGE("https://raw.githubusercontent.com/ltdimages/images/refs/heads/main/Room_Style_Fruit06.png")</f>
        <v/>
      </c>
      <c r="I42" s="22" t="str">
        <f>IMAGE("https://raw.githubusercontent.com/ltdimages/images/refs/heads/main/Room_Style_Fruit07.png")</f>
        <v/>
      </c>
      <c r="J42" s="22" t="str">
        <f>IMAGE("https://raw.githubusercontent.com/ltdimages/images/refs/heads/main/Room_Style_Fruit00.png")</f>
        <v/>
      </c>
      <c r="K42" s="63">
        <v>130.0</v>
      </c>
      <c r="L42" s="23" t="s">
        <v>49</v>
      </c>
      <c r="M42" s="55" t="s">
        <v>6263</v>
      </c>
      <c r="N42" s="22" t="s">
        <v>6392</v>
      </c>
      <c r="O42" s="22" t="s">
        <v>6393</v>
      </c>
    </row>
    <row r="43" ht="45.0" customHeight="1">
      <c r="A43" s="55" t="s">
        <v>241</v>
      </c>
      <c r="B43" s="62" t="s">
        <v>6394</v>
      </c>
      <c r="C43" s="22" t="str">
        <f>IMAGE("https://raw.githubusercontent.com/ltdimages/images/refs/heads/main/Room_Style_Garage00.png")</f>
        <v/>
      </c>
      <c r="D43" s="22" t="str">
        <f>IMAGE("https://raw.githubusercontent.com/ltdimages/images/refs/heads/main/Room_Style_Garage01.png")</f>
        <v/>
      </c>
      <c r="E43" s="22" t="str">
        <f>IMAGE("https://raw.githubusercontent.com/ltdimages/images/refs/heads/main/Room_Style_Garage02.png")</f>
        <v/>
      </c>
      <c r="F43" s="22" t="str">
        <f>IMAGE("https://raw.githubusercontent.com/ltdimages/images/refs/heads/main/Room_Style_Garage03.png")</f>
        <v/>
      </c>
      <c r="G43" s="22" t="str">
        <f>IMAGE("https://raw.githubusercontent.com/ltdimages/images/refs/heads/main/Room_Style_Garage04.png")</f>
        <v/>
      </c>
      <c r="H43" s="22" t="str">
        <f>IMAGE("https://raw.githubusercontent.com/ltdimages/images/refs/heads/main/Room_Style_Garage05.png")</f>
        <v/>
      </c>
      <c r="I43" s="22" t="str">
        <f>IMAGE("https://raw.githubusercontent.com/ltdimages/images/refs/heads/main/Room_Style_Garage06.png")</f>
        <v/>
      </c>
      <c r="J43" s="22" t="str">
        <f>IMAGE("https://raw.githubusercontent.com/ltdimages/images/refs/heads/main/Room_Style_Garage07.png")</f>
        <v/>
      </c>
      <c r="K43" s="63">
        <v>115.0</v>
      </c>
      <c r="L43" s="23" t="s">
        <v>45</v>
      </c>
      <c r="M43" s="55" t="s">
        <v>3095</v>
      </c>
      <c r="N43" s="22" t="s">
        <v>6395</v>
      </c>
      <c r="O43" s="22" t="s">
        <v>6396</v>
      </c>
    </row>
    <row r="44" ht="45.0" customHeight="1">
      <c r="A44" s="55" t="s">
        <v>245</v>
      </c>
      <c r="B44" s="62" t="s">
        <v>6397</v>
      </c>
      <c r="C44" s="22" t="str">
        <f>IMAGE("https://raw.githubusercontent.com/ltdimages/images/refs/heads/main/Room_Style_GardenWedding00.png")</f>
        <v/>
      </c>
      <c r="D44" s="22" t="s">
        <v>3095</v>
      </c>
      <c r="E44" s="22" t="s">
        <v>3095</v>
      </c>
      <c r="F44" s="22" t="s">
        <v>3095</v>
      </c>
      <c r="G44" s="22" t="s">
        <v>3095</v>
      </c>
      <c r="H44" s="22" t="s">
        <v>3095</v>
      </c>
      <c r="I44" s="22" t="s">
        <v>3095</v>
      </c>
      <c r="J44" s="22" t="s">
        <v>3095</v>
      </c>
      <c r="K44" s="63">
        <v>225.0</v>
      </c>
      <c r="L44" s="23" t="s">
        <v>45</v>
      </c>
      <c r="M44" s="55" t="s">
        <v>6263</v>
      </c>
      <c r="N44" s="22" t="s">
        <v>6398</v>
      </c>
      <c r="O44" s="22" t="s">
        <v>6399</v>
      </c>
    </row>
    <row r="45" ht="45.0" customHeight="1">
      <c r="A45" s="55" t="s">
        <v>249</v>
      </c>
      <c r="B45" s="62" t="s">
        <v>6400</v>
      </c>
      <c r="C45" s="22" t="str">
        <f>IMAGE("https://raw.githubusercontent.com/ltdimages/images/refs/heads/main/Room_Style_Grassland00.png")</f>
        <v/>
      </c>
      <c r="D45" s="22" t="s">
        <v>3095</v>
      </c>
      <c r="E45" s="22" t="s">
        <v>3095</v>
      </c>
      <c r="F45" s="22" t="s">
        <v>3095</v>
      </c>
      <c r="G45" s="22" t="s">
        <v>3095</v>
      </c>
      <c r="H45" s="22" t="s">
        <v>3095</v>
      </c>
      <c r="I45" s="22" t="s">
        <v>3095</v>
      </c>
      <c r="J45" s="22" t="s">
        <v>3095</v>
      </c>
      <c r="K45" s="63">
        <v>82.0</v>
      </c>
      <c r="L45" s="23" t="s">
        <v>45</v>
      </c>
      <c r="M45" s="55" t="s">
        <v>6284</v>
      </c>
      <c r="N45" s="22" t="s">
        <v>6401</v>
      </c>
      <c r="O45" s="22" t="s">
        <v>6402</v>
      </c>
    </row>
    <row r="46" ht="45.0" customHeight="1">
      <c r="A46" s="55" t="s">
        <v>253</v>
      </c>
      <c r="B46" s="62" t="s">
        <v>6403</v>
      </c>
      <c r="C46" s="22" t="str">
        <f>IMAGE("https://raw.githubusercontent.com/ltdimages/images/refs/heads/main/Room_Style_Cemetery00.png")</f>
        <v/>
      </c>
      <c r="D46" s="22" t="s">
        <v>3095</v>
      </c>
      <c r="E46" s="22" t="s">
        <v>3095</v>
      </c>
      <c r="F46" s="22" t="s">
        <v>3095</v>
      </c>
      <c r="G46" s="22" t="s">
        <v>3095</v>
      </c>
      <c r="H46" s="22" t="s">
        <v>3095</v>
      </c>
      <c r="I46" s="22" t="s">
        <v>3095</v>
      </c>
      <c r="J46" s="22" t="s">
        <v>3095</v>
      </c>
      <c r="K46" s="63">
        <v>171.0</v>
      </c>
      <c r="L46" s="23" t="s">
        <v>45</v>
      </c>
      <c r="M46" s="55" t="s">
        <v>6404</v>
      </c>
      <c r="N46" s="22" t="s">
        <v>6405</v>
      </c>
      <c r="O46" s="22" t="s">
        <v>6406</v>
      </c>
    </row>
    <row r="47" ht="45.0" customHeight="1">
      <c r="A47" s="55" t="s">
        <v>257</v>
      </c>
      <c r="B47" s="62" t="s">
        <v>6407</v>
      </c>
      <c r="C47" s="22" t="str">
        <f>IMAGE("https://raw.githubusercontent.com/ltdimages/images/refs/heads/main/Room_Style_Midcentury00.png")</f>
        <v/>
      </c>
      <c r="D47" s="22" t="str">
        <f>IMAGE("https://raw.githubusercontent.com/ltdimages/images/refs/heads/main/Room_Style_Midcentury01.png")</f>
        <v/>
      </c>
      <c r="E47" s="22" t="s">
        <v>3095</v>
      </c>
      <c r="F47" s="22" t="s">
        <v>3095</v>
      </c>
      <c r="G47" s="22" t="s">
        <v>3095</v>
      </c>
      <c r="H47" s="22" t="s">
        <v>3095</v>
      </c>
      <c r="I47" s="22" t="s">
        <v>3095</v>
      </c>
      <c r="J47" s="22" t="s">
        <v>3095</v>
      </c>
      <c r="K47" s="63">
        <v>175.0</v>
      </c>
      <c r="L47" s="23" t="s">
        <v>45</v>
      </c>
      <c r="M47" s="55" t="s">
        <v>3095</v>
      </c>
      <c r="N47" s="22" t="s">
        <v>6408</v>
      </c>
      <c r="O47" s="22" t="s">
        <v>6409</v>
      </c>
    </row>
    <row r="48" ht="45.0" customHeight="1">
      <c r="A48" s="55" t="s">
        <v>261</v>
      </c>
      <c r="B48" s="62" t="s">
        <v>6410</v>
      </c>
      <c r="C48" s="22" t="str">
        <f>IMAGE("https://raw.githubusercontent.com/ltdimages/images/refs/heads/main/Room_Style_Cage00.png")</f>
        <v/>
      </c>
      <c r="D48" s="22" t="s">
        <v>3095</v>
      </c>
      <c r="E48" s="22" t="s">
        <v>3095</v>
      </c>
      <c r="F48" s="22" t="s">
        <v>3095</v>
      </c>
      <c r="G48" s="22" t="s">
        <v>3095</v>
      </c>
      <c r="H48" s="22" t="s">
        <v>3095</v>
      </c>
      <c r="I48" s="22" t="s">
        <v>3095</v>
      </c>
      <c r="J48" s="22" t="s">
        <v>3095</v>
      </c>
      <c r="K48" s="63">
        <v>99.0</v>
      </c>
      <c r="L48" s="23" t="s">
        <v>49</v>
      </c>
      <c r="M48" s="55" t="s">
        <v>6263</v>
      </c>
      <c r="N48" s="22" t="s">
        <v>6411</v>
      </c>
      <c r="O48" s="22" t="s">
        <v>6412</v>
      </c>
    </row>
    <row r="49" ht="45.0" customHeight="1">
      <c r="A49" s="55" t="s">
        <v>265</v>
      </c>
      <c r="B49" s="62" t="s">
        <v>6413</v>
      </c>
      <c r="C49" s="22" t="str">
        <f>IMAGE("https://raw.githubusercontent.com/ltdimages/images/refs/heads/main/Room_Style_Horror00.png")</f>
        <v/>
      </c>
      <c r="D49" s="22" t="str">
        <f>IMAGE("https://raw.githubusercontent.com/ltdimages/images/refs/heads/main/Room_Style_Horror01.png")</f>
        <v/>
      </c>
      <c r="E49" s="22" t="s">
        <v>3095</v>
      </c>
      <c r="F49" s="22" t="s">
        <v>3095</v>
      </c>
      <c r="G49" s="22" t="s">
        <v>3095</v>
      </c>
      <c r="H49" s="22" t="s">
        <v>3095</v>
      </c>
      <c r="I49" s="22" t="s">
        <v>3095</v>
      </c>
      <c r="J49" s="22" t="s">
        <v>3095</v>
      </c>
      <c r="K49" s="63">
        <v>134.0</v>
      </c>
      <c r="L49" s="23" t="s">
        <v>45</v>
      </c>
      <c r="M49" s="55" t="s">
        <v>6414</v>
      </c>
      <c r="N49" s="22" t="s">
        <v>6415</v>
      </c>
      <c r="O49" s="22" t="s">
        <v>6416</v>
      </c>
    </row>
    <row r="50" ht="45.0" customHeight="1">
      <c r="A50" s="55" t="s">
        <v>269</v>
      </c>
      <c r="B50" s="62" t="s">
        <v>6417</v>
      </c>
      <c r="C50" s="22" t="str">
        <f>IMAGE("https://raw.githubusercontent.com/ltdimages/images/refs/heads/main/Room_Style_Heart01.png")</f>
        <v/>
      </c>
      <c r="D50" s="22" t="str">
        <f>IMAGE("https://raw.githubusercontent.com/ltdimages/images/refs/heads/main/Room_Style_Heart00.png")</f>
        <v/>
      </c>
      <c r="E50" s="22" t="str">
        <f>IMAGE("https://raw.githubusercontent.com/ltdimages/images/refs/heads/main/Room_Style_Heart02.png")</f>
        <v/>
      </c>
      <c r="F50" s="22" t="str">
        <f>IMAGE("https://raw.githubusercontent.com/ltdimages/images/refs/heads/main/Room_Style_Heart03.png")</f>
        <v/>
      </c>
      <c r="G50" s="22" t="str">
        <f>IMAGE("https://raw.githubusercontent.com/ltdimages/images/refs/heads/main/Room_Style_Heart04.png")</f>
        <v/>
      </c>
      <c r="H50" s="22" t="s">
        <v>3095</v>
      </c>
      <c r="I50" s="22" t="s">
        <v>3095</v>
      </c>
      <c r="J50" s="22" t="s">
        <v>3095</v>
      </c>
      <c r="K50" s="63">
        <v>82.0</v>
      </c>
      <c r="L50" s="23" t="s">
        <v>45</v>
      </c>
      <c r="M50" s="55" t="s">
        <v>3095</v>
      </c>
      <c r="N50" s="22" t="s">
        <v>6418</v>
      </c>
      <c r="O50" s="22" t="s">
        <v>6419</v>
      </c>
    </row>
    <row r="51" ht="45.0" customHeight="1">
      <c r="A51" s="55" t="s">
        <v>273</v>
      </c>
      <c r="B51" s="62" t="s">
        <v>6420</v>
      </c>
      <c r="C51" s="22" t="str">
        <f>IMAGE("https://raw.githubusercontent.com/ltdimages/images/refs/heads/main/Room_Style_Western00.png")</f>
        <v/>
      </c>
      <c r="D51" s="22" t="s">
        <v>3095</v>
      </c>
      <c r="E51" s="22" t="s">
        <v>3095</v>
      </c>
      <c r="F51" s="22" t="s">
        <v>3095</v>
      </c>
      <c r="G51" s="22" t="s">
        <v>3095</v>
      </c>
      <c r="H51" s="22" t="s">
        <v>3095</v>
      </c>
      <c r="I51" s="22" t="s">
        <v>3095</v>
      </c>
      <c r="J51" s="22" t="s">
        <v>3095</v>
      </c>
      <c r="K51" s="63">
        <v>153.0</v>
      </c>
      <c r="L51" s="23" t="s">
        <v>49</v>
      </c>
      <c r="M51" s="55" t="s">
        <v>6263</v>
      </c>
      <c r="N51" s="22" t="s">
        <v>6421</v>
      </c>
      <c r="O51" s="22" t="s">
        <v>6422</v>
      </c>
    </row>
    <row r="52" ht="45.0" customHeight="1">
      <c r="A52" s="55" t="s">
        <v>277</v>
      </c>
      <c r="B52" s="62" t="s">
        <v>6423</v>
      </c>
      <c r="C52" s="22" t="str">
        <f>IMAGE("https://raw.githubusercontent.com/ltdimages/images/refs/heads/main/Room_Style_Christmas00.png")</f>
        <v/>
      </c>
      <c r="D52" s="22" t="str">
        <f>IMAGE("https://raw.githubusercontent.com/ltdimages/images/refs/heads/main/Room_Style_Christmas01.png")</f>
        <v/>
      </c>
      <c r="E52" s="22" t="s">
        <v>3095</v>
      </c>
      <c r="F52" s="22" t="s">
        <v>3095</v>
      </c>
      <c r="G52" s="22" t="s">
        <v>3095</v>
      </c>
      <c r="H52" s="22" t="s">
        <v>3095</v>
      </c>
      <c r="I52" s="22" t="s">
        <v>3095</v>
      </c>
      <c r="J52" s="22" t="s">
        <v>3095</v>
      </c>
      <c r="K52" s="63">
        <v>130.0</v>
      </c>
      <c r="L52" s="23" t="s">
        <v>45</v>
      </c>
      <c r="M52" s="55" t="s">
        <v>6424</v>
      </c>
      <c r="N52" s="22" t="s">
        <v>6425</v>
      </c>
      <c r="O52" s="22" t="s">
        <v>6426</v>
      </c>
    </row>
    <row r="53" ht="45.0" customHeight="1">
      <c r="A53" s="55" t="s">
        <v>281</v>
      </c>
      <c r="B53" s="62" t="s">
        <v>6427</v>
      </c>
      <c r="C53" s="22" t="str">
        <f>IMAGE("https://raw.githubusercontent.com/ltdimages/images/refs/heads/main/Room_Style_HoneycombTile00.png")</f>
        <v/>
      </c>
      <c r="D53" s="22" t="str">
        <f>IMAGE("https://raw.githubusercontent.com/ltdimages/images/refs/heads/main/Room_Style_HoneycombTile01.png")</f>
        <v/>
      </c>
      <c r="E53" s="22" t="str">
        <f>IMAGE("https://raw.githubusercontent.com/ltdimages/images/refs/heads/main/Room_Style_HoneycombTile02.png")</f>
        <v/>
      </c>
      <c r="F53" s="22" t="str">
        <f>IMAGE("https://raw.githubusercontent.com/ltdimages/images/refs/heads/main/Room_Style_HoneycombTile03.png")</f>
        <v/>
      </c>
      <c r="G53" s="22" t="str">
        <f>IMAGE("https://raw.githubusercontent.com/ltdimages/images/refs/heads/main/Room_Style_HoneycombTile04.png")</f>
        <v/>
      </c>
      <c r="H53" s="22" t="s">
        <v>3095</v>
      </c>
      <c r="I53" s="22" t="s">
        <v>3095</v>
      </c>
      <c r="J53" s="22" t="s">
        <v>3095</v>
      </c>
      <c r="K53" s="63">
        <v>78.0</v>
      </c>
      <c r="L53" s="23" t="s">
        <v>45</v>
      </c>
      <c r="M53" s="55" t="s">
        <v>3095</v>
      </c>
      <c r="N53" s="22" t="s">
        <v>6428</v>
      </c>
      <c r="O53" s="22" t="s">
        <v>6429</v>
      </c>
    </row>
    <row r="54" ht="45.0" customHeight="1">
      <c r="A54" s="55" t="s">
        <v>285</v>
      </c>
      <c r="B54" s="62" t="s">
        <v>6430</v>
      </c>
      <c r="C54" s="22" t="str">
        <f>IMAGE("https://raw.githubusercontent.com/ltdimages/images/refs/heads/main/Room_Style_Hospital00.png")</f>
        <v/>
      </c>
      <c r="D54" s="22" t="s">
        <v>3095</v>
      </c>
      <c r="E54" s="22" t="s">
        <v>3095</v>
      </c>
      <c r="F54" s="22" t="s">
        <v>3095</v>
      </c>
      <c r="G54" s="22" t="s">
        <v>3095</v>
      </c>
      <c r="H54" s="22" t="s">
        <v>3095</v>
      </c>
      <c r="I54" s="22" t="s">
        <v>3095</v>
      </c>
      <c r="J54" s="22" t="s">
        <v>3095</v>
      </c>
      <c r="K54" s="63">
        <v>151.0</v>
      </c>
      <c r="L54" s="23" t="s">
        <v>45</v>
      </c>
      <c r="M54" s="55" t="s">
        <v>6431</v>
      </c>
      <c r="N54" s="22" t="s">
        <v>6432</v>
      </c>
      <c r="O54" s="22" t="s">
        <v>6433</v>
      </c>
    </row>
    <row r="55" ht="45.0" customHeight="1">
      <c r="A55" s="55" t="s">
        <v>289</v>
      </c>
      <c r="B55" s="62" t="s">
        <v>6434</v>
      </c>
      <c r="C55" s="22" t="str">
        <f>IMAGE("https://raw.githubusercontent.com/ltdimages/images/refs/heads/main/Room_Style_MonitorRoom00.png")</f>
        <v/>
      </c>
      <c r="D55" s="22" t="str">
        <f>IMAGE("https://raw.githubusercontent.com/ltdimages/images/refs/heads/main/Room_Style_MonitorRoom01.png")</f>
        <v/>
      </c>
      <c r="E55" s="22" t="str">
        <f>IMAGE("https://raw.githubusercontent.com/ltdimages/images/refs/heads/main/Room_Style_MonitorRoom02.png")</f>
        <v/>
      </c>
      <c r="F55" s="22" t="s">
        <v>3095</v>
      </c>
      <c r="G55" s="22" t="s">
        <v>3095</v>
      </c>
      <c r="H55" s="22" t="s">
        <v>3095</v>
      </c>
      <c r="I55" s="22" t="s">
        <v>3095</v>
      </c>
      <c r="J55" s="22" t="s">
        <v>3095</v>
      </c>
      <c r="K55" s="63">
        <v>132.0</v>
      </c>
      <c r="L55" s="23" t="s">
        <v>49</v>
      </c>
      <c r="M55" s="55" t="s">
        <v>6263</v>
      </c>
      <c r="N55" s="22" t="s">
        <v>6435</v>
      </c>
      <c r="O55" s="22" t="s">
        <v>6436</v>
      </c>
    </row>
    <row r="56" ht="45.0" customHeight="1">
      <c r="A56" s="55" t="s">
        <v>293</v>
      </c>
      <c r="B56" s="62" t="s">
        <v>6437</v>
      </c>
      <c r="C56" s="22" t="str">
        <f>IMAGE("https://raw.githubusercontent.com/ltdimages/images/refs/heads/main/Room_Style_IceRink00.png")</f>
        <v/>
      </c>
      <c r="D56" s="22" t="s">
        <v>3095</v>
      </c>
      <c r="E56" s="22" t="s">
        <v>3095</v>
      </c>
      <c r="F56" s="22" t="s">
        <v>3095</v>
      </c>
      <c r="G56" s="22" t="s">
        <v>3095</v>
      </c>
      <c r="H56" s="22" t="s">
        <v>3095</v>
      </c>
      <c r="I56" s="22" t="s">
        <v>3095</v>
      </c>
      <c r="J56" s="22" t="s">
        <v>3095</v>
      </c>
      <c r="K56" s="63">
        <v>133.0</v>
      </c>
      <c r="L56" s="23" t="s">
        <v>49</v>
      </c>
      <c r="M56" s="55" t="s">
        <v>6263</v>
      </c>
      <c r="N56" s="22" t="s">
        <v>6438</v>
      </c>
      <c r="O56" s="22" t="s">
        <v>6439</v>
      </c>
    </row>
    <row r="57" ht="45.0" customHeight="1">
      <c r="A57" s="55" t="s">
        <v>297</v>
      </c>
      <c r="B57" s="62" t="s">
        <v>6440</v>
      </c>
      <c r="C57" s="22" t="str">
        <f>IMAGE("https://raw.githubusercontent.com/ltdimages/images/refs/heads/main/Room_Style_Wedding00.png")</f>
        <v/>
      </c>
      <c r="D57" s="22" t="str">
        <f>IMAGE("https://raw.githubusercontent.com/ltdimages/images/refs/heads/main/Room_Style_Wedding01.png")</f>
        <v/>
      </c>
      <c r="E57" s="22" t="str">
        <f>IMAGE("https://raw.githubusercontent.com/ltdimages/images/refs/heads/main/Room_Style_Wedding02.png")</f>
        <v/>
      </c>
      <c r="F57" s="22" t="str">
        <f>IMAGE("https://raw.githubusercontent.com/ltdimages/images/refs/heads/main/Room_Style_Wedding03.png")</f>
        <v/>
      </c>
      <c r="G57" s="22" t="s">
        <v>3095</v>
      </c>
      <c r="H57" s="22" t="s">
        <v>3095</v>
      </c>
      <c r="I57" s="22" t="s">
        <v>3095</v>
      </c>
      <c r="J57" s="22" t="s">
        <v>3095</v>
      </c>
      <c r="K57" s="63">
        <v>320.0</v>
      </c>
      <c r="L57" s="23" t="s">
        <v>45</v>
      </c>
      <c r="M57" s="55" t="s">
        <v>6263</v>
      </c>
      <c r="N57" s="22" t="s">
        <v>6441</v>
      </c>
      <c r="O57" s="22" t="s">
        <v>6442</v>
      </c>
    </row>
    <row r="58" ht="45.0" customHeight="1">
      <c r="A58" s="55" t="s">
        <v>301</v>
      </c>
      <c r="B58" s="62" t="s">
        <v>6443</v>
      </c>
      <c r="C58" s="22" t="str">
        <f>IMAGE("https://raw.githubusercontent.com/ltdimages/images/refs/heads/main/Room_Style_Festival00.png")</f>
        <v/>
      </c>
      <c r="D58" s="22" t="s">
        <v>3095</v>
      </c>
      <c r="E58" s="22" t="s">
        <v>3095</v>
      </c>
      <c r="F58" s="22" t="s">
        <v>3095</v>
      </c>
      <c r="G58" s="22" t="s">
        <v>3095</v>
      </c>
      <c r="H58" s="22" t="s">
        <v>3095</v>
      </c>
      <c r="I58" s="22" t="s">
        <v>3095</v>
      </c>
      <c r="J58" s="22" t="s">
        <v>3095</v>
      </c>
      <c r="K58" s="63">
        <v>150.0</v>
      </c>
      <c r="L58" s="23" t="s">
        <v>49</v>
      </c>
      <c r="M58" s="55" t="s">
        <v>6263</v>
      </c>
      <c r="N58" s="22" t="s">
        <v>6444</v>
      </c>
      <c r="O58" s="22" t="s">
        <v>6445</v>
      </c>
    </row>
    <row r="59" ht="45.0" customHeight="1">
      <c r="A59" s="55" t="s">
        <v>305</v>
      </c>
      <c r="B59" s="62" t="s">
        <v>6446</v>
      </c>
      <c r="C59" s="22" t="str">
        <f>IMAGE("https://raw.githubusercontent.com/ltdimages/images/refs/heads/main/Room_Style_Jungle00.png")</f>
        <v/>
      </c>
      <c r="D59" s="22" t="s">
        <v>3095</v>
      </c>
      <c r="E59" s="22" t="s">
        <v>3095</v>
      </c>
      <c r="F59" s="22" t="s">
        <v>3095</v>
      </c>
      <c r="G59" s="22" t="s">
        <v>3095</v>
      </c>
      <c r="H59" s="22" t="s">
        <v>3095</v>
      </c>
      <c r="I59" s="22" t="s">
        <v>3095</v>
      </c>
      <c r="J59" s="22" t="s">
        <v>3095</v>
      </c>
      <c r="K59" s="63">
        <v>115.0</v>
      </c>
      <c r="L59" s="23" t="s">
        <v>49</v>
      </c>
      <c r="M59" s="55" t="s">
        <v>6263</v>
      </c>
      <c r="N59" s="22" t="s">
        <v>6447</v>
      </c>
      <c r="O59" s="22" t="s">
        <v>6448</v>
      </c>
    </row>
    <row r="60" ht="45.0" customHeight="1">
      <c r="A60" s="55" t="s">
        <v>309</v>
      </c>
      <c r="B60" s="62" t="s">
        <v>6449</v>
      </c>
      <c r="C60" s="22" t="str">
        <f>IMAGE("https://raw.githubusercontent.com/ltdimages/images/refs/heads/main/Room_Style_BigFlower00.png")</f>
        <v/>
      </c>
      <c r="D60" s="22" t="str">
        <f>IMAGE("https://raw.githubusercontent.com/ltdimages/images/refs/heads/main/Room_Style_BigFlower01.png")</f>
        <v/>
      </c>
      <c r="E60" s="22" t="str">
        <f>IMAGE("https://raw.githubusercontent.com/ltdimages/images/refs/heads/main/Room_Style_BigFlower02.png")</f>
        <v/>
      </c>
      <c r="F60" s="22" t="str">
        <f>IMAGE("https://raw.githubusercontent.com/ltdimages/images/refs/heads/main/Room_Style_BigFlower03.png")</f>
        <v/>
      </c>
      <c r="G60" s="22" t="s">
        <v>3095</v>
      </c>
      <c r="H60" s="22" t="s">
        <v>3095</v>
      </c>
      <c r="I60" s="22" t="s">
        <v>3095</v>
      </c>
      <c r="J60" s="22" t="s">
        <v>3095</v>
      </c>
      <c r="K60" s="63">
        <v>90.0</v>
      </c>
      <c r="L60" s="23" t="s">
        <v>45</v>
      </c>
      <c r="M60" s="55" t="s">
        <v>6284</v>
      </c>
      <c r="N60" s="22" t="s">
        <v>6450</v>
      </c>
      <c r="O60" s="22" t="s">
        <v>6451</v>
      </c>
    </row>
    <row r="61" ht="45.0" customHeight="1">
      <c r="A61" s="55" t="s">
        <v>313</v>
      </c>
      <c r="B61" s="62" t="s">
        <v>6452</v>
      </c>
      <c r="C61" s="22" t="str">
        <f>IMAGE("https://raw.githubusercontent.com/ltdimages/images/refs/heads/main/Room_Style_Labo00.png")</f>
        <v/>
      </c>
      <c r="D61" s="22" t="s">
        <v>3095</v>
      </c>
      <c r="E61" s="22" t="s">
        <v>3095</v>
      </c>
      <c r="F61" s="22" t="s">
        <v>3095</v>
      </c>
      <c r="G61" s="22" t="s">
        <v>3095</v>
      </c>
      <c r="H61" s="22" t="s">
        <v>3095</v>
      </c>
      <c r="I61" s="22" t="s">
        <v>3095</v>
      </c>
      <c r="J61" s="22" t="s">
        <v>3095</v>
      </c>
      <c r="K61" s="63">
        <v>267.0</v>
      </c>
      <c r="L61" s="23" t="s">
        <v>49</v>
      </c>
      <c r="M61" s="55" t="s">
        <v>6263</v>
      </c>
      <c r="N61" s="22" t="s">
        <v>6453</v>
      </c>
      <c r="O61" s="22" t="s">
        <v>6454</v>
      </c>
    </row>
    <row r="62" ht="45.0" customHeight="1">
      <c r="A62" s="55" t="s">
        <v>317</v>
      </c>
      <c r="B62" s="62" t="s">
        <v>6455</v>
      </c>
      <c r="C62" s="22" t="str">
        <f>IMAGE("https://raw.githubusercontent.com/ltdimages/images/refs/heads/main/Room_Style_LockerRoom00.png")</f>
        <v/>
      </c>
      <c r="D62" s="22" t="str">
        <f>IMAGE("https://raw.githubusercontent.com/ltdimages/images/refs/heads/main/Room_Style_LockerRoom01.png")</f>
        <v/>
      </c>
      <c r="E62" s="22" t="str">
        <f>IMAGE("https://raw.githubusercontent.com/ltdimages/images/refs/heads/main/Room_Style_LockerRoom02.png")</f>
        <v/>
      </c>
      <c r="F62" s="22" t="s">
        <v>3095</v>
      </c>
      <c r="G62" s="22" t="s">
        <v>3095</v>
      </c>
      <c r="H62" s="22" t="s">
        <v>3095</v>
      </c>
      <c r="I62" s="22" t="s">
        <v>3095</v>
      </c>
      <c r="J62" s="22" t="s">
        <v>3095</v>
      </c>
      <c r="K62" s="63">
        <v>120.0</v>
      </c>
      <c r="L62" s="23" t="s">
        <v>49</v>
      </c>
      <c r="M62" s="55" t="s">
        <v>6263</v>
      </c>
      <c r="N62" s="22" t="s">
        <v>6456</v>
      </c>
      <c r="O62" s="22" t="s">
        <v>6457</v>
      </c>
    </row>
    <row r="63" ht="45.0" customHeight="1">
      <c r="A63" s="55" t="s">
        <v>321</v>
      </c>
      <c r="B63" s="62" t="s">
        <v>6458</v>
      </c>
      <c r="C63" s="22" t="str">
        <f>IMAGE("https://raw.githubusercontent.com/ltdimages/images/refs/heads/main/Room_Style_Log00.png")</f>
        <v/>
      </c>
      <c r="D63" s="22" t="s">
        <v>3095</v>
      </c>
      <c r="E63" s="22" t="s">
        <v>3095</v>
      </c>
      <c r="F63" s="22" t="s">
        <v>3095</v>
      </c>
      <c r="G63" s="22" t="s">
        <v>3095</v>
      </c>
      <c r="H63" s="22" t="s">
        <v>3095</v>
      </c>
      <c r="I63" s="22" t="s">
        <v>3095</v>
      </c>
      <c r="J63" s="22" t="s">
        <v>3095</v>
      </c>
      <c r="K63" s="63">
        <v>81.0</v>
      </c>
      <c r="L63" s="23" t="s">
        <v>45</v>
      </c>
      <c r="M63" s="55" t="s">
        <v>3095</v>
      </c>
      <c r="N63" s="22" t="s">
        <v>6459</v>
      </c>
      <c r="O63" s="22" t="s">
        <v>6460</v>
      </c>
    </row>
    <row r="64" ht="45.0" customHeight="1">
      <c r="A64" s="55" t="s">
        <v>325</v>
      </c>
      <c r="B64" s="62" t="s">
        <v>6461</v>
      </c>
      <c r="C64" s="22" t="str">
        <f>IMAGE("https://raw.githubusercontent.com/ltdimages/images/refs/heads/main/Room_Style_Marble00.png")</f>
        <v/>
      </c>
      <c r="D64" s="22" t="str">
        <f>IMAGE("https://raw.githubusercontent.com/ltdimages/images/refs/heads/main/Room_Style_Marble01.png")</f>
        <v/>
      </c>
      <c r="E64" s="22" t="s">
        <v>3095</v>
      </c>
      <c r="F64" s="22" t="s">
        <v>3095</v>
      </c>
      <c r="G64" s="22" t="s">
        <v>3095</v>
      </c>
      <c r="H64" s="22" t="s">
        <v>3095</v>
      </c>
      <c r="I64" s="22" t="s">
        <v>3095</v>
      </c>
      <c r="J64" s="22" t="s">
        <v>3095</v>
      </c>
      <c r="K64" s="63">
        <v>215.0</v>
      </c>
      <c r="L64" s="23" t="s">
        <v>45</v>
      </c>
      <c r="M64" s="55" t="s">
        <v>3095</v>
      </c>
      <c r="N64" s="22" t="s">
        <v>6462</v>
      </c>
      <c r="O64" s="22" t="s">
        <v>6463</v>
      </c>
    </row>
    <row r="65" ht="45.0" customHeight="1">
      <c r="A65" s="55" t="s">
        <v>329</v>
      </c>
      <c r="B65" s="62" t="s">
        <v>6464</v>
      </c>
      <c r="C65" s="22" t="str">
        <f>IMAGE("https://raw.githubusercontent.com/ltdimages/images/refs/heads/main/Room_Style_Sloppy00.png")</f>
        <v/>
      </c>
      <c r="D65" s="22" t="str">
        <f>IMAGE("https://raw.githubusercontent.com/ltdimages/images/refs/heads/main/Room_Style_Sloppy01.png")</f>
        <v/>
      </c>
      <c r="E65" s="22" t="s">
        <v>3095</v>
      </c>
      <c r="F65" s="22" t="s">
        <v>3095</v>
      </c>
      <c r="G65" s="22" t="s">
        <v>3095</v>
      </c>
      <c r="H65" s="22" t="s">
        <v>3095</v>
      </c>
      <c r="I65" s="22" t="s">
        <v>3095</v>
      </c>
      <c r="J65" s="22" t="s">
        <v>3095</v>
      </c>
      <c r="K65" s="63">
        <v>40.0</v>
      </c>
      <c r="L65" s="23" t="s">
        <v>49</v>
      </c>
      <c r="M65" s="55" t="s">
        <v>6263</v>
      </c>
      <c r="N65" s="22" t="s">
        <v>6465</v>
      </c>
      <c r="O65" s="22" t="s">
        <v>6466</v>
      </c>
    </row>
    <row r="66" ht="45.0" customHeight="1">
      <c r="A66" s="55" t="s">
        <v>333</v>
      </c>
      <c r="B66" s="62" t="s">
        <v>6467</v>
      </c>
      <c r="C66" s="22" t="str">
        <f>IMAGE("https://raw.githubusercontent.com/ltdimages/images/refs/heads/main/Room_Style_Minimul00.png")</f>
        <v/>
      </c>
      <c r="D66" s="22" t="str">
        <f>IMAGE("https://raw.githubusercontent.com/ltdimages/images/refs/heads/main/Room_Style_Minimul01.png")</f>
        <v/>
      </c>
      <c r="E66" s="22" t="str">
        <f>IMAGE("https://raw.githubusercontent.com/ltdimages/images/refs/heads/main/Room_Style_Minimul02.png")</f>
        <v/>
      </c>
      <c r="F66" s="22" t="str">
        <f>IMAGE("https://raw.githubusercontent.com/ltdimages/images/refs/heads/main/Room_Style_Minimul03.png")</f>
        <v/>
      </c>
      <c r="G66" s="22" t="str">
        <f>IMAGE("https://raw.githubusercontent.com/ltdimages/images/refs/heads/main/Room_Style_Minimul04.png")</f>
        <v/>
      </c>
      <c r="H66" s="22" t="str">
        <f>IMAGE("https://raw.githubusercontent.com/ltdimages/images/refs/heads/main/Room_Style_Minimul05.png")</f>
        <v/>
      </c>
      <c r="I66" s="22" t="str">
        <f>IMAGE("https://raw.githubusercontent.com/ltdimages/images/refs/heads/main/Room_Style_Minimul06.png")</f>
        <v/>
      </c>
      <c r="J66" s="22" t="str">
        <f>IMAGE("https://raw.githubusercontent.com/ltdimages/images/refs/heads/main/Room_Style_Minimul07.png")</f>
        <v/>
      </c>
      <c r="K66" s="63">
        <v>50.0</v>
      </c>
      <c r="L66" s="23" t="s">
        <v>45</v>
      </c>
      <c r="M66" s="55" t="s">
        <v>6284</v>
      </c>
      <c r="N66" s="22" t="s">
        <v>6468</v>
      </c>
      <c r="O66" s="22" t="s">
        <v>6469</v>
      </c>
    </row>
    <row r="67" ht="45.0" customHeight="1">
      <c r="A67" s="55" t="s">
        <v>337</v>
      </c>
      <c r="B67" s="62" t="s">
        <v>6470</v>
      </c>
      <c r="C67" s="22" t="str">
        <f>IMAGE("https://raw.githubusercontent.com/ltdimages/images/refs/heads/main/Room_Style_Triangle00.png")</f>
        <v/>
      </c>
      <c r="D67" s="22" t="str">
        <f>IMAGE("https://raw.githubusercontent.com/ltdimages/images/refs/heads/main/Room_Style_Triangle01.png")</f>
        <v/>
      </c>
      <c r="E67" s="22" t="str">
        <f>IMAGE("https://raw.githubusercontent.com/ltdimages/images/refs/heads/main/Room_Style_Triangle02.png")</f>
        <v/>
      </c>
      <c r="F67" s="22" t="str">
        <f>IMAGE("https://raw.githubusercontent.com/ltdimages/images/refs/heads/main/Room_Style_Triangle03.png")</f>
        <v/>
      </c>
      <c r="G67" s="22" t="str">
        <f>IMAGE("https://raw.githubusercontent.com/ltdimages/images/refs/heads/main/Room_Style_Triangle04.png")</f>
        <v/>
      </c>
      <c r="H67" s="22" t="str">
        <f>IMAGE("https://raw.githubusercontent.com/ltdimages/images/refs/heads/main/Room_Style_Triangle05.png")</f>
        <v/>
      </c>
      <c r="I67" s="22" t="s">
        <v>3095</v>
      </c>
      <c r="J67" s="22" t="s">
        <v>3095</v>
      </c>
      <c r="K67" s="63">
        <v>95.0</v>
      </c>
      <c r="L67" s="23" t="s">
        <v>45</v>
      </c>
      <c r="M67" s="55" t="s">
        <v>3095</v>
      </c>
      <c r="N67" s="22" t="s">
        <v>6471</v>
      </c>
      <c r="O67" s="22" t="s">
        <v>6472</v>
      </c>
    </row>
    <row r="68" ht="45.0" customHeight="1">
      <c r="A68" s="55" t="s">
        <v>341</v>
      </c>
      <c r="B68" s="62" t="s">
        <v>6473</v>
      </c>
      <c r="C68" s="22" t="str">
        <f>IMAGE("https://raw.githubusercontent.com/ltdimages/images/refs/heads/main/Room_Style_MovingBox00.png")</f>
        <v/>
      </c>
      <c r="D68" s="22" t="str">
        <f>IMAGE("https://raw.githubusercontent.com/ltdimages/images/refs/heads/main/Room_Style_MovingBox01.png")</f>
        <v/>
      </c>
      <c r="E68" s="22" t="s">
        <v>3095</v>
      </c>
      <c r="F68" s="22" t="s">
        <v>3095</v>
      </c>
      <c r="G68" s="22" t="s">
        <v>3095</v>
      </c>
      <c r="H68" s="22" t="s">
        <v>3095</v>
      </c>
      <c r="I68" s="22" t="s">
        <v>3095</v>
      </c>
      <c r="J68" s="22" t="s">
        <v>3095</v>
      </c>
      <c r="K68" s="63">
        <v>35.0</v>
      </c>
      <c r="L68" s="23" t="s">
        <v>45</v>
      </c>
      <c r="M68" s="55" t="s">
        <v>6284</v>
      </c>
      <c r="N68" s="22" t="s">
        <v>6474</v>
      </c>
      <c r="O68" s="22" t="s">
        <v>6475</v>
      </c>
    </row>
    <row r="69" ht="45.0" customHeight="1">
      <c r="A69" s="55" t="s">
        <v>345</v>
      </c>
      <c r="B69" s="62" t="s">
        <v>6476</v>
      </c>
      <c r="C69" s="22" t="str">
        <f>IMAGE("https://raw.githubusercontent.com/ltdimages/images/refs/heads/main/Room_Style_MusicRoom00.png")</f>
        <v/>
      </c>
      <c r="D69" s="22" t="s">
        <v>3095</v>
      </c>
      <c r="E69" s="22" t="s">
        <v>3095</v>
      </c>
      <c r="F69" s="22" t="s">
        <v>3095</v>
      </c>
      <c r="G69" s="22" t="s">
        <v>3095</v>
      </c>
      <c r="H69" s="22" t="s">
        <v>3095</v>
      </c>
      <c r="I69" s="22" t="s">
        <v>3095</v>
      </c>
      <c r="J69" s="22" t="s">
        <v>3095</v>
      </c>
      <c r="K69" s="63">
        <v>145.0</v>
      </c>
      <c r="L69" s="23" t="s">
        <v>49</v>
      </c>
      <c r="M69" s="55" t="s">
        <v>6263</v>
      </c>
      <c r="N69" s="22" t="s">
        <v>6477</v>
      </c>
      <c r="O69" s="22" t="s">
        <v>6478</v>
      </c>
    </row>
    <row r="70" ht="45.0" customHeight="1">
      <c r="A70" s="55" t="s">
        <v>349</v>
      </c>
      <c r="B70" s="62" t="s">
        <v>6479</v>
      </c>
      <c r="C70" s="22" t="str">
        <f>IMAGE("https://raw.githubusercontent.com/ltdimages/images/refs/heads/main/Room_Style_SmallFlower00.png")</f>
        <v/>
      </c>
      <c r="D70" s="22" t="str">
        <f>IMAGE("https://raw.githubusercontent.com/ltdimages/images/refs/heads/main/Room_Style_SmallFlower06.png")</f>
        <v/>
      </c>
      <c r="E70" s="22" t="str">
        <f>IMAGE("https://raw.githubusercontent.com/ltdimages/images/refs/heads/main/Room_Style_SmallFlower01.png")</f>
        <v/>
      </c>
      <c r="F70" s="22" t="str">
        <f>IMAGE("https://raw.githubusercontent.com/ltdimages/images/refs/heads/main/Room_Style_SmallFlower03.png")</f>
        <v/>
      </c>
      <c r="G70" s="22" t="str">
        <f>IMAGE("https://raw.githubusercontent.com/ltdimages/images/refs/heads/main/Room_Style_SmallFlower07.png")</f>
        <v/>
      </c>
      <c r="H70" s="22" t="str">
        <f>IMAGE("https://raw.githubusercontent.com/ltdimages/images/refs/heads/main/Room_Style_SmallFlower02.png")</f>
        <v/>
      </c>
      <c r="I70" s="22" t="str">
        <f>IMAGE("https://raw.githubusercontent.com/ltdimages/images/refs/heads/main/Room_Style_SmallFlower04.png")</f>
        <v/>
      </c>
      <c r="J70" s="22" t="str">
        <f>IMAGE("https://raw.githubusercontent.com/ltdimages/images/refs/heads/main/Room_Style_SmallFlower05.png")</f>
        <v/>
      </c>
      <c r="K70" s="63">
        <v>70.0</v>
      </c>
      <c r="L70" s="23" t="s">
        <v>45</v>
      </c>
      <c r="M70" s="55" t="s">
        <v>3095</v>
      </c>
      <c r="N70" s="22" t="s">
        <v>6480</v>
      </c>
      <c r="O70" s="22" t="s">
        <v>6481</v>
      </c>
    </row>
    <row r="71" ht="45.0" customHeight="1">
      <c r="A71" s="55" t="s">
        <v>354</v>
      </c>
      <c r="B71" s="62" t="s">
        <v>6482</v>
      </c>
      <c r="C71" s="22" t="str">
        <f>IMAGE("https://raw.githubusercontent.com/ltdimages/images/refs/heads/main/Room_Style_Galaxy00.png")</f>
        <v/>
      </c>
      <c r="D71" s="22" t="s">
        <v>3095</v>
      </c>
      <c r="E71" s="22" t="s">
        <v>3095</v>
      </c>
      <c r="F71" s="22" t="s">
        <v>3095</v>
      </c>
      <c r="G71" s="22" t="s">
        <v>3095</v>
      </c>
      <c r="H71" s="22" t="s">
        <v>3095</v>
      </c>
      <c r="I71" s="22" t="s">
        <v>3095</v>
      </c>
      <c r="J71" s="22" t="s">
        <v>3095</v>
      </c>
      <c r="K71" s="63">
        <v>510.0</v>
      </c>
      <c r="L71" s="23" t="s">
        <v>49</v>
      </c>
      <c r="M71" s="55" t="s">
        <v>6263</v>
      </c>
      <c r="N71" s="22" t="s">
        <v>6483</v>
      </c>
      <c r="O71" s="22" t="s">
        <v>6484</v>
      </c>
    </row>
    <row r="72" ht="45.0" customHeight="1">
      <c r="A72" s="55" t="s">
        <v>358</v>
      </c>
      <c r="B72" s="62" t="s">
        <v>6485</v>
      </c>
      <c r="C72" s="22" t="str">
        <f>IMAGE("https://raw.githubusercontent.com/ltdimages/images/refs/heads/main/Room_Style_NeonSign00.png")</f>
        <v/>
      </c>
      <c r="D72" s="22" t="s">
        <v>3095</v>
      </c>
      <c r="E72" s="22" t="s">
        <v>3095</v>
      </c>
      <c r="F72" s="22" t="s">
        <v>3095</v>
      </c>
      <c r="G72" s="22" t="s">
        <v>3095</v>
      </c>
      <c r="H72" s="22" t="s">
        <v>3095</v>
      </c>
      <c r="I72" s="22" t="s">
        <v>3095</v>
      </c>
      <c r="J72" s="22" t="s">
        <v>3095</v>
      </c>
      <c r="K72" s="63">
        <v>152.0</v>
      </c>
      <c r="L72" s="23" t="s">
        <v>49</v>
      </c>
      <c r="M72" s="55" t="s">
        <v>6263</v>
      </c>
      <c r="N72" s="22" t="s">
        <v>6486</v>
      </c>
      <c r="O72" s="22" t="s">
        <v>6487</v>
      </c>
    </row>
    <row r="73" ht="45.0" customHeight="1">
      <c r="A73" s="55" t="s">
        <v>362</v>
      </c>
      <c r="B73" s="62" t="s">
        <v>6488</v>
      </c>
      <c r="C73" s="22" t="str">
        <f>IMAGE("https://raw.githubusercontent.com/ltdimages/images/refs/heads/main/Room_Style_Club00.png")</f>
        <v/>
      </c>
      <c r="D73" s="22" t="s">
        <v>3095</v>
      </c>
      <c r="E73" s="22" t="s">
        <v>3095</v>
      </c>
      <c r="F73" s="22" t="s">
        <v>3095</v>
      </c>
      <c r="G73" s="22" t="s">
        <v>3095</v>
      </c>
      <c r="H73" s="22" t="s">
        <v>3095</v>
      </c>
      <c r="I73" s="22" t="s">
        <v>3095</v>
      </c>
      <c r="J73" s="22" t="s">
        <v>3095</v>
      </c>
      <c r="K73" s="63">
        <v>240.0</v>
      </c>
      <c r="L73" s="23" t="s">
        <v>49</v>
      </c>
      <c r="M73" s="55" t="s">
        <v>6263</v>
      </c>
      <c r="N73" s="22" t="s">
        <v>6489</v>
      </c>
      <c r="O73" s="22" t="s">
        <v>6490</v>
      </c>
    </row>
    <row r="74" ht="45.0" customHeight="1">
      <c r="A74" s="55" t="s">
        <v>367</v>
      </c>
      <c r="B74" s="62" t="s">
        <v>6491</v>
      </c>
      <c r="C74" s="22" t="str">
        <f>IMAGE("https://raw.githubusercontent.com/ltdimages/images/refs/heads/main/Room_Style_Otaku00.png")</f>
        <v/>
      </c>
      <c r="D74" s="22" t="str">
        <f>IMAGE("https://raw.githubusercontent.com/ltdimages/images/refs/heads/main/Room_Style_Otaku02.png")</f>
        <v/>
      </c>
      <c r="E74" s="22" t="str">
        <f>IMAGE("https://raw.githubusercontent.com/ltdimages/images/refs/heads/main/Room_Style_Otaku03.png")</f>
        <v/>
      </c>
      <c r="F74" s="22" t="str">
        <f>IMAGE("https://raw.githubusercontent.com/ltdimages/images/refs/heads/main/Room_Style_Otaku04.png")</f>
        <v/>
      </c>
      <c r="G74" s="22" t="s">
        <v>3095</v>
      </c>
      <c r="H74" s="22" t="s">
        <v>3095</v>
      </c>
      <c r="I74" s="22" t="s">
        <v>3095</v>
      </c>
      <c r="J74" s="22" t="s">
        <v>3095</v>
      </c>
      <c r="K74" s="63">
        <v>210.0</v>
      </c>
      <c r="L74" s="23" t="s">
        <v>49</v>
      </c>
      <c r="M74" s="55" t="s">
        <v>6263</v>
      </c>
      <c r="N74" s="22" t="s">
        <v>6492</v>
      </c>
      <c r="O74" s="22" t="s">
        <v>6493</v>
      </c>
    </row>
    <row r="75" ht="45.0" customHeight="1">
      <c r="A75" s="55" t="s">
        <v>371</v>
      </c>
      <c r="B75" s="62" t="s">
        <v>6494</v>
      </c>
      <c r="C75" s="22" t="str">
        <f>IMAGE("https://raw.githubusercontent.com/ltdimages/images/refs/heads/main/Room_Style_Baby01.png")</f>
        <v/>
      </c>
      <c r="D75" s="22" t="str">
        <f>IMAGE("https://raw.githubusercontent.com/ltdimages/images/refs/heads/main/Room_Style_Baby02.png")</f>
        <v/>
      </c>
      <c r="E75" s="22" t="str">
        <f>IMAGE("https://raw.githubusercontent.com/ltdimages/images/refs/heads/main/Room_Style_Baby00.png")</f>
        <v/>
      </c>
      <c r="F75" s="22" t="s">
        <v>3095</v>
      </c>
      <c r="G75" s="22" t="s">
        <v>3095</v>
      </c>
      <c r="H75" s="22" t="s">
        <v>3095</v>
      </c>
      <c r="I75" s="22" t="s">
        <v>3095</v>
      </c>
      <c r="J75" s="22" t="s">
        <v>3095</v>
      </c>
      <c r="K75" s="63">
        <v>78.0</v>
      </c>
      <c r="L75" s="23" t="s">
        <v>49</v>
      </c>
      <c r="M75" s="55" t="s">
        <v>6263</v>
      </c>
      <c r="N75" s="22" t="s">
        <v>6495</v>
      </c>
      <c r="O75" s="22" t="s">
        <v>6496</v>
      </c>
    </row>
    <row r="76" ht="45.0" customHeight="1">
      <c r="A76" s="55" t="s">
        <v>375</v>
      </c>
      <c r="B76" s="62" t="s">
        <v>6497</v>
      </c>
      <c r="C76" s="22" t="str">
        <f>IMAGE("https://raw.githubusercontent.com/ltdimages/images/refs/heads/main/Room_Style_Office00.png")</f>
        <v/>
      </c>
      <c r="D76" s="22" t="str">
        <f>IMAGE("https://raw.githubusercontent.com/ltdimages/images/refs/heads/main/Room_Style_Office01.png")</f>
        <v/>
      </c>
      <c r="E76" s="22" t="s">
        <v>3095</v>
      </c>
      <c r="F76" s="22" t="s">
        <v>3095</v>
      </c>
      <c r="G76" s="22" t="s">
        <v>3095</v>
      </c>
      <c r="H76" s="22" t="s">
        <v>3095</v>
      </c>
      <c r="I76" s="22" t="s">
        <v>3095</v>
      </c>
      <c r="J76" s="22" t="s">
        <v>3095</v>
      </c>
      <c r="K76" s="63">
        <v>145.0</v>
      </c>
      <c r="L76" s="23" t="s">
        <v>45</v>
      </c>
      <c r="M76" s="55" t="s">
        <v>6498</v>
      </c>
      <c r="N76" s="22" t="s">
        <v>6499</v>
      </c>
      <c r="O76" s="22" t="s">
        <v>6500</v>
      </c>
    </row>
    <row r="77" ht="45.0" customHeight="1">
      <c r="A77" s="55" t="s">
        <v>380</v>
      </c>
      <c r="B77" s="62" t="s">
        <v>6501</v>
      </c>
      <c r="C77" s="22" t="str">
        <f>IMAGE("https://raw.githubusercontent.com/ltdimages/images/refs/heads/main/Room_Style_Chinese00.png")</f>
        <v/>
      </c>
      <c r="D77" s="22" t="str">
        <f>IMAGE("https://raw.githubusercontent.com/ltdimages/images/refs/heads/main/Room_Style_Chinese01.png")</f>
        <v/>
      </c>
      <c r="E77" s="22" t="s">
        <v>3095</v>
      </c>
      <c r="F77" s="22" t="s">
        <v>3095</v>
      </c>
      <c r="G77" s="22" t="s">
        <v>3095</v>
      </c>
      <c r="H77" s="22" t="s">
        <v>3095</v>
      </c>
      <c r="I77" s="22" t="s">
        <v>3095</v>
      </c>
      <c r="J77" s="22" t="s">
        <v>3095</v>
      </c>
      <c r="K77" s="63">
        <v>125.0</v>
      </c>
      <c r="L77" s="23" t="s">
        <v>45</v>
      </c>
      <c r="M77" s="55" t="s">
        <v>6284</v>
      </c>
      <c r="N77" s="22" t="s">
        <v>6502</v>
      </c>
      <c r="O77" s="22" t="s">
        <v>6503</v>
      </c>
    </row>
    <row r="78" ht="45.0" customHeight="1">
      <c r="A78" s="55" t="s">
        <v>384</v>
      </c>
      <c r="B78" s="62" t="s">
        <v>6504</v>
      </c>
      <c r="C78" s="22" t="str">
        <f>IMAGE("https://raw.githubusercontent.com/ltdimages/images/refs/heads/main/Room_Style_Abduction00.png")</f>
        <v/>
      </c>
      <c r="D78" s="22" t="s">
        <v>3095</v>
      </c>
      <c r="E78" s="22" t="s">
        <v>3095</v>
      </c>
      <c r="F78" s="22" t="s">
        <v>3095</v>
      </c>
      <c r="G78" s="22" t="s">
        <v>3095</v>
      </c>
      <c r="H78" s="22" t="s">
        <v>3095</v>
      </c>
      <c r="I78" s="22" t="s">
        <v>3095</v>
      </c>
      <c r="J78" s="22" t="s">
        <v>3095</v>
      </c>
      <c r="K78" s="63">
        <v>5000.0</v>
      </c>
      <c r="L78" s="23" t="s">
        <v>49</v>
      </c>
      <c r="M78" s="55" t="s">
        <v>6263</v>
      </c>
      <c r="N78" s="22" t="s">
        <v>6505</v>
      </c>
      <c r="O78" s="22" t="s">
        <v>6506</v>
      </c>
    </row>
    <row r="79" ht="45.0" customHeight="1">
      <c r="A79" s="55" t="s">
        <v>388</v>
      </c>
      <c r="B79" s="62" t="s">
        <v>6507</v>
      </c>
      <c r="C79" s="22" t="str">
        <f>IMAGE("https://raw.githubusercontent.com/ltdimages/images/refs/heads/main/Room_Style_Party00.png")</f>
        <v/>
      </c>
      <c r="D79" s="22" t="str">
        <f>IMAGE("https://raw.githubusercontent.com/ltdimages/images/refs/heads/main/Room_Style_Party01.png")</f>
        <v/>
      </c>
      <c r="E79" s="22" t="str">
        <f>IMAGE("https://raw.githubusercontent.com/ltdimages/images/refs/heads/main/Room_Style_Party02.png")</f>
        <v/>
      </c>
      <c r="F79" s="22" t="str">
        <f>IMAGE("https://raw.githubusercontent.com/ltdimages/images/refs/heads/main/Room_Style_Party03.png")</f>
        <v/>
      </c>
      <c r="G79" s="22" t="str">
        <f>IMAGE("https://raw.githubusercontent.com/ltdimages/images/refs/heads/main/Room_Style_Party04.png")</f>
        <v/>
      </c>
      <c r="H79" s="22" t="str">
        <f>IMAGE("https://raw.githubusercontent.com/ltdimages/images/refs/heads/main/Room_Style_Party05.png")</f>
        <v/>
      </c>
      <c r="I79" s="22" t="str">
        <f>IMAGE("https://raw.githubusercontent.com/ltdimages/images/refs/heads/main/Room_Style_Party06.png")</f>
        <v/>
      </c>
      <c r="J79" s="22" t="str">
        <f>IMAGE("https://raw.githubusercontent.com/ltdimages/images/refs/heads/main/Room_Style_Party07.png")</f>
        <v/>
      </c>
      <c r="K79" s="63">
        <v>150.0</v>
      </c>
      <c r="L79" s="23" t="s">
        <v>45</v>
      </c>
      <c r="M79" s="55" t="s">
        <v>6284</v>
      </c>
      <c r="N79" s="22" t="s">
        <v>6508</v>
      </c>
      <c r="O79" s="22" t="s">
        <v>6509</v>
      </c>
    </row>
    <row r="80" ht="45.0" customHeight="1">
      <c r="A80" s="55" t="s">
        <v>392</v>
      </c>
      <c r="B80" s="62" t="s">
        <v>6510</v>
      </c>
      <c r="C80" s="22" t="str">
        <f>IMAGE("https://raw.githubusercontent.com/ltdimages/images/refs/heads/main/Room_Style_Heaven00.png")</f>
        <v/>
      </c>
      <c r="D80" s="22" t="s">
        <v>3095</v>
      </c>
      <c r="E80" s="22" t="s">
        <v>3095</v>
      </c>
      <c r="F80" s="22" t="s">
        <v>3095</v>
      </c>
      <c r="G80" s="22" t="s">
        <v>3095</v>
      </c>
      <c r="H80" s="22" t="s">
        <v>3095</v>
      </c>
      <c r="I80" s="22" t="s">
        <v>3095</v>
      </c>
      <c r="J80" s="22" t="s">
        <v>3095</v>
      </c>
      <c r="K80" s="63">
        <v>85.0</v>
      </c>
      <c r="L80" s="23" t="s">
        <v>49</v>
      </c>
      <c r="M80" s="55" t="s">
        <v>6263</v>
      </c>
      <c r="N80" s="22" t="s">
        <v>6511</v>
      </c>
      <c r="O80" s="22" t="s">
        <v>6512</v>
      </c>
    </row>
    <row r="81" ht="45.0" customHeight="1">
      <c r="A81" s="55" t="s">
        <v>396</v>
      </c>
      <c r="B81" s="62" t="s">
        <v>6513</v>
      </c>
      <c r="C81" s="22" t="str">
        <f>IMAGE("https://raw.githubusercontent.com/ltdimages/images/refs/heads/main/Room_Style_Stuffed00.png")</f>
        <v/>
      </c>
      <c r="D81" s="22" t="str">
        <f>IMAGE("https://raw.githubusercontent.com/ltdimages/images/refs/heads/main/Room_Style_Stuffed01.png")</f>
        <v/>
      </c>
      <c r="E81" s="22" t="str">
        <f>IMAGE("https://raw.githubusercontent.com/ltdimages/images/refs/heads/main/Room_Style_Stuffed02.png")</f>
        <v/>
      </c>
      <c r="F81" s="22" t="str">
        <f>IMAGE("https://raw.githubusercontent.com/ltdimages/images/refs/heads/main/Room_Style_Stuffed03.png")</f>
        <v/>
      </c>
      <c r="G81" s="22" t="s">
        <v>3095</v>
      </c>
      <c r="H81" s="22" t="s">
        <v>3095</v>
      </c>
      <c r="I81" s="22" t="s">
        <v>3095</v>
      </c>
      <c r="J81" s="22" t="s">
        <v>3095</v>
      </c>
      <c r="K81" s="63">
        <v>76.0</v>
      </c>
      <c r="L81" s="23" t="s">
        <v>45</v>
      </c>
      <c r="M81" s="55" t="s">
        <v>6284</v>
      </c>
      <c r="N81" s="22" t="s">
        <v>6514</v>
      </c>
      <c r="O81" s="22" t="s">
        <v>6515</v>
      </c>
    </row>
    <row r="82" ht="45.0" customHeight="1">
      <c r="A82" s="55" t="s">
        <v>400</v>
      </c>
      <c r="B82" s="62" t="s">
        <v>6516</v>
      </c>
      <c r="C82" s="22" t="str">
        <f>IMAGE("https://raw.githubusercontent.com/ltdimages/images/refs/heads/main/Room_Style_Dot07.png")</f>
        <v/>
      </c>
      <c r="D82" s="22" t="str">
        <f>IMAGE("https://raw.githubusercontent.com/ltdimages/images/refs/heads/main/Room_Style_Dot00.png")</f>
        <v/>
      </c>
      <c r="E82" s="22" t="str">
        <f>IMAGE("https://raw.githubusercontent.com/ltdimages/images/refs/heads/main/Room_Style_Dot05.png")</f>
        <v/>
      </c>
      <c r="F82" s="22" t="str">
        <f>IMAGE("https://raw.githubusercontent.com/ltdimages/images/refs/heads/main/Room_Style_Dot01.png")</f>
        <v/>
      </c>
      <c r="G82" s="22" t="str">
        <f>IMAGE("https://raw.githubusercontent.com/ltdimages/images/refs/heads/main/Room_Style_Dot02.png")</f>
        <v/>
      </c>
      <c r="H82" s="22" t="str">
        <f>IMAGE("https://raw.githubusercontent.com/ltdimages/images/refs/heads/main/Room_Style_Dot04.png")</f>
        <v/>
      </c>
      <c r="I82" s="22" t="str">
        <f>IMAGE("https://raw.githubusercontent.com/ltdimages/images/refs/heads/main/Room_Style_Dot03.png")</f>
        <v/>
      </c>
      <c r="J82" s="22" t="str">
        <f>IMAGE("https://raw.githubusercontent.com/ltdimages/images/refs/heads/main/Room_Style_Dot06.png")</f>
        <v/>
      </c>
      <c r="K82" s="63">
        <v>100.0</v>
      </c>
      <c r="L82" s="23" t="s">
        <v>45</v>
      </c>
      <c r="M82" s="55" t="s">
        <v>3095</v>
      </c>
      <c r="N82" s="22" t="s">
        <v>6517</v>
      </c>
      <c r="O82" s="22" t="s">
        <v>6518</v>
      </c>
    </row>
    <row r="83" ht="45.0" customHeight="1">
      <c r="A83" s="55" t="s">
        <v>404</v>
      </c>
      <c r="B83" s="62" t="s">
        <v>6519</v>
      </c>
      <c r="C83" s="22" t="str">
        <f>IMAGE("https://raw.githubusercontent.com/ltdimages/images/refs/heads/main/Room_Style_Sakura00.png")</f>
        <v/>
      </c>
      <c r="D83" s="22" t="s">
        <v>3095</v>
      </c>
      <c r="E83" s="22" t="s">
        <v>3095</v>
      </c>
      <c r="F83" s="22" t="s">
        <v>3095</v>
      </c>
      <c r="G83" s="22" t="s">
        <v>3095</v>
      </c>
      <c r="H83" s="22" t="s">
        <v>3095</v>
      </c>
      <c r="I83" s="22" t="s">
        <v>3095</v>
      </c>
      <c r="J83" s="22" t="s">
        <v>3095</v>
      </c>
      <c r="K83" s="63">
        <v>250.0</v>
      </c>
      <c r="L83" s="23" t="s">
        <v>45</v>
      </c>
      <c r="M83" s="55" t="s">
        <v>6520</v>
      </c>
      <c r="N83" s="22" t="s">
        <v>6521</v>
      </c>
      <c r="O83" s="22" t="s">
        <v>6522</v>
      </c>
    </row>
    <row r="84" ht="45.0" customHeight="1">
      <c r="A84" s="55" t="s">
        <v>410</v>
      </c>
      <c r="B84" s="62" t="s">
        <v>6523</v>
      </c>
      <c r="C84" s="22" t="str">
        <f>IMAGE("https://raw.githubusercontent.com/ltdimages/images/refs/heads/main/Room_Style_Sauna00.png")</f>
        <v/>
      </c>
      <c r="D84" s="22" t="s">
        <v>3095</v>
      </c>
      <c r="E84" s="22" t="s">
        <v>3095</v>
      </c>
      <c r="F84" s="22" t="s">
        <v>3095</v>
      </c>
      <c r="G84" s="22" t="s">
        <v>3095</v>
      </c>
      <c r="H84" s="22" t="s">
        <v>3095</v>
      </c>
      <c r="I84" s="22" t="s">
        <v>3095</v>
      </c>
      <c r="J84" s="22" t="s">
        <v>3095</v>
      </c>
      <c r="K84" s="63">
        <v>154.0</v>
      </c>
      <c r="L84" s="23" t="s">
        <v>49</v>
      </c>
      <c r="M84" s="55" t="s">
        <v>6263</v>
      </c>
      <c r="N84" s="22" t="s">
        <v>6524</v>
      </c>
      <c r="O84" s="22" t="s">
        <v>6525</v>
      </c>
    </row>
    <row r="85" ht="45.0" customHeight="1">
      <c r="A85" s="55" t="s">
        <v>414</v>
      </c>
      <c r="B85" s="62" t="s">
        <v>6526</v>
      </c>
      <c r="C85" s="22" t="str">
        <f>IMAGE("https://raw.githubusercontent.com/ltdimages/images/refs/heads/main/Room_Style_SF00.png")</f>
        <v/>
      </c>
      <c r="D85" s="22" t="str">
        <f>IMAGE("https://raw.githubusercontent.com/ltdimages/images/refs/heads/main/Room_Style_SF01.png")</f>
        <v/>
      </c>
      <c r="E85" s="22" t="str">
        <f>IMAGE("https://raw.githubusercontent.com/ltdimages/images/refs/heads/main/Room_Style_SF02.png")</f>
        <v/>
      </c>
      <c r="F85" s="22" t="str">
        <f>IMAGE("https://raw.githubusercontent.com/ltdimages/images/refs/heads/main/Room_Style_SF03.png")</f>
        <v/>
      </c>
      <c r="G85" s="22" t="str">
        <f>IMAGE("https://raw.githubusercontent.com/ltdimages/images/refs/heads/main/Room_Style_SF04.png")</f>
        <v/>
      </c>
      <c r="H85" s="22" t="str">
        <f>IMAGE("https://raw.githubusercontent.com/ltdimages/images/refs/heads/main/Room_Style_SF05.png")</f>
        <v/>
      </c>
      <c r="I85" s="22" t="s">
        <v>3095</v>
      </c>
      <c r="J85" s="22" t="s">
        <v>3095</v>
      </c>
      <c r="K85" s="63">
        <v>251.0</v>
      </c>
      <c r="L85" s="23" t="s">
        <v>49</v>
      </c>
      <c r="M85" s="55" t="s">
        <v>6263</v>
      </c>
      <c r="N85" s="22" t="s">
        <v>6527</v>
      </c>
      <c r="O85" s="22" t="s">
        <v>6528</v>
      </c>
    </row>
    <row r="86" ht="45.0" customHeight="1">
      <c r="A86" s="55" t="s">
        <v>418</v>
      </c>
      <c r="B86" s="62" t="s">
        <v>6529</v>
      </c>
      <c r="C86" s="22" t="str">
        <f>IMAGE("https://raw.githubusercontent.com/ltdimages/images/refs/heads/main/Room_Style_Pirate00.png")</f>
        <v/>
      </c>
      <c r="D86" s="22" t="s">
        <v>3095</v>
      </c>
      <c r="E86" s="22" t="s">
        <v>3095</v>
      </c>
      <c r="F86" s="22" t="s">
        <v>3095</v>
      </c>
      <c r="G86" s="22" t="s">
        <v>3095</v>
      </c>
      <c r="H86" s="22" t="s">
        <v>3095</v>
      </c>
      <c r="I86" s="22" t="s">
        <v>3095</v>
      </c>
      <c r="J86" s="22" t="s">
        <v>3095</v>
      </c>
      <c r="K86" s="63">
        <v>210.0</v>
      </c>
      <c r="L86" s="23" t="s">
        <v>49</v>
      </c>
      <c r="M86" s="55" t="s">
        <v>6263</v>
      </c>
      <c r="N86" s="22" t="s">
        <v>6530</v>
      </c>
      <c r="O86" s="22" t="s">
        <v>6531</v>
      </c>
    </row>
    <row r="87" ht="45.0" customHeight="1">
      <c r="A87" s="55" t="s">
        <v>422</v>
      </c>
      <c r="B87" s="62" t="s">
        <v>6532</v>
      </c>
      <c r="C87" s="22" t="str">
        <f>IMAGE("https://raw.githubusercontent.com/ltdimages/images/refs/heads/main/Room_Style_Shogun00.png")</f>
        <v/>
      </c>
      <c r="D87" s="22" t="s">
        <v>3095</v>
      </c>
      <c r="E87" s="22" t="s">
        <v>3095</v>
      </c>
      <c r="F87" s="22" t="s">
        <v>3095</v>
      </c>
      <c r="G87" s="22" t="s">
        <v>3095</v>
      </c>
      <c r="H87" s="22" t="s">
        <v>3095</v>
      </c>
      <c r="I87" s="22" t="s">
        <v>3095</v>
      </c>
      <c r="J87" s="22" t="s">
        <v>3095</v>
      </c>
      <c r="K87" s="63">
        <v>300.0</v>
      </c>
      <c r="L87" s="23" t="s">
        <v>49</v>
      </c>
      <c r="M87" s="55" t="s">
        <v>6263</v>
      </c>
      <c r="N87" s="22" t="s">
        <v>6533</v>
      </c>
      <c r="O87" s="22" t="s">
        <v>6534</v>
      </c>
    </row>
    <row r="88" ht="45.0" customHeight="1">
      <c r="A88" s="55" t="s">
        <v>426</v>
      </c>
      <c r="B88" s="62" t="s">
        <v>6535</v>
      </c>
      <c r="C88" s="22" t="str">
        <f>IMAGE("https://raw.githubusercontent.com/ltdimages/images/refs/heads/main/Room_Style_Japanese00.png")</f>
        <v/>
      </c>
      <c r="D88" s="22" t="str">
        <f>IMAGE("https://raw.githubusercontent.com/ltdimages/images/refs/heads/main/Room_Style_Japanese01.png")</f>
        <v/>
      </c>
      <c r="E88" s="22" t="str">
        <f>IMAGE("https://raw.githubusercontent.com/ltdimages/images/refs/heads/main/Room_Style_Japanese02.png")</f>
        <v/>
      </c>
      <c r="F88" s="22" t="str">
        <f>IMAGE("https://raw.githubusercontent.com/ltdimages/images/refs/heads/main/Room_Style_Japanese03.png")</f>
        <v/>
      </c>
      <c r="G88" s="22" t="str">
        <f>IMAGE("https://raw.githubusercontent.com/ltdimages/images/refs/heads/main/Room_Style_Japanese04.png")</f>
        <v/>
      </c>
      <c r="H88" s="22" t="str">
        <f>IMAGE("https://raw.githubusercontent.com/ltdimages/images/refs/heads/main/Room_Style_Japanese05.png")</f>
        <v/>
      </c>
      <c r="I88" s="22" t="s">
        <v>3095</v>
      </c>
      <c r="J88" s="22" t="s">
        <v>3095</v>
      </c>
      <c r="K88" s="63">
        <v>90.0</v>
      </c>
      <c r="L88" s="23" t="s">
        <v>49</v>
      </c>
      <c r="M88" s="55" t="s">
        <v>6263</v>
      </c>
      <c r="N88" s="22" t="s">
        <v>6536</v>
      </c>
      <c r="O88" s="22" t="s">
        <v>6537</v>
      </c>
    </row>
    <row r="89" ht="45.0" customHeight="1">
      <c r="A89" s="55" t="s">
        <v>430</v>
      </c>
      <c r="B89" s="62" t="s">
        <v>6538</v>
      </c>
      <c r="C89" s="22" t="str">
        <f>IMAGE("https://raw.githubusercontent.com/ltdimages/images/refs/heads/main/Room_Style_WoodBoard00.png")</f>
        <v/>
      </c>
      <c r="D89" s="22" t="str">
        <f>IMAGE("https://raw.githubusercontent.com/ltdimages/images/refs/heads/main/Room_Style_WoodBoard01.png")</f>
        <v/>
      </c>
      <c r="E89" s="22" t="str">
        <f>IMAGE("https://raw.githubusercontent.com/ltdimages/images/refs/heads/main/Room_Style_WoodBoard02.png")</f>
        <v/>
      </c>
      <c r="F89" s="22" t="str">
        <f>IMAGE("https://raw.githubusercontent.com/ltdimages/images/refs/heads/main/Room_Style_WoodBoard03.png")</f>
        <v/>
      </c>
      <c r="G89" s="22" t="str">
        <f>IMAGE("https://raw.githubusercontent.com/ltdimages/images/refs/heads/main/Room_Style_WoodBoard04.png")</f>
        <v/>
      </c>
      <c r="H89" s="22" t="str">
        <f>IMAGE("https://raw.githubusercontent.com/ltdimages/images/refs/heads/main/Room_Style_WoodBoard05.png")</f>
        <v/>
      </c>
      <c r="I89" s="22" t="str">
        <f>IMAGE("https://raw.githubusercontent.com/ltdimages/images/refs/heads/main/Room_Style_WoodBoard06.png")</f>
        <v/>
      </c>
      <c r="J89" s="22" t="str">
        <f>IMAGE("https://raw.githubusercontent.com/ltdimages/images/refs/heads/main/Room_Style_WoodBoard07.png")</f>
        <v/>
      </c>
      <c r="K89" s="63">
        <v>70.0</v>
      </c>
      <c r="L89" s="23" t="s">
        <v>45</v>
      </c>
      <c r="M89" s="55" t="s">
        <v>3095</v>
      </c>
      <c r="N89" s="22" t="s">
        <v>6539</v>
      </c>
      <c r="O89" s="22" t="s">
        <v>6540</v>
      </c>
    </row>
    <row r="90" ht="45.0" customHeight="1">
      <c r="A90" s="55" t="s">
        <v>434</v>
      </c>
      <c r="B90" s="62" t="s">
        <v>6541</v>
      </c>
      <c r="C90" s="22" t="str">
        <f>IMAGE("https://raw.githubusercontent.com/ltdimages/images/refs/heads/main/Room_Style_StarPrint00.png")</f>
        <v/>
      </c>
      <c r="D90" s="22" t="str">
        <f>IMAGE("https://raw.githubusercontent.com/ltdimages/images/refs/heads/main/Room_Style_StarPrint01.png")</f>
        <v/>
      </c>
      <c r="E90" s="22" t="str">
        <f>IMAGE("https://raw.githubusercontent.com/ltdimages/images/refs/heads/main/Room_Style_StarPrint02.png")</f>
        <v/>
      </c>
      <c r="F90" s="22" t="str">
        <f>IMAGE("https://raw.githubusercontent.com/ltdimages/images/refs/heads/main/Room_Style_StarPrint03.png")</f>
        <v/>
      </c>
      <c r="G90" s="22" t="str">
        <f>IMAGE("https://raw.githubusercontent.com/ltdimages/images/refs/heads/main/Room_Style_StarPrint04.png")</f>
        <v/>
      </c>
      <c r="H90" s="22" t="s">
        <v>3095</v>
      </c>
      <c r="I90" s="22" t="s">
        <v>3095</v>
      </c>
      <c r="J90" s="22" t="s">
        <v>3095</v>
      </c>
      <c r="K90" s="63">
        <v>61.0</v>
      </c>
      <c r="L90" s="23" t="s">
        <v>45</v>
      </c>
      <c r="M90" s="55" t="s">
        <v>3095</v>
      </c>
      <c r="N90" s="22" t="s">
        <v>6542</v>
      </c>
      <c r="O90" s="22" t="s">
        <v>6543</v>
      </c>
    </row>
    <row r="91" ht="45.0" customHeight="1">
      <c r="A91" s="55" t="s">
        <v>438</v>
      </c>
      <c r="B91" s="62" t="s">
        <v>6544</v>
      </c>
      <c r="C91" s="22" t="str">
        <f>IMAGE("https://raw.githubusercontent.com/ltdimages/images/refs/heads/main/Room_Style_Stadium00.png")</f>
        <v/>
      </c>
      <c r="D91" s="22" t="str">
        <f>IMAGE("https://raw.githubusercontent.com/ltdimages/images/refs/heads/main/Room_Style_Stadium01.png")</f>
        <v/>
      </c>
      <c r="E91" s="22" t="str">
        <f>IMAGE("https://raw.githubusercontent.com/ltdimages/images/refs/heads/main/Room_Style_Stadium02.png")</f>
        <v/>
      </c>
      <c r="F91" s="22" t="s">
        <v>3095</v>
      </c>
      <c r="G91" s="22" t="s">
        <v>3095</v>
      </c>
      <c r="H91" s="22" t="s">
        <v>3095</v>
      </c>
      <c r="I91" s="22" t="s">
        <v>3095</v>
      </c>
      <c r="J91" s="22" t="s">
        <v>3095</v>
      </c>
      <c r="K91" s="63">
        <v>89.0</v>
      </c>
      <c r="L91" s="23" t="s">
        <v>49</v>
      </c>
      <c r="M91" s="55" t="s">
        <v>6263</v>
      </c>
      <c r="N91" s="22" t="s">
        <v>6545</v>
      </c>
      <c r="O91" s="22" t="s">
        <v>6546</v>
      </c>
    </row>
    <row r="92" ht="45.0" customHeight="1">
      <c r="A92" s="55" t="s">
        <v>442</v>
      </c>
      <c r="B92" s="62" t="s">
        <v>6547</v>
      </c>
      <c r="C92" s="22" t="str">
        <f>IMAGE("https://raw.githubusercontent.com/ltdimages/images/refs/heads/main/Room_Style_Steampunk00.png")</f>
        <v/>
      </c>
      <c r="D92" s="22" t="s">
        <v>3095</v>
      </c>
      <c r="E92" s="22" t="s">
        <v>3095</v>
      </c>
      <c r="F92" s="22" t="s">
        <v>3095</v>
      </c>
      <c r="G92" s="22" t="s">
        <v>3095</v>
      </c>
      <c r="H92" s="22" t="s">
        <v>3095</v>
      </c>
      <c r="I92" s="22" t="s">
        <v>3095</v>
      </c>
      <c r="J92" s="22" t="s">
        <v>3095</v>
      </c>
      <c r="K92" s="63">
        <v>260.0</v>
      </c>
      <c r="L92" s="23" t="s">
        <v>49</v>
      </c>
      <c r="M92" s="55" t="s">
        <v>6263</v>
      </c>
      <c r="N92" s="22" t="s">
        <v>6548</v>
      </c>
      <c r="O92" s="22" t="s">
        <v>6549</v>
      </c>
    </row>
    <row r="93" ht="45.0" customHeight="1">
      <c r="A93" s="55" t="s">
        <v>446</v>
      </c>
      <c r="B93" s="62" t="s">
        <v>6550</v>
      </c>
      <c r="C93" s="22" t="str">
        <f>IMAGE("https://raw.githubusercontent.com/ltdimages/images/refs/heads/main/Room_Style_SFX00.png")</f>
        <v/>
      </c>
      <c r="D93" s="22" t="str">
        <f>IMAGE("https://raw.githubusercontent.com/ltdimages/images/refs/heads/main/Room_Style_SFX01.png")</f>
        <v/>
      </c>
      <c r="E93" s="22" t="s">
        <v>3095</v>
      </c>
      <c r="F93" s="22" t="s">
        <v>3095</v>
      </c>
      <c r="G93" s="22" t="s">
        <v>3095</v>
      </c>
      <c r="H93" s="22" t="s">
        <v>3095</v>
      </c>
      <c r="I93" s="22" t="s">
        <v>3095</v>
      </c>
      <c r="J93" s="22" t="s">
        <v>3095</v>
      </c>
      <c r="K93" s="63">
        <v>300.0</v>
      </c>
      <c r="L93" s="23" t="s">
        <v>49</v>
      </c>
      <c r="M93" s="55" t="s">
        <v>6263</v>
      </c>
      <c r="N93" s="22" t="s">
        <v>6551</v>
      </c>
      <c r="O93" s="22" t="s">
        <v>6552</v>
      </c>
    </row>
    <row r="94" ht="45.0" customHeight="1">
      <c r="A94" s="55" t="s">
        <v>450</v>
      </c>
      <c r="B94" s="62" t="s">
        <v>6553</v>
      </c>
      <c r="C94" s="22" t="str">
        <f>IMAGE("https://raw.githubusercontent.com/ltdimages/images/refs/heads/main/Room_Style_Rain00.png")</f>
        <v/>
      </c>
      <c r="D94" s="22" t="s">
        <v>3095</v>
      </c>
      <c r="E94" s="22" t="s">
        <v>3095</v>
      </c>
      <c r="F94" s="22" t="s">
        <v>3095</v>
      </c>
      <c r="G94" s="22" t="s">
        <v>3095</v>
      </c>
      <c r="H94" s="22" t="s">
        <v>3095</v>
      </c>
      <c r="I94" s="22" t="s">
        <v>3095</v>
      </c>
      <c r="J94" s="22" t="s">
        <v>3095</v>
      </c>
      <c r="K94" s="63">
        <v>55.0</v>
      </c>
      <c r="L94" s="23" t="s">
        <v>45</v>
      </c>
      <c r="M94" s="55" t="s">
        <v>6554</v>
      </c>
      <c r="N94" s="22" t="s">
        <v>6555</v>
      </c>
      <c r="O94" s="22" t="s">
        <v>6556</v>
      </c>
    </row>
    <row r="95" ht="45.0" customHeight="1">
      <c r="A95" s="55" t="s">
        <v>454</v>
      </c>
      <c r="B95" s="62" t="s">
        <v>6557</v>
      </c>
      <c r="C95" s="22" t="str">
        <f>IMAGE("https://raw.githubusercontent.com/ltdimages/images/refs/heads/main/Room_Style_Candy00.png")</f>
        <v/>
      </c>
      <c r="D95" s="22" t="str">
        <f>IMAGE("https://raw.githubusercontent.com/ltdimages/images/refs/heads/main/Room_Style_Candy01.png")</f>
        <v/>
      </c>
      <c r="E95" s="22" t="str">
        <f>IMAGE("https://raw.githubusercontent.com/ltdimages/images/refs/heads/main/Room_Style_Candy02.png")</f>
        <v/>
      </c>
      <c r="F95" s="22" t="s">
        <v>3095</v>
      </c>
      <c r="G95" s="22" t="s">
        <v>3095</v>
      </c>
      <c r="H95" s="22" t="s">
        <v>3095</v>
      </c>
      <c r="I95" s="22" t="s">
        <v>3095</v>
      </c>
      <c r="J95" s="22" t="s">
        <v>3095</v>
      </c>
      <c r="K95" s="63">
        <v>125.0</v>
      </c>
      <c r="L95" s="23" t="s">
        <v>45</v>
      </c>
      <c r="M95" s="55" t="s">
        <v>6284</v>
      </c>
      <c r="N95" s="22" t="s">
        <v>6558</v>
      </c>
      <c r="O95" s="22" t="s">
        <v>6559</v>
      </c>
    </row>
    <row r="96" ht="45.0" customHeight="1">
      <c r="A96" s="55" t="s">
        <v>459</v>
      </c>
      <c r="B96" s="62" t="s">
        <v>6560</v>
      </c>
      <c r="C96" s="22" t="str">
        <f>IMAGE("https://raw.githubusercontent.com/ltdimages/images/refs/heads/main/Room_Style_Sushi00.png")</f>
        <v/>
      </c>
      <c r="D96" s="22" t="s">
        <v>3095</v>
      </c>
      <c r="E96" s="22" t="s">
        <v>3095</v>
      </c>
      <c r="F96" s="22" t="s">
        <v>3095</v>
      </c>
      <c r="G96" s="22" t="s">
        <v>3095</v>
      </c>
      <c r="H96" s="22" t="s">
        <v>3095</v>
      </c>
      <c r="I96" s="22" t="s">
        <v>3095</v>
      </c>
      <c r="J96" s="22" t="s">
        <v>3095</v>
      </c>
      <c r="K96" s="63">
        <v>340.0</v>
      </c>
      <c r="L96" s="23" t="s">
        <v>45</v>
      </c>
      <c r="M96" s="55" t="s">
        <v>6561</v>
      </c>
      <c r="N96" s="22" t="s">
        <v>6562</v>
      </c>
      <c r="O96" s="22" t="s">
        <v>6563</v>
      </c>
    </row>
    <row r="97" ht="45.0" customHeight="1">
      <c r="A97" s="55" t="s">
        <v>463</v>
      </c>
      <c r="B97" s="62" t="s">
        <v>6564</v>
      </c>
      <c r="C97" s="22" t="str">
        <f>IMAGE("https://raw.githubusercontent.com/ltdimages/images/refs/heads/main/Room_Style_Shoji00.png")</f>
        <v/>
      </c>
      <c r="D97" s="22" t="str">
        <f>IMAGE("https://raw.githubusercontent.com/ltdimages/images/refs/heads/main/Room_Style_Shoji01.png")</f>
        <v/>
      </c>
      <c r="E97" s="22" t="str">
        <f>IMAGE("https://raw.githubusercontent.com/ltdimages/images/refs/heads/main/Room_Style_Shoji02.png")</f>
        <v/>
      </c>
      <c r="F97" s="22" t="s">
        <v>3095</v>
      </c>
      <c r="G97" s="22" t="s">
        <v>3095</v>
      </c>
      <c r="H97" s="22" t="s">
        <v>3095</v>
      </c>
      <c r="I97" s="22" t="s">
        <v>3095</v>
      </c>
      <c r="J97" s="22" t="s">
        <v>3095</v>
      </c>
      <c r="K97" s="63">
        <v>200.0</v>
      </c>
      <c r="L97" s="23" t="s">
        <v>45</v>
      </c>
      <c r="M97" s="55" t="s">
        <v>6284</v>
      </c>
      <c r="N97" s="22" t="s">
        <v>6565</v>
      </c>
      <c r="O97" s="22" t="s">
        <v>6566</v>
      </c>
    </row>
    <row r="98" ht="45.0" customHeight="1">
      <c r="A98" s="55" t="s">
        <v>467</v>
      </c>
      <c r="B98" s="62" t="s">
        <v>6567</v>
      </c>
      <c r="C98" s="22" t="str">
        <f>IMAGE("https://raw.githubusercontent.com/ltdimages/images/refs/heads/main/Room_Style_Stage00.png")</f>
        <v/>
      </c>
      <c r="D98" s="22" t="s">
        <v>3095</v>
      </c>
      <c r="E98" s="22" t="s">
        <v>3095</v>
      </c>
      <c r="F98" s="22" t="s">
        <v>3095</v>
      </c>
      <c r="G98" s="22" t="s">
        <v>3095</v>
      </c>
      <c r="H98" s="22" t="s">
        <v>3095</v>
      </c>
      <c r="I98" s="22" t="s">
        <v>3095</v>
      </c>
      <c r="J98" s="22" t="s">
        <v>3095</v>
      </c>
      <c r="K98" s="63">
        <v>134.0</v>
      </c>
      <c r="L98" s="23" t="s">
        <v>49</v>
      </c>
      <c r="M98" s="55" t="s">
        <v>6263</v>
      </c>
      <c r="N98" s="22" t="s">
        <v>6568</v>
      </c>
      <c r="O98" s="22" t="s">
        <v>6569</v>
      </c>
    </row>
    <row r="99" ht="45.0" customHeight="1">
      <c r="A99" s="55" t="s">
        <v>471</v>
      </c>
      <c r="B99" s="62" t="s">
        <v>6570</v>
      </c>
      <c r="C99" s="22" t="str">
        <f>IMAGE("https://raw.githubusercontent.com/ltdimages/images/refs/heads/main/Room_Style_InterviewBoard00.png")</f>
        <v/>
      </c>
      <c r="D99" s="22" t="s">
        <v>3095</v>
      </c>
      <c r="E99" s="22" t="s">
        <v>3095</v>
      </c>
      <c r="F99" s="22" t="s">
        <v>3095</v>
      </c>
      <c r="G99" s="22" t="s">
        <v>3095</v>
      </c>
      <c r="H99" s="22" t="s">
        <v>3095</v>
      </c>
      <c r="I99" s="22" t="s">
        <v>3095</v>
      </c>
      <c r="J99" s="22" t="s">
        <v>3095</v>
      </c>
      <c r="K99" s="63">
        <v>79.0</v>
      </c>
      <c r="L99" s="23" t="s">
        <v>49</v>
      </c>
      <c r="M99" s="55" t="s">
        <v>6263</v>
      </c>
      <c r="N99" s="22" t="s">
        <v>6571</v>
      </c>
      <c r="O99" s="22" t="s">
        <v>6572</v>
      </c>
    </row>
    <row r="100" ht="45.0" customHeight="1">
      <c r="A100" s="55" t="s">
        <v>475</v>
      </c>
      <c r="B100" s="62" t="s">
        <v>6573</v>
      </c>
      <c r="C100" s="22" t="str">
        <f>IMAGE("https://raw.githubusercontent.com/ltdimages/images/refs/heads/main/Room_Style_NightView00.png")</f>
        <v/>
      </c>
      <c r="D100" s="22" t="s">
        <v>3095</v>
      </c>
      <c r="E100" s="22" t="s">
        <v>3095</v>
      </c>
      <c r="F100" s="22" t="s">
        <v>3095</v>
      </c>
      <c r="G100" s="22" t="s">
        <v>3095</v>
      </c>
      <c r="H100" s="22" t="s">
        <v>3095</v>
      </c>
      <c r="I100" s="22" t="s">
        <v>3095</v>
      </c>
      <c r="J100" s="22" t="s">
        <v>3095</v>
      </c>
      <c r="K100" s="63">
        <v>350.0</v>
      </c>
      <c r="L100" s="23" t="s">
        <v>45</v>
      </c>
      <c r="M100" s="55" t="s">
        <v>6574</v>
      </c>
      <c r="N100" s="22" t="s">
        <v>6575</v>
      </c>
      <c r="O100" s="22" t="s">
        <v>6576</v>
      </c>
    </row>
    <row r="101" ht="45.0" customHeight="1">
      <c r="A101" s="55" t="s">
        <v>479</v>
      </c>
      <c r="B101" s="62" t="s">
        <v>6577</v>
      </c>
      <c r="C101" s="22" t="str">
        <f>IMAGE("https://raw.githubusercontent.com/ltdimages/images/refs/heads/main/Room_Style_Train00.png")</f>
        <v/>
      </c>
      <c r="D101" s="22" t="str">
        <f>IMAGE("https://raw.githubusercontent.com/ltdimages/images/refs/heads/main/Room_Style_Train01.png")</f>
        <v/>
      </c>
      <c r="E101" s="22" t="s">
        <v>3095</v>
      </c>
      <c r="F101" s="22" t="s">
        <v>3095</v>
      </c>
      <c r="G101" s="22" t="s">
        <v>3095</v>
      </c>
      <c r="H101" s="22" t="s">
        <v>3095</v>
      </c>
      <c r="I101" s="22" t="s">
        <v>3095</v>
      </c>
      <c r="J101" s="22" t="s">
        <v>3095</v>
      </c>
      <c r="K101" s="63">
        <v>250.0</v>
      </c>
      <c r="L101" s="23" t="s">
        <v>45</v>
      </c>
      <c r="M101" s="55" t="s">
        <v>6578</v>
      </c>
      <c r="N101" s="22" t="s">
        <v>6579</v>
      </c>
      <c r="O101" s="22" t="s">
        <v>6580</v>
      </c>
    </row>
    <row r="102" ht="45.0" customHeight="1">
      <c r="A102" s="55" t="s">
        <v>483</v>
      </c>
      <c r="B102" s="62" t="s">
        <v>6581</v>
      </c>
      <c r="C102" s="22" t="str">
        <f>IMAGE("https://raw.githubusercontent.com/ltdimages/images/refs/heads/main/Room_Style_Success00.png")</f>
        <v/>
      </c>
      <c r="D102" s="22" t="s">
        <v>3095</v>
      </c>
      <c r="E102" s="22" t="s">
        <v>3095</v>
      </c>
      <c r="F102" s="22" t="s">
        <v>3095</v>
      </c>
      <c r="G102" s="22" t="s">
        <v>3095</v>
      </c>
      <c r="H102" s="22" t="s">
        <v>3095</v>
      </c>
      <c r="I102" s="22" t="s">
        <v>3095</v>
      </c>
      <c r="J102" s="22" t="s">
        <v>3095</v>
      </c>
      <c r="K102" s="63">
        <v>1000.0</v>
      </c>
      <c r="L102" s="23" t="s">
        <v>49</v>
      </c>
      <c r="M102" s="55" t="s">
        <v>6263</v>
      </c>
      <c r="N102" s="22" t="s">
        <v>6582</v>
      </c>
      <c r="O102" s="22" t="s">
        <v>6583</v>
      </c>
    </row>
    <row r="103" ht="45.0" customHeight="1">
      <c r="A103" s="55" t="s">
        <v>488</v>
      </c>
      <c r="B103" s="62" t="s">
        <v>6584</v>
      </c>
      <c r="C103" s="22" t="str">
        <f>IMAGE("https://raw.githubusercontent.com/ltdimages/images/refs/heads/main/Room_Style_Temple00.png")</f>
        <v/>
      </c>
      <c r="D103" s="22" t="s">
        <v>3095</v>
      </c>
      <c r="E103" s="22" t="s">
        <v>3095</v>
      </c>
      <c r="F103" s="22" t="s">
        <v>3095</v>
      </c>
      <c r="G103" s="22" t="s">
        <v>3095</v>
      </c>
      <c r="H103" s="22" t="s">
        <v>3095</v>
      </c>
      <c r="I103" s="22" t="s">
        <v>3095</v>
      </c>
      <c r="J103" s="22" t="s">
        <v>3095</v>
      </c>
      <c r="K103" s="63">
        <v>140.0</v>
      </c>
      <c r="L103" s="23" t="s">
        <v>49</v>
      </c>
      <c r="M103" s="55" t="s">
        <v>6263</v>
      </c>
      <c r="N103" s="22" t="s">
        <v>6585</v>
      </c>
      <c r="O103" s="22" t="s">
        <v>6586</v>
      </c>
    </row>
    <row r="104" ht="45.0" customHeight="1">
      <c r="A104" s="55" t="s">
        <v>492</v>
      </c>
      <c r="B104" s="62" t="s">
        <v>6587</v>
      </c>
      <c r="C104" s="22" t="str">
        <f>IMAGE("https://raw.githubusercontent.com/ltdimages/images/refs/heads/main/Room_Style_Snow00.png")</f>
        <v/>
      </c>
      <c r="D104" s="22" t="s">
        <v>3095</v>
      </c>
      <c r="E104" s="22" t="s">
        <v>3095</v>
      </c>
      <c r="F104" s="22" t="s">
        <v>3095</v>
      </c>
      <c r="G104" s="22" t="s">
        <v>3095</v>
      </c>
      <c r="H104" s="22" t="s">
        <v>3095</v>
      </c>
      <c r="I104" s="22" t="s">
        <v>3095</v>
      </c>
      <c r="J104" s="22" t="s">
        <v>3095</v>
      </c>
      <c r="K104" s="63">
        <v>80.0</v>
      </c>
      <c r="L104" s="23" t="s">
        <v>45</v>
      </c>
      <c r="M104" s="55" t="s">
        <v>6588</v>
      </c>
      <c r="N104" s="22" t="s">
        <v>6589</v>
      </c>
      <c r="O104" s="22" t="s">
        <v>6590</v>
      </c>
    </row>
    <row r="105" ht="45.0" customHeight="1">
      <c r="A105" s="55" t="s">
        <v>496</v>
      </c>
      <c r="B105" s="62" t="s">
        <v>6591</v>
      </c>
      <c r="C105" s="22" t="str">
        <f>IMAGE("https://raw.githubusercontent.com/ltdimages/images/refs/heads/main/Room_Style_Halloween00.png")</f>
        <v/>
      </c>
      <c r="D105" s="22" t="s">
        <v>3095</v>
      </c>
      <c r="E105" s="22" t="s">
        <v>3095</v>
      </c>
      <c r="F105" s="22" t="s">
        <v>3095</v>
      </c>
      <c r="G105" s="22" t="s">
        <v>3095</v>
      </c>
      <c r="H105" s="22" t="s">
        <v>3095</v>
      </c>
      <c r="I105" s="22" t="s">
        <v>3095</v>
      </c>
      <c r="J105" s="22" t="s">
        <v>3095</v>
      </c>
      <c r="K105" s="63">
        <v>290.0</v>
      </c>
      <c r="L105" s="23" t="s">
        <v>45</v>
      </c>
      <c r="M105" s="55" t="s">
        <v>6592</v>
      </c>
      <c r="N105" s="22" t="s">
        <v>6593</v>
      </c>
      <c r="O105" s="22" t="s">
        <v>6594</v>
      </c>
    </row>
    <row r="106" ht="45.0" customHeight="1">
      <c r="A106" s="55" t="s">
        <v>500</v>
      </c>
      <c r="B106" s="62" t="s">
        <v>6595</v>
      </c>
      <c r="C106" s="22" t="str">
        <f>IMAGE("https://raw.githubusercontent.com/ltdimages/images/refs/heads/main/Room_Style_Wrestling00.png")</f>
        <v/>
      </c>
      <c r="D106" s="22" t="s">
        <v>3095</v>
      </c>
      <c r="E106" s="22" t="s">
        <v>3095</v>
      </c>
      <c r="F106" s="22" t="s">
        <v>3095</v>
      </c>
      <c r="G106" s="22" t="s">
        <v>3095</v>
      </c>
      <c r="H106" s="22" t="s">
        <v>3095</v>
      </c>
      <c r="I106" s="22" t="s">
        <v>3095</v>
      </c>
      <c r="J106" s="22" t="s">
        <v>3095</v>
      </c>
      <c r="K106" s="63">
        <v>170.0</v>
      </c>
      <c r="L106" s="23" t="s">
        <v>49</v>
      </c>
      <c r="M106" s="55" t="s">
        <v>6263</v>
      </c>
      <c r="N106" s="22" t="s">
        <v>6596</v>
      </c>
      <c r="O106" s="22" t="s">
        <v>6597</v>
      </c>
    </row>
  </sheetData>
  <autoFilter ref="$A$1:$O$106">
    <sortState ref="A1:O106">
      <sortCondition ref="A1:A106"/>
      <sortCondition ref="O1:O106"/>
    </sortState>
  </autoFil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88"/>
    <col customWidth="1" min="2" max="2" width="24.38"/>
    <col customWidth="1" min="3" max="10" width="7.63"/>
    <col customWidth="1" min="11" max="11" width="15.13"/>
    <col customWidth="1" min="12" max="12" width="17.88"/>
    <col customWidth="1" min="13" max="13" width="34.63"/>
    <col customWidth="1" min="14" max="14" width="21.13"/>
  </cols>
  <sheetData>
    <row r="1" ht="31.5" customHeight="1">
      <c r="A1" s="58" t="s">
        <v>23</v>
      </c>
      <c r="B1" s="59" t="s">
        <v>25</v>
      </c>
      <c r="C1" s="60" t="s">
        <v>3059</v>
      </c>
      <c r="D1" s="60" t="s">
        <v>3060</v>
      </c>
      <c r="E1" s="60" t="s">
        <v>3061</v>
      </c>
      <c r="F1" s="60" t="s">
        <v>3062</v>
      </c>
      <c r="G1" s="60" t="s">
        <v>3063</v>
      </c>
      <c r="H1" s="60" t="s">
        <v>3064</v>
      </c>
      <c r="I1" s="60" t="s">
        <v>3065</v>
      </c>
      <c r="J1" s="60" t="s">
        <v>3066</v>
      </c>
      <c r="K1" s="19" t="s">
        <v>29</v>
      </c>
      <c r="L1" s="19" t="s">
        <v>1999</v>
      </c>
      <c r="M1" s="19" t="s">
        <v>39</v>
      </c>
      <c r="N1" s="58" t="s">
        <v>40</v>
      </c>
    </row>
    <row r="2" ht="45.0" customHeight="1">
      <c r="A2" s="55" t="s">
        <v>41</v>
      </c>
      <c r="B2" s="62" t="s">
        <v>6598</v>
      </c>
      <c r="C2" s="22" t="str">
        <f>IMAGE("https://raw.githubusercontent.com/ltdimages/images/refs/heads/main/ObjBenchPark.png")</f>
        <v/>
      </c>
      <c r="D2" s="22" t="str">
        <f>IMAGE("https://raw.githubusercontent.com/ltdimages/images/refs/heads/main/ObjBenchPark_01.png")</f>
        <v/>
      </c>
      <c r="E2" s="22" t="str">
        <f>IMAGE("https://raw.githubusercontent.com/ltdimages/images/refs/heads/main/ObjBenchPark_02.png")</f>
        <v/>
      </c>
      <c r="F2" s="22" t="str">
        <f>IMAGE("https://raw.githubusercontent.com/ltdimages/images/refs/heads/main/ObjBenchPark_03.png")</f>
        <v/>
      </c>
      <c r="G2" s="22" t="str">
        <f>IMAGE("https://raw.githubusercontent.com/ltdimages/images/refs/heads/main/ObjBenchPark_04.png")</f>
        <v/>
      </c>
      <c r="H2" s="22" t="str">
        <f>IMAGE("https://raw.githubusercontent.com/ltdimages/images/refs/heads/main/ObjBenchPark_05.png")</f>
        <v/>
      </c>
      <c r="I2" s="22" t="str">
        <f>IMAGE("https://raw.githubusercontent.com/ltdimages/images/refs/heads/main/ObjBenchPark_06.png")</f>
        <v/>
      </c>
      <c r="J2" s="22" t="str">
        <f>IMAGE("https://raw.githubusercontent.com/ltdimages/images/refs/heads/main/ObjBenchPark_07.png")</f>
        <v/>
      </c>
      <c r="K2" s="64">
        <v>25.0</v>
      </c>
      <c r="L2" s="65">
        <v>0.0</v>
      </c>
      <c r="M2" s="23" t="s">
        <v>6599</v>
      </c>
      <c r="N2" s="55" t="s">
        <v>6600</v>
      </c>
    </row>
    <row r="3" ht="45.0" customHeight="1">
      <c r="A3" s="55" t="s">
        <v>52</v>
      </c>
      <c r="B3" s="62" t="s">
        <v>6601</v>
      </c>
      <c r="C3" s="22" t="str">
        <f>IMAGE("https://raw.githubusercontent.com/ltdimages/images/refs/heads/main/ObjBenchHome.png")</f>
        <v/>
      </c>
      <c r="D3" s="22" t="str">
        <f>IMAGE("https://raw.githubusercontent.com/ltdimages/images/refs/heads/main/ObjBenchHome_01.png")</f>
        <v/>
      </c>
      <c r="E3" s="22" t="str">
        <f>IMAGE("https://raw.githubusercontent.com/ltdimages/images/refs/heads/main/ObjBenchHome_02.png")</f>
        <v/>
      </c>
      <c r="F3" s="22" t="str">
        <f>IMAGE("https://raw.githubusercontent.com/ltdimages/images/refs/heads/main/ObjBenchHome_03.png")</f>
        <v/>
      </c>
      <c r="G3" s="22" t="str">
        <f>IMAGE("https://raw.githubusercontent.com/ltdimages/images/refs/heads/main/ObjBenchHome_04.png")</f>
        <v/>
      </c>
      <c r="H3" s="22" t="str">
        <f>IMAGE("https://raw.githubusercontent.com/ltdimages/images/refs/heads/main/ObjBenchHome_05.png")</f>
        <v/>
      </c>
      <c r="I3" s="22" t="str">
        <f>IMAGE("https://raw.githubusercontent.com/ltdimages/images/refs/heads/main/ObjBenchHome_06.png")</f>
        <v/>
      </c>
      <c r="J3" s="22" t="str">
        <f>IMAGE("https://raw.githubusercontent.com/ltdimages/images/refs/heads/main/ObjBenchHome_07.png")</f>
        <v/>
      </c>
      <c r="K3" s="64">
        <v>21.0</v>
      </c>
      <c r="L3" s="65">
        <v>1.0</v>
      </c>
      <c r="M3" s="23" t="s">
        <v>6602</v>
      </c>
      <c r="N3" s="55" t="s">
        <v>6603</v>
      </c>
    </row>
    <row r="4" ht="45.0" customHeight="1">
      <c r="A4" s="55" t="s">
        <v>60</v>
      </c>
      <c r="B4" s="62" t="s">
        <v>6604</v>
      </c>
      <c r="C4" s="22" t="str">
        <f>IMAGE("https://raw.githubusercontent.com/ltdimages/images/refs/heads/main/ObjBenchTerrace.png")</f>
        <v/>
      </c>
      <c r="D4" s="22" t="str">
        <f>IMAGE("https://raw.githubusercontent.com/ltdimages/images/refs/heads/main/ObjBenchTerrace_01.png")</f>
        <v/>
      </c>
      <c r="E4" s="22" t="str">
        <f>IMAGE("https://raw.githubusercontent.com/ltdimages/images/refs/heads/main/ObjBenchTerrace_02.png")</f>
        <v/>
      </c>
      <c r="F4" s="22" t="str">
        <f>IMAGE("https://raw.githubusercontent.com/ltdimages/images/refs/heads/main/ObjBenchTerrace_03.png")</f>
        <v/>
      </c>
      <c r="G4" s="22" t="str">
        <f>IMAGE("https://raw.githubusercontent.com/ltdimages/images/refs/heads/main/ObjBenchTerrace_04.png")</f>
        <v/>
      </c>
      <c r="H4" s="22" t="str">
        <f>IMAGE("https://raw.githubusercontent.com/ltdimages/images/refs/heads/main/ObjBenchTerrace_05.png")</f>
        <v/>
      </c>
      <c r="I4" s="22" t="str">
        <f>IMAGE("https://raw.githubusercontent.com/ltdimages/images/refs/heads/main/ObjBenchTerrace_06.png")</f>
        <v/>
      </c>
      <c r="J4" s="22" t="str">
        <f>IMAGE("https://raw.githubusercontent.com/ltdimages/images/refs/heads/main/ObjBenchTerrace_07.png")</f>
        <v/>
      </c>
      <c r="K4" s="64">
        <v>43.0</v>
      </c>
      <c r="L4" s="65">
        <v>36.0</v>
      </c>
      <c r="M4" s="23" t="s">
        <v>6605</v>
      </c>
      <c r="N4" s="55" t="s">
        <v>6606</v>
      </c>
    </row>
    <row r="5" ht="45.0" customHeight="1">
      <c r="A5" s="55" t="s">
        <v>65</v>
      </c>
      <c r="B5" s="62" t="s">
        <v>6607</v>
      </c>
      <c r="C5" s="22" t="str">
        <f>IMAGE("https://raw.githubusercontent.com/ltdimages/images/refs/heads/main/ObjTableBench.png")</f>
        <v/>
      </c>
      <c r="D5" s="22" t="str">
        <f>IMAGE("https://raw.githubusercontent.com/ltdimages/images/refs/heads/main/ObjTableBench_01.png")</f>
        <v/>
      </c>
      <c r="E5" s="22" t="str">
        <f>IMAGE("https://raw.githubusercontent.com/ltdimages/images/refs/heads/main/ObjTableBench_02.png")</f>
        <v/>
      </c>
      <c r="F5" s="22" t="str">
        <f>IMAGE("https://raw.githubusercontent.com/ltdimages/images/refs/heads/main/ObjTableBench_03.png")</f>
        <v/>
      </c>
      <c r="G5" s="22" t="str">
        <f>IMAGE("https://raw.githubusercontent.com/ltdimages/images/refs/heads/main/ObjTableBench_04.png")</f>
        <v/>
      </c>
      <c r="H5" s="22" t="str">
        <f>IMAGE("https://raw.githubusercontent.com/ltdimages/images/refs/heads/main/ObjTableBench_05.png")</f>
        <v/>
      </c>
      <c r="I5" s="22" t="str">
        <f>IMAGE("https://raw.githubusercontent.com/ltdimages/images/refs/heads/main/ObjTableBench_06.png")</f>
        <v/>
      </c>
      <c r="J5" s="22" t="str">
        <f>IMAGE("https://raw.githubusercontent.com/ltdimages/images/refs/heads/main/ObjTableBench_07.png")</f>
        <v/>
      </c>
      <c r="K5" s="64">
        <v>62.0</v>
      </c>
      <c r="L5" s="65">
        <v>17.0</v>
      </c>
      <c r="M5" s="23" t="s">
        <v>6608</v>
      </c>
      <c r="N5" s="55" t="s">
        <v>6609</v>
      </c>
    </row>
    <row r="6" ht="45.0" customHeight="1">
      <c r="A6" s="55" t="s">
        <v>70</v>
      </c>
      <c r="B6" s="62" t="s">
        <v>6610</v>
      </c>
      <c r="C6" s="22" t="str">
        <f>IMAGE("https://raw.githubusercontent.com/ltdimages/images/refs/heads/main/ObjStreetLamp.png")</f>
        <v/>
      </c>
      <c r="D6" s="22" t="str">
        <f>IMAGE("https://raw.githubusercontent.com/ltdimages/images/refs/heads/main/ObjStreetLamp_01.png")</f>
        <v/>
      </c>
      <c r="E6" s="22" t="str">
        <f>IMAGE("https://raw.githubusercontent.com/ltdimages/images/refs/heads/main/ObjStreetLamp_02.png")</f>
        <v/>
      </c>
      <c r="F6" s="22" t="str">
        <f>IMAGE("https://raw.githubusercontent.com/ltdimages/images/refs/heads/main/ObjStreetLamp_03.png")</f>
        <v/>
      </c>
      <c r="G6" s="22" t="str">
        <f>IMAGE("https://raw.githubusercontent.com/ltdimages/images/refs/heads/main/ObjStreetLamp_04.png")</f>
        <v/>
      </c>
      <c r="H6" s="22" t="str">
        <f>IMAGE("https://raw.githubusercontent.com/ltdimages/images/refs/heads/main/ObjStreetLamp_05.png")</f>
        <v/>
      </c>
      <c r="I6" s="22" t="str">
        <f>IMAGE("https://raw.githubusercontent.com/ltdimages/images/refs/heads/main/ObjStreetLamp_06.png")</f>
        <v/>
      </c>
      <c r="J6" s="22" t="str">
        <f>IMAGE("https://raw.githubusercontent.com/ltdimages/images/refs/heads/main/ObjStreetLamp_07.png")</f>
        <v/>
      </c>
      <c r="K6" s="64">
        <v>10.0</v>
      </c>
      <c r="L6" s="65">
        <v>0.0</v>
      </c>
      <c r="M6" s="23" t="s">
        <v>6611</v>
      </c>
      <c r="N6" s="55" t="s">
        <v>6612</v>
      </c>
    </row>
    <row r="7" ht="45.0" customHeight="1">
      <c r="A7" s="55" t="s">
        <v>74</v>
      </c>
      <c r="B7" s="62" t="s">
        <v>6613</v>
      </c>
      <c r="C7" s="22" t="str">
        <f>IMAGE("https://raw.githubusercontent.com/ltdimages/images/refs/heads/main/ObjStreetLampRetro.png")</f>
        <v/>
      </c>
      <c r="D7" s="22" t="str">
        <f>IMAGE("https://raw.githubusercontent.com/ltdimages/images/refs/heads/main/ObjStreetLampRetro_01.png")</f>
        <v/>
      </c>
      <c r="E7" s="22" t="str">
        <f>IMAGE("https://raw.githubusercontent.com/ltdimages/images/refs/heads/main/ObjStreetLampRetro_02.png")</f>
        <v/>
      </c>
      <c r="F7" s="22" t="str">
        <f>IMAGE("https://raw.githubusercontent.com/ltdimages/images/refs/heads/main/ObjStreetLampRetro_03.png")</f>
        <v/>
      </c>
      <c r="G7" s="22" t="str">
        <f>IMAGE("https://raw.githubusercontent.com/ltdimages/images/refs/heads/main/ObjStreetLampRetro_04.png")</f>
        <v/>
      </c>
      <c r="H7" s="22" t="str">
        <f>IMAGE("https://raw.githubusercontent.com/ltdimages/images/refs/heads/main/ObjStreetLampRetro_05.png")</f>
        <v/>
      </c>
      <c r="I7" s="22" t="str">
        <f>IMAGE("https://raw.githubusercontent.com/ltdimages/images/refs/heads/main/ObjStreetLampRetro_06.png")</f>
        <v/>
      </c>
      <c r="J7" s="22" t="str">
        <f>IMAGE("https://raw.githubusercontent.com/ltdimages/images/refs/heads/main/ObjStreetLampRetro_07.png")</f>
        <v/>
      </c>
      <c r="K7" s="64">
        <v>15.0</v>
      </c>
      <c r="L7" s="65">
        <v>1.0</v>
      </c>
      <c r="M7" s="23" t="s">
        <v>6614</v>
      </c>
      <c r="N7" s="55" t="s">
        <v>6615</v>
      </c>
    </row>
    <row r="8" ht="45.0" customHeight="1">
      <c r="A8" s="55" t="s">
        <v>78</v>
      </c>
      <c r="B8" s="62" t="s">
        <v>6616</v>
      </c>
      <c r="C8" s="22" t="str">
        <f>IMAGE("https://raw.githubusercontent.com/ltdimages/images/refs/heads/main/ObjLanternSakura.png")</f>
        <v/>
      </c>
      <c r="D8" s="22" t="str">
        <f>IMAGE("https://raw.githubusercontent.com/ltdimages/images/refs/heads/main/ObjLanternSakura_01.png")</f>
        <v/>
      </c>
      <c r="E8" s="22" t="str">
        <f>IMAGE("https://raw.githubusercontent.com/ltdimages/images/refs/heads/main/ObjLanternSakura_02.png")</f>
        <v/>
      </c>
      <c r="F8" s="22" t="str">
        <f>IMAGE("https://raw.githubusercontent.com/ltdimages/images/refs/heads/main/ObjLanternSakura_03.png")</f>
        <v/>
      </c>
      <c r="G8" s="22" t="str">
        <f>IMAGE("https://raw.githubusercontent.com/ltdimages/images/refs/heads/main/ObjLanternSakura_04.png")</f>
        <v/>
      </c>
      <c r="H8" s="22" t="str">
        <f>IMAGE("https://raw.githubusercontent.com/ltdimages/images/refs/heads/main/ObjLanternSakura_05.png")</f>
        <v/>
      </c>
      <c r="I8" s="22" t="s">
        <v>3095</v>
      </c>
      <c r="J8" s="22" t="s">
        <v>3095</v>
      </c>
      <c r="K8" s="64">
        <v>7.0</v>
      </c>
      <c r="L8" s="65" t="s">
        <v>6520</v>
      </c>
      <c r="M8" s="23" t="s">
        <v>6617</v>
      </c>
      <c r="N8" s="55" t="s">
        <v>6618</v>
      </c>
    </row>
    <row r="9" ht="45.0" customHeight="1">
      <c r="A9" s="55" t="s">
        <v>83</v>
      </c>
      <c r="B9" s="62" t="s">
        <v>6619</v>
      </c>
      <c r="C9" s="22" t="str">
        <f>IMAGE("https://raw.githubusercontent.com/ltdimages/images/refs/heads/main/ObjGrandlight.png")</f>
        <v/>
      </c>
      <c r="D9" s="22" t="str">
        <f>IMAGE("https://raw.githubusercontent.com/ltdimages/images/refs/heads/main/ObjGrandlight_01.png")</f>
        <v/>
      </c>
      <c r="E9" s="22" t="str">
        <f>IMAGE("https://raw.githubusercontent.com/ltdimages/images/refs/heads/main/ObjGrandlight_02.png")</f>
        <v/>
      </c>
      <c r="F9" s="22" t="str">
        <f>IMAGE("https://raw.githubusercontent.com/ltdimages/images/refs/heads/main/ObjGrandlight_03.png")</f>
        <v/>
      </c>
      <c r="G9" s="22" t="str">
        <f>IMAGE("https://raw.githubusercontent.com/ltdimages/images/refs/heads/main/ObjGrandlight_04.png")</f>
        <v/>
      </c>
      <c r="H9" s="22" t="str">
        <f>IMAGE("https://raw.githubusercontent.com/ltdimages/images/refs/heads/main/ObjGrandlight_05.png")</f>
        <v/>
      </c>
      <c r="I9" s="22" t="str">
        <f>IMAGE("https://raw.githubusercontent.com/ltdimages/images/refs/heads/main/ObjGrandlight_06.png")</f>
        <v/>
      </c>
      <c r="J9" s="22" t="str">
        <f>IMAGE("https://raw.githubusercontent.com/ltdimages/images/refs/heads/main/ObjGrandlight_07.png")</f>
        <v/>
      </c>
      <c r="K9" s="64">
        <v>10.0</v>
      </c>
      <c r="L9" s="65">
        <v>39.0</v>
      </c>
      <c r="M9" s="23" t="s">
        <v>6620</v>
      </c>
      <c r="N9" s="55" t="s">
        <v>6621</v>
      </c>
    </row>
    <row r="10" ht="45.0" customHeight="1">
      <c r="A10" s="55" t="s">
        <v>89</v>
      </c>
      <c r="B10" s="62" t="s">
        <v>6622</v>
      </c>
      <c r="C10" s="22" t="str">
        <f>IMAGE("https://raw.githubusercontent.com/ltdimages/images/refs/heads/main/ObjLighthouse.png")</f>
        <v/>
      </c>
      <c r="D10" s="22" t="str">
        <f>IMAGE("https://raw.githubusercontent.com/ltdimages/images/refs/heads/main/ObjLighthouse_01.png")</f>
        <v/>
      </c>
      <c r="E10" s="22" t="str">
        <f>IMAGE("https://raw.githubusercontent.com/ltdimages/images/refs/heads/main/ObjLighthouse_02.png")</f>
        <v/>
      </c>
      <c r="F10" s="22" t="str">
        <f>IMAGE("https://raw.githubusercontent.com/ltdimages/images/refs/heads/main/ObjLighthouse_03.png")</f>
        <v/>
      </c>
      <c r="G10" s="22" t="str">
        <f>IMAGE("https://raw.githubusercontent.com/ltdimages/images/refs/heads/main/ObjLighthouse_04.png")</f>
        <v/>
      </c>
      <c r="H10" s="22" t="str">
        <f>IMAGE("https://raw.githubusercontent.com/ltdimages/images/refs/heads/main/ObjLighthouse_05.png")</f>
        <v/>
      </c>
      <c r="I10" s="22" t="str">
        <f>IMAGE("https://raw.githubusercontent.com/ltdimages/images/refs/heads/main/ObjLighthouse_06.png")</f>
        <v/>
      </c>
      <c r="J10" s="22" t="str">
        <f>IMAGE("https://raw.githubusercontent.com/ltdimages/images/refs/heads/main/ObjLighthouse_07.png")</f>
        <v/>
      </c>
      <c r="K10" s="64">
        <v>100.0</v>
      </c>
      <c r="L10" s="65">
        <v>72.0</v>
      </c>
      <c r="M10" s="23" t="s">
        <v>6623</v>
      </c>
      <c r="N10" s="55" t="s">
        <v>6624</v>
      </c>
    </row>
    <row r="11" ht="45.0" customHeight="1">
      <c r="A11" s="55" t="s">
        <v>94</v>
      </c>
      <c r="B11" s="62" t="s">
        <v>6625</v>
      </c>
      <c r="C11" s="22" t="str">
        <f>IMAGE("https://raw.githubusercontent.com/ltdimages/images/refs/heads/main/ObjJackOLantern.png")</f>
        <v/>
      </c>
      <c r="D11" s="22" t="str">
        <f>IMAGE("https://raw.githubusercontent.com/ltdimages/images/refs/heads/main/ObjJackOLantern_01.png")</f>
        <v/>
      </c>
      <c r="E11" s="22" t="str">
        <f>IMAGE("https://raw.githubusercontent.com/ltdimages/images/refs/heads/main/ObjJackOLantern_02.png")</f>
        <v/>
      </c>
      <c r="F11" s="22" t="str">
        <f>IMAGE("https://raw.githubusercontent.com/ltdimages/images/refs/heads/main/ObjJackOLantern_03.png")</f>
        <v/>
      </c>
      <c r="G11" s="22" t="str">
        <f>IMAGE("https://raw.githubusercontent.com/ltdimages/images/refs/heads/main/ObjJackOLantern_04.png")</f>
        <v/>
      </c>
      <c r="H11" s="22" t="str">
        <f>IMAGE("https://raw.githubusercontent.com/ltdimages/images/refs/heads/main/ObjJackOLantern_05.png")</f>
        <v/>
      </c>
      <c r="I11" s="22" t="str">
        <f>IMAGE("https://raw.githubusercontent.com/ltdimages/images/refs/heads/main/ObjJackOLantern_06.png")</f>
        <v/>
      </c>
      <c r="J11" s="22" t="str">
        <f>IMAGE("https://raw.githubusercontent.com/ltdimages/images/refs/heads/main/ObjJackOLantern_07.png")</f>
        <v/>
      </c>
      <c r="K11" s="64">
        <v>15.0</v>
      </c>
      <c r="L11" s="65" t="s">
        <v>6592</v>
      </c>
      <c r="M11" s="23" t="s">
        <v>6626</v>
      </c>
      <c r="N11" s="55" t="s">
        <v>6627</v>
      </c>
    </row>
    <row r="12" ht="45.0" customHeight="1">
      <c r="A12" s="55" t="s">
        <v>98</v>
      </c>
      <c r="B12" s="62" t="s">
        <v>6628</v>
      </c>
      <c r="C12" s="22" t="str">
        <f>IMAGE("https://raw.githubusercontent.com/ltdimages/images/refs/heads/main/ObjTrafficLight.png")</f>
        <v/>
      </c>
      <c r="D12" s="22" t="str">
        <f>IMAGE("https://raw.githubusercontent.com/ltdimages/images/refs/heads/main/ObjTrafficLight_01.png")</f>
        <v/>
      </c>
      <c r="E12" s="22" t="str">
        <f>IMAGE("https://raw.githubusercontent.com/ltdimages/images/refs/heads/main/ObjTrafficLight_02.png")</f>
        <v/>
      </c>
      <c r="F12" s="22" t="str">
        <f>IMAGE("https://raw.githubusercontent.com/ltdimages/images/refs/heads/main/ObjTrafficLight_03.png")</f>
        <v/>
      </c>
      <c r="G12" s="22" t="str">
        <f>IMAGE("https://raw.githubusercontent.com/ltdimages/images/refs/heads/main/ObjTrafficLight_04.png")</f>
        <v/>
      </c>
      <c r="H12" s="22" t="str">
        <f>IMAGE("https://raw.githubusercontent.com/ltdimages/images/refs/heads/main/ObjTrafficLight_05.png")</f>
        <v/>
      </c>
      <c r="I12" s="22" t="str">
        <f>IMAGE("https://raw.githubusercontent.com/ltdimages/images/refs/heads/main/ObjTrafficLight_06.png")</f>
        <v/>
      </c>
      <c r="J12" s="22" t="str">
        <f>IMAGE("https://raw.githubusercontent.com/ltdimages/images/refs/heads/main/ObjTrafficLight_07.png")</f>
        <v/>
      </c>
      <c r="K12" s="64">
        <v>45.0</v>
      </c>
      <c r="L12" s="65">
        <v>7.0</v>
      </c>
      <c r="M12" s="23" t="s">
        <v>6629</v>
      </c>
      <c r="N12" s="55" t="s">
        <v>6630</v>
      </c>
    </row>
    <row r="13" ht="45.0" customHeight="1">
      <c r="A13" s="55" t="s">
        <v>104</v>
      </c>
      <c r="B13" s="62" t="s">
        <v>6631</v>
      </c>
      <c r="C13" s="22" t="str">
        <f>IMAGE("https://raw.githubusercontent.com/ltdimages/images/refs/heads/main/ObjRoadSign.png")</f>
        <v/>
      </c>
      <c r="D13" s="22" t="str">
        <f>IMAGE("https://raw.githubusercontent.com/ltdimages/images/refs/heads/main/ObjRoadSign_01.png")</f>
        <v/>
      </c>
      <c r="E13" s="22" t="s">
        <v>3095</v>
      </c>
      <c r="F13" s="22" t="s">
        <v>3095</v>
      </c>
      <c r="G13" s="22" t="s">
        <v>3095</v>
      </c>
      <c r="H13" s="22" t="s">
        <v>3095</v>
      </c>
      <c r="I13" s="22" t="s">
        <v>3095</v>
      </c>
      <c r="J13" s="22" t="s">
        <v>3095</v>
      </c>
      <c r="K13" s="64">
        <v>20.0</v>
      </c>
      <c r="L13" s="65">
        <v>1.0</v>
      </c>
      <c r="M13" s="23" t="s">
        <v>6632</v>
      </c>
      <c r="N13" s="55" t="s">
        <v>6633</v>
      </c>
    </row>
    <row r="14" ht="45.0" customHeight="1">
      <c r="A14" s="55" t="s">
        <v>109</v>
      </c>
      <c r="B14" s="62" t="s">
        <v>6634</v>
      </c>
      <c r="C14" s="22" t="str">
        <f>IMAGE("https://raw.githubusercontent.com/ltdimages/images/refs/heads/main/ObjSafetyCone.png")</f>
        <v/>
      </c>
      <c r="D14" s="22" t="str">
        <f>IMAGE("https://raw.githubusercontent.com/ltdimages/images/refs/heads/main/ObjSafetyCone_01.png")</f>
        <v/>
      </c>
      <c r="E14" s="22" t="str">
        <f>IMAGE("https://raw.githubusercontent.com/ltdimages/images/refs/heads/main/ObjSafetyCone_02.png")</f>
        <v/>
      </c>
      <c r="F14" s="22" t="str">
        <f>IMAGE("https://raw.githubusercontent.com/ltdimages/images/refs/heads/main/ObjSafetyCone_03.png")</f>
        <v/>
      </c>
      <c r="G14" s="22" t="str">
        <f>IMAGE("https://raw.githubusercontent.com/ltdimages/images/refs/heads/main/ObjSafetyCone_04.png")</f>
        <v/>
      </c>
      <c r="H14" s="22" t="str">
        <f>IMAGE("https://raw.githubusercontent.com/ltdimages/images/refs/heads/main/ObjSafetyCone_05.png")</f>
        <v/>
      </c>
      <c r="I14" s="22" t="str">
        <f>IMAGE("https://raw.githubusercontent.com/ltdimages/images/refs/heads/main/ObjSafetyCone_06.png")</f>
        <v/>
      </c>
      <c r="J14" s="22" t="s">
        <v>3095</v>
      </c>
      <c r="K14" s="64">
        <v>10.0</v>
      </c>
      <c r="L14" s="65">
        <v>1.0</v>
      </c>
      <c r="M14" s="23" t="s">
        <v>6635</v>
      </c>
      <c r="N14" s="55" t="s">
        <v>6636</v>
      </c>
    </row>
    <row r="15" ht="45.0" customHeight="1">
      <c r="A15" s="55" t="s">
        <v>115</v>
      </c>
      <c r="B15" s="62" t="s">
        <v>6637</v>
      </c>
      <c r="C15" s="22" t="str">
        <f>IMAGE("https://raw.githubusercontent.com/ltdimages/images/refs/heads/main/ObjVendingMachine.png")</f>
        <v/>
      </c>
      <c r="D15" s="22" t="str">
        <f>IMAGE("https://raw.githubusercontent.com/ltdimages/images/refs/heads/main/ObjVendingMachine_01.png")</f>
        <v/>
      </c>
      <c r="E15" s="22" t="str">
        <f>IMAGE("https://raw.githubusercontent.com/ltdimages/images/refs/heads/main/ObjVendingMachine_02.png")</f>
        <v/>
      </c>
      <c r="F15" s="22" t="str">
        <f>IMAGE("https://raw.githubusercontent.com/ltdimages/images/refs/heads/main/ObjVendingMachine_03.png")</f>
        <v/>
      </c>
      <c r="G15" s="22" t="str">
        <f>IMAGE("https://raw.githubusercontent.com/ltdimages/images/refs/heads/main/ObjVendingMachine_04.png")</f>
        <v/>
      </c>
      <c r="H15" s="22" t="str">
        <f>IMAGE("https://raw.githubusercontent.com/ltdimages/images/refs/heads/main/ObjVendingMachine_05.png")</f>
        <v/>
      </c>
      <c r="I15" s="22" t="s">
        <v>3095</v>
      </c>
      <c r="J15" s="22" t="s">
        <v>3095</v>
      </c>
      <c r="K15" s="64">
        <v>120.0</v>
      </c>
      <c r="L15" s="65">
        <v>0.0</v>
      </c>
      <c r="M15" s="23" t="s">
        <v>6638</v>
      </c>
      <c r="N15" s="55" t="s">
        <v>6639</v>
      </c>
    </row>
    <row r="16" ht="45.0" customHeight="1">
      <c r="A16" s="55" t="s">
        <v>119</v>
      </c>
      <c r="B16" s="62" t="s">
        <v>6640</v>
      </c>
      <c r="C16" s="22" t="str">
        <f>IMAGE("https://raw.githubusercontent.com/ltdimages/images/refs/heads/main/ObjTrashCan.png")</f>
        <v/>
      </c>
      <c r="D16" s="22" t="str">
        <f>IMAGE("https://raw.githubusercontent.com/ltdimages/images/refs/heads/main/ObjTrashCan_01.png")</f>
        <v/>
      </c>
      <c r="E16" s="22" t="str">
        <f>IMAGE("https://raw.githubusercontent.com/ltdimages/images/refs/heads/main/ObjTrashCan_02.png")</f>
        <v/>
      </c>
      <c r="F16" s="22" t="str">
        <f>IMAGE("https://raw.githubusercontent.com/ltdimages/images/refs/heads/main/ObjTrashCan_03.png")</f>
        <v/>
      </c>
      <c r="G16" s="22" t="str">
        <f>IMAGE("https://raw.githubusercontent.com/ltdimages/images/refs/heads/main/ObjTrashCan_04.png")</f>
        <v/>
      </c>
      <c r="H16" s="22" t="str">
        <f>IMAGE("https://raw.githubusercontent.com/ltdimages/images/refs/heads/main/ObjTrashCan_05.png")</f>
        <v/>
      </c>
      <c r="I16" s="22" t="str">
        <f>IMAGE("https://raw.githubusercontent.com/ltdimages/images/refs/heads/main/ObjTrashCan_06.png")</f>
        <v/>
      </c>
      <c r="J16" s="22" t="s">
        <v>3095</v>
      </c>
      <c r="K16" s="64">
        <v>40.0</v>
      </c>
      <c r="L16" s="65">
        <v>1.0</v>
      </c>
      <c r="M16" s="23" t="s">
        <v>6641</v>
      </c>
      <c r="N16" s="55" t="s">
        <v>6642</v>
      </c>
    </row>
    <row r="17" ht="45.0" customHeight="1">
      <c r="A17" s="55" t="s">
        <v>124</v>
      </c>
      <c r="B17" s="62" t="s">
        <v>6643</v>
      </c>
      <c r="C17" s="22" t="str">
        <f>IMAGE("https://raw.githubusercontent.com/ltdimages/images/refs/heads/main/ObjClockTower.png")</f>
        <v/>
      </c>
      <c r="D17" s="22" t="str">
        <f>IMAGE("https://raw.githubusercontent.com/ltdimages/images/refs/heads/main/ObjClockTower_01.png")</f>
        <v/>
      </c>
      <c r="E17" s="22" t="str">
        <f>IMAGE("https://raw.githubusercontent.com/ltdimages/images/refs/heads/main/ObjClockTower_02.png")</f>
        <v/>
      </c>
      <c r="F17" s="22" t="str">
        <f>IMAGE("https://raw.githubusercontent.com/ltdimages/images/refs/heads/main/ObjClockTower_03.png")</f>
        <v/>
      </c>
      <c r="G17" s="22" t="str">
        <f>IMAGE("https://raw.githubusercontent.com/ltdimages/images/refs/heads/main/ObjClockTower_04.png")</f>
        <v/>
      </c>
      <c r="H17" s="22" t="str">
        <f>IMAGE("https://raw.githubusercontent.com/ltdimages/images/refs/heads/main/ObjClockTower_05.png")</f>
        <v/>
      </c>
      <c r="I17" s="22" t="str">
        <f>IMAGE("https://raw.githubusercontent.com/ltdimages/images/refs/heads/main/ObjClockTower_06.png")</f>
        <v/>
      </c>
      <c r="J17" s="22" t="str">
        <f>IMAGE("https://raw.githubusercontent.com/ltdimages/images/refs/heads/main/ObjClockTower_07.png")</f>
        <v/>
      </c>
      <c r="K17" s="64">
        <v>30.0</v>
      </c>
      <c r="L17" s="65">
        <v>47.0</v>
      </c>
      <c r="M17" s="23" t="s">
        <v>6644</v>
      </c>
      <c r="N17" s="55" t="s">
        <v>6645</v>
      </c>
    </row>
    <row r="18" ht="45.0" customHeight="1">
      <c r="A18" s="55" t="s">
        <v>129</v>
      </c>
      <c r="B18" s="62" t="s">
        <v>6646</v>
      </c>
      <c r="C18" s="22" t="str">
        <f>IMAGE("https://raw.githubusercontent.com/ltdimages/images/refs/heads/main/ObjBell.png")</f>
        <v/>
      </c>
      <c r="D18" s="22" t="str">
        <f>IMAGE("https://raw.githubusercontent.com/ltdimages/images/refs/heads/main/ObjBell_01.png")</f>
        <v/>
      </c>
      <c r="E18" s="22" t="str">
        <f>IMAGE("https://raw.githubusercontent.com/ltdimages/images/refs/heads/main/ObjBell_02.png")</f>
        <v/>
      </c>
      <c r="F18" s="22" t="str">
        <f>IMAGE("https://raw.githubusercontent.com/ltdimages/images/refs/heads/main/ObjBell_03.png")</f>
        <v/>
      </c>
      <c r="G18" s="22" t="str">
        <f>IMAGE("https://raw.githubusercontent.com/ltdimages/images/refs/heads/main/ObjBell_04.png")</f>
        <v/>
      </c>
      <c r="H18" s="22" t="str">
        <f>IMAGE("https://raw.githubusercontent.com/ltdimages/images/refs/heads/main/ObjBell_05.png")</f>
        <v/>
      </c>
      <c r="I18" s="22" t="str">
        <f>IMAGE("https://raw.githubusercontent.com/ltdimages/images/refs/heads/main/ObjBell_06.png")</f>
        <v/>
      </c>
      <c r="J18" s="22" t="str">
        <f>IMAGE("https://raw.githubusercontent.com/ltdimages/images/refs/heads/main/ObjBell_07.png")</f>
        <v/>
      </c>
      <c r="K18" s="64">
        <v>22.0</v>
      </c>
      <c r="L18" s="65">
        <v>80.0</v>
      </c>
      <c r="M18" s="23" t="s">
        <v>6647</v>
      </c>
      <c r="N18" s="55" t="s">
        <v>6648</v>
      </c>
    </row>
    <row r="19" ht="45.0" customHeight="1">
      <c r="A19" s="55" t="s">
        <v>134</v>
      </c>
      <c r="B19" s="62" t="s">
        <v>6649</v>
      </c>
      <c r="C19" s="22" t="str">
        <f>IMAGE("https://raw.githubusercontent.com/ltdimages/images/refs/heads/main/ObjDrinkingFountain.png")</f>
        <v/>
      </c>
      <c r="D19" s="22" t="str">
        <f>IMAGE("https://raw.githubusercontent.com/ltdimages/images/refs/heads/main/ObjDrinkingFountain_01.png")</f>
        <v/>
      </c>
      <c r="E19" s="22" t="str">
        <f>IMAGE("https://raw.githubusercontent.com/ltdimages/images/refs/heads/main/ObjDrinkingFountain_02.png")</f>
        <v/>
      </c>
      <c r="F19" s="22" t="str">
        <f>IMAGE("https://raw.githubusercontent.com/ltdimages/images/refs/heads/main/ObjDrinkingFountain_03.png")</f>
        <v/>
      </c>
      <c r="G19" s="22" t="str">
        <f>IMAGE("https://raw.githubusercontent.com/ltdimages/images/refs/heads/main/ObjDrinkingFountain_04.png")</f>
        <v/>
      </c>
      <c r="H19" s="22" t="str">
        <f>IMAGE("https://raw.githubusercontent.com/ltdimages/images/refs/heads/main/ObjDrinkingFountain_05.png")</f>
        <v/>
      </c>
      <c r="I19" s="22" t="str">
        <f>IMAGE("https://raw.githubusercontent.com/ltdimages/images/refs/heads/main/ObjDrinkingFountain_06.png")</f>
        <v/>
      </c>
      <c r="J19" s="22" t="str">
        <f>IMAGE("https://raw.githubusercontent.com/ltdimages/images/refs/heads/main/ObjDrinkingFountain_07.png")</f>
        <v/>
      </c>
      <c r="K19" s="64">
        <v>12.0</v>
      </c>
      <c r="L19" s="65">
        <v>57.0</v>
      </c>
      <c r="M19" s="23" t="s">
        <v>6650</v>
      </c>
      <c r="N19" s="55" t="s">
        <v>6651</v>
      </c>
    </row>
    <row r="20" ht="45.0" customHeight="1">
      <c r="A20" s="55" t="s">
        <v>138</v>
      </c>
      <c r="B20" s="62" t="s">
        <v>6652</v>
      </c>
      <c r="C20" s="22" t="str">
        <f>IMAGE("https://raw.githubusercontent.com/ltdimages/images/refs/heads/main/ObjShowerOutdoor.png")</f>
        <v/>
      </c>
      <c r="D20" s="22" t="str">
        <f>IMAGE("https://raw.githubusercontent.com/ltdimages/images/refs/heads/main/ObjShowerOutdoor_01.png")</f>
        <v/>
      </c>
      <c r="E20" s="22" t="str">
        <f>IMAGE("https://raw.githubusercontent.com/ltdimages/images/refs/heads/main/ObjShowerOutdoor_02.png")</f>
        <v/>
      </c>
      <c r="F20" s="22" t="str">
        <f>IMAGE("https://raw.githubusercontent.com/ltdimages/images/refs/heads/main/ObjShowerOutdoor_03.png")</f>
        <v/>
      </c>
      <c r="G20" s="22" t="str">
        <f>IMAGE("https://raw.githubusercontent.com/ltdimages/images/refs/heads/main/ObjShowerOutdoor_04.png")</f>
        <v/>
      </c>
      <c r="H20" s="22" t="str">
        <f>IMAGE("https://raw.githubusercontent.com/ltdimages/images/refs/heads/main/ObjShowerOutdoor_05.png")</f>
        <v/>
      </c>
      <c r="I20" s="22" t="str">
        <f>IMAGE("https://raw.githubusercontent.com/ltdimages/images/refs/heads/main/ObjShowerOutdoor_06.png")</f>
        <v/>
      </c>
      <c r="J20" s="22" t="str">
        <f>IMAGE("https://raw.githubusercontent.com/ltdimages/images/refs/heads/main/ObjShowerOutdoor_07.png")</f>
        <v/>
      </c>
      <c r="K20" s="64">
        <v>40.0</v>
      </c>
      <c r="L20" s="65">
        <v>14.0</v>
      </c>
      <c r="M20" s="23" t="s">
        <v>6653</v>
      </c>
      <c r="N20" s="55" t="s">
        <v>6654</v>
      </c>
    </row>
    <row r="21" ht="45.0" customHeight="1">
      <c r="A21" s="55" t="s">
        <v>142</v>
      </c>
      <c r="B21" s="62" t="s">
        <v>6655</v>
      </c>
      <c r="C21" s="22" t="str">
        <f>IMAGE("https://raw.githubusercontent.com/ltdimages/images/refs/heads/main/ObjSprinkler.png")</f>
        <v/>
      </c>
      <c r="D21" s="22" t="str">
        <f>IMAGE("https://raw.githubusercontent.com/ltdimages/images/refs/heads/main/ObjSprinkler_01.png")</f>
        <v/>
      </c>
      <c r="E21" s="22" t="str">
        <f>IMAGE("https://raw.githubusercontent.com/ltdimages/images/refs/heads/main/ObjSprinkler_02.png")</f>
        <v/>
      </c>
      <c r="F21" s="22" t="str">
        <f>IMAGE("https://raw.githubusercontent.com/ltdimages/images/refs/heads/main/ObjSprinkler_03.png")</f>
        <v/>
      </c>
      <c r="G21" s="22" t="str">
        <f>IMAGE("https://raw.githubusercontent.com/ltdimages/images/refs/heads/main/ObjSprinkler_04.png")</f>
        <v/>
      </c>
      <c r="H21" s="22" t="str">
        <f>IMAGE("https://raw.githubusercontent.com/ltdimages/images/refs/heads/main/ObjSprinkler_05.png")</f>
        <v/>
      </c>
      <c r="I21" s="22" t="s">
        <v>3095</v>
      </c>
      <c r="J21" s="22" t="s">
        <v>3095</v>
      </c>
      <c r="K21" s="64">
        <v>35.0</v>
      </c>
      <c r="L21" s="65">
        <v>24.0</v>
      </c>
      <c r="M21" s="23" t="s">
        <v>6656</v>
      </c>
      <c r="N21" s="55" t="s">
        <v>6657</v>
      </c>
    </row>
    <row r="22" ht="45.0" customHeight="1">
      <c r="A22" s="55" t="s">
        <v>147</v>
      </c>
      <c r="B22" s="62" t="s">
        <v>6658</v>
      </c>
      <c r="C22" s="22" t="str">
        <f>IMAGE("https://raw.githubusercontent.com/ltdimages/images/refs/heads/main/ObjBeachBed.png")</f>
        <v/>
      </c>
      <c r="D22" s="22" t="str">
        <f>IMAGE("https://raw.githubusercontent.com/ltdimages/images/refs/heads/main/ObjBeachBed_01.png")</f>
        <v/>
      </c>
      <c r="E22" s="22" t="str">
        <f>IMAGE("https://raw.githubusercontent.com/ltdimages/images/refs/heads/main/ObjBeachBed_02.png")</f>
        <v/>
      </c>
      <c r="F22" s="22" t="str">
        <f>IMAGE("https://raw.githubusercontent.com/ltdimages/images/refs/heads/main/ObjBeachBed_03.png")</f>
        <v/>
      </c>
      <c r="G22" s="22" t="str">
        <f>IMAGE("https://raw.githubusercontent.com/ltdimages/images/refs/heads/main/ObjBeachBed_04.png")</f>
        <v/>
      </c>
      <c r="H22" s="22" t="str">
        <f>IMAGE("https://raw.githubusercontent.com/ltdimages/images/refs/heads/main/ObjBeachBed_05.png")</f>
        <v/>
      </c>
      <c r="I22" s="22" t="str">
        <f>IMAGE("https://raw.githubusercontent.com/ltdimages/images/refs/heads/main/ObjBeachBed_06.png")</f>
        <v/>
      </c>
      <c r="J22" s="22" t="str">
        <f>IMAGE("https://raw.githubusercontent.com/ltdimages/images/refs/heads/main/ObjBeachBed_07.png")</f>
        <v/>
      </c>
      <c r="K22" s="64">
        <v>30.0</v>
      </c>
      <c r="L22" s="65">
        <v>1.0</v>
      </c>
      <c r="M22" s="23" t="s">
        <v>6659</v>
      </c>
      <c r="N22" s="55" t="s">
        <v>6660</v>
      </c>
    </row>
    <row r="23" ht="45.0" customHeight="1">
      <c r="A23" s="55" t="s">
        <v>152</v>
      </c>
      <c r="B23" s="62" t="s">
        <v>6661</v>
      </c>
      <c r="C23" s="22" t="str">
        <f>IMAGE("https://raw.githubusercontent.com/ltdimages/images/refs/heads/main/ObjBeachParasol.png")</f>
        <v/>
      </c>
      <c r="D23" s="22" t="str">
        <f>IMAGE("https://raw.githubusercontent.com/ltdimages/images/refs/heads/main/ObjBeachParasol_01.png")</f>
        <v/>
      </c>
      <c r="E23" s="22" t="str">
        <f>IMAGE("https://raw.githubusercontent.com/ltdimages/images/refs/heads/main/ObjBeachParasol_02.png")</f>
        <v/>
      </c>
      <c r="F23" s="22" t="str">
        <f>IMAGE("https://raw.githubusercontent.com/ltdimages/images/refs/heads/main/ObjBeachParasol_03.png")</f>
        <v/>
      </c>
      <c r="G23" s="22" t="str">
        <f>IMAGE("https://raw.githubusercontent.com/ltdimages/images/refs/heads/main/ObjBeachParasol_04.png")</f>
        <v/>
      </c>
      <c r="H23" s="22" t="str">
        <f>IMAGE("https://raw.githubusercontent.com/ltdimages/images/refs/heads/main/ObjBeachParasol_05.png")</f>
        <v/>
      </c>
      <c r="I23" s="22" t="str">
        <f>IMAGE("https://raw.githubusercontent.com/ltdimages/images/refs/heads/main/ObjBeachParasol_06.png")</f>
        <v/>
      </c>
      <c r="J23" s="22" t="str">
        <f>IMAGE("https://raw.githubusercontent.com/ltdimages/images/refs/heads/main/ObjBeachParasol_07.png")</f>
        <v/>
      </c>
      <c r="K23" s="64">
        <v>30.0</v>
      </c>
      <c r="L23" s="65">
        <v>1.0</v>
      </c>
      <c r="M23" s="23" t="s">
        <v>6662</v>
      </c>
      <c r="N23" s="55" t="s">
        <v>6663</v>
      </c>
    </row>
    <row r="24" ht="45.0" customHeight="1">
      <c r="A24" s="55" t="s">
        <v>156</v>
      </c>
      <c r="B24" s="62" t="s">
        <v>6664</v>
      </c>
      <c r="C24" s="22" t="str">
        <f>IMAGE("https://raw.githubusercontent.com/ltdimages/images/refs/heads/main/ObjStandingTorch.png")</f>
        <v/>
      </c>
      <c r="D24" s="22" t="s">
        <v>3095</v>
      </c>
      <c r="E24" s="22" t="s">
        <v>3095</v>
      </c>
      <c r="F24" s="22" t="s">
        <v>3095</v>
      </c>
      <c r="G24" s="22" t="s">
        <v>3095</v>
      </c>
      <c r="H24" s="22" t="s">
        <v>3095</v>
      </c>
      <c r="I24" s="22" t="s">
        <v>3095</v>
      </c>
      <c r="J24" s="22" t="s">
        <v>3095</v>
      </c>
      <c r="K24" s="64">
        <v>5.0</v>
      </c>
      <c r="L24" s="65">
        <v>22.0</v>
      </c>
      <c r="M24" s="23" t="s">
        <v>6665</v>
      </c>
      <c r="N24" s="55" t="s">
        <v>6666</v>
      </c>
    </row>
    <row r="25" ht="45.0" customHeight="1">
      <c r="A25" s="55" t="s">
        <v>161</v>
      </c>
      <c r="B25" s="62" t="s">
        <v>6667</v>
      </c>
      <c r="C25" s="22" t="str">
        <f>IMAGE("https://raw.githubusercontent.com/ltdimages/images/refs/heads/main/ObjBonfire.png")</f>
        <v/>
      </c>
      <c r="D25" s="22" t="str">
        <f>IMAGE("https://raw.githubusercontent.com/ltdimages/images/refs/heads/main/ObjBonfire_01.png")</f>
        <v/>
      </c>
      <c r="E25" s="22" t="str">
        <f>IMAGE("https://raw.githubusercontent.com/ltdimages/images/refs/heads/main/ObjBonfire_02.png")</f>
        <v/>
      </c>
      <c r="F25" s="22" t="str">
        <f>IMAGE("https://raw.githubusercontent.com/ltdimages/images/refs/heads/main/ObjBonfire_03.png")</f>
        <v/>
      </c>
      <c r="G25" s="22" t="str">
        <f>IMAGE("https://raw.githubusercontent.com/ltdimages/images/refs/heads/main/ObjBonfire_04.png")</f>
        <v/>
      </c>
      <c r="H25" s="22" t="str">
        <f>IMAGE("https://raw.githubusercontent.com/ltdimages/images/refs/heads/main/ObjBonfire_05.png")</f>
        <v/>
      </c>
      <c r="I25" s="22" t="str">
        <f>IMAGE("https://raw.githubusercontent.com/ltdimages/images/refs/heads/main/ObjBonfire_06.png")</f>
        <v/>
      </c>
      <c r="J25" s="22" t="s">
        <v>3095</v>
      </c>
      <c r="K25" s="64">
        <v>12.0</v>
      </c>
      <c r="L25" s="65">
        <v>14.0</v>
      </c>
      <c r="M25" s="23" t="s">
        <v>6668</v>
      </c>
      <c r="N25" s="55" t="s">
        <v>6669</v>
      </c>
    </row>
    <row r="26" ht="45.0" customHeight="1">
      <c r="A26" s="55" t="s">
        <v>165</v>
      </c>
      <c r="B26" s="62" t="s">
        <v>6670</v>
      </c>
      <c r="C26" s="22" t="str">
        <f>IMAGE("https://raw.githubusercontent.com/ltdimages/images/refs/heads/main/ObjFireworksErupting.png")</f>
        <v/>
      </c>
      <c r="D26" s="22" t="str">
        <f>IMAGE("https://raw.githubusercontent.com/ltdimages/images/refs/heads/main/ObjFireworksErupting_01.png")</f>
        <v/>
      </c>
      <c r="E26" s="22" t="str">
        <f>IMAGE("https://raw.githubusercontent.com/ltdimages/images/refs/heads/main/ObjFireworksErupting_02.png")</f>
        <v/>
      </c>
      <c r="F26" s="22" t="s">
        <v>3095</v>
      </c>
      <c r="G26" s="22" t="s">
        <v>3095</v>
      </c>
      <c r="H26" s="22" t="s">
        <v>3095</v>
      </c>
      <c r="I26" s="22" t="s">
        <v>3095</v>
      </c>
      <c r="J26" s="22" t="s">
        <v>3095</v>
      </c>
      <c r="K26" s="64">
        <v>10.0</v>
      </c>
      <c r="L26" s="65" t="s">
        <v>6295</v>
      </c>
      <c r="M26" s="23" t="s">
        <v>6671</v>
      </c>
      <c r="N26" s="55" t="s">
        <v>6672</v>
      </c>
    </row>
    <row r="27" ht="45.0" customHeight="1">
      <c r="A27" s="55" t="s">
        <v>170</v>
      </c>
      <c r="B27" s="62" t="s">
        <v>6673</v>
      </c>
      <c r="C27" s="22" t="str">
        <f>IMAGE("https://raw.githubusercontent.com/ltdimages/images/refs/heads/main/ObjFireworksAerial.png")</f>
        <v/>
      </c>
      <c r="D27" s="22" t="str">
        <f>IMAGE("https://raw.githubusercontent.com/ltdimages/images/refs/heads/main/ObjFireworksAerial_01.png")</f>
        <v/>
      </c>
      <c r="E27" s="22" t="str">
        <f>IMAGE("https://raw.githubusercontent.com/ltdimages/images/refs/heads/main/ObjFireworksAerial_02.png")</f>
        <v/>
      </c>
      <c r="F27" s="22" t="s">
        <v>3095</v>
      </c>
      <c r="G27" s="22" t="s">
        <v>3095</v>
      </c>
      <c r="H27" s="22" t="s">
        <v>3095</v>
      </c>
      <c r="I27" s="22" t="s">
        <v>3095</v>
      </c>
      <c r="J27" s="22" t="s">
        <v>3095</v>
      </c>
      <c r="K27" s="64">
        <v>10.0</v>
      </c>
      <c r="L27" s="65" t="s">
        <v>6295</v>
      </c>
      <c r="M27" s="23" t="s">
        <v>6674</v>
      </c>
      <c r="N27" s="55" t="s">
        <v>6675</v>
      </c>
    </row>
    <row r="28" ht="45.0" customHeight="1">
      <c r="A28" s="55" t="s">
        <v>175</v>
      </c>
      <c r="B28" s="62" t="s">
        <v>6676</v>
      </c>
      <c r="C28" s="22" t="str">
        <f>IMAGE("https://raw.githubusercontent.com/ltdimages/images/refs/heads/main/ObjSwingRider.png")</f>
        <v/>
      </c>
      <c r="D28" s="22" t="str">
        <f>IMAGE("https://raw.githubusercontent.com/ltdimages/images/refs/heads/main/ObjSwingRider_01.png")</f>
        <v/>
      </c>
      <c r="E28" s="22" t="str">
        <f>IMAGE("https://raw.githubusercontent.com/ltdimages/images/refs/heads/main/ObjSwingRider_02.png")</f>
        <v/>
      </c>
      <c r="F28" s="22" t="str">
        <f>IMAGE("https://raw.githubusercontent.com/ltdimages/images/refs/heads/main/ObjSwingRider_03.png")</f>
        <v/>
      </c>
      <c r="G28" s="22" t="str">
        <f>IMAGE("https://raw.githubusercontent.com/ltdimages/images/refs/heads/main/ObjSwingRider_04.png")</f>
        <v/>
      </c>
      <c r="H28" s="22" t="str">
        <f>IMAGE("https://raw.githubusercontent.com/ltdimages/images/refs/heads/main/ObjSwingRider_05.png")</f>
        <v/>
      </c>
      <c r="I28" s="22" t="str">
        <f>IMAGE("https://raw.githubusercontent.com/ltdimages/images/refs/heads/main/ObjSwingRider_06.png")</f>
        <v/>
      </c>
      <c r="J28" s="22" t="str">
        <f>IMAGE("https://raw.githubusercontent.com/ltdimages/images/refs/heads/main/ObjSwingRider_07.png")</f>
        <v/>
      </c>
      <c r="K28" s="64">
        <v>78.0</v>
      </c>
      <c r="L28" s="65">
        <v>28.0</v>
      </c>
      <c r="M28" s="23" t="s">
        <v>6677</v>
      </c>
      <c r="N28" s="55" t="s">
        <v>6678</v>
      </c>
    </row>
    <row r="29" ht="45.0" customHeight="1">
      <c r="A29" s="55" t="s">
        <v>180</v>
      </c>
      <c r="B29" s="62" t="s">
        <v>6679</v>
      </c>
      <c r="C29" s="22" t="str">
        <f>IMAGE("https://raw.githubusercontent.com/ltdimages/images/refs/heads/main/ObjSeesaw.png")</f>
        <v/>
      </c>
      <c r="D29" s="22" t="str">
        <f>IMAGE("https://raw.githubusercontent.com/ltdimages/images/refs/heads/main/ObjSeesaw_01.png")</f>
        <v/>
      </c>
      <c r="E29" s="22" t="str">
        <f>IMAGE("https://raw.githubusercontent.com/ltdimages/images/refs/heads/main/ObjSeesaw_02.png")</f>
        <v/>
      </c>
      <c r="F29" s="22" t="str">
        <f>IMAGE("https://raw.githubusercontent.com/ltdimages/images/refs/heads/main/ObjSeesaw_03.png")</f>
        <v/>
      </c>
      <c r="G29" s="22" t="str">
        <f>IMAGE("https://raw.githubusercontent.com/ltdimages/images/refs/heads/main/ObjSeesaw_04.png")</f>
        <v/>
      </c>
      <c r="H29" s="22" t="str">
        <f>IMAGE("https://raw.githubusercontent.com/ltdimages/images/refs/heads/main/ObjSeesaw_05.png")</f>
        <v/>
      </c>
      <c r="I29" s="22" t="str">
        <f>IMAGE("https://raw.githubusercontent.com/ltdimages/images/refs/heads/main/ObjSeesaw_06.png")</f>
        <v/>
      </c>
      <c r="J29" s="22" t="s">
        <v>3095</v>
      </c>
      <c r="K29" s="64">
        <v>70.0</v>
      </c>
      <c r="L29" s="65">
        <v>12.0</v>
      </c>
      <c r="M29" s="23" t="s">
        <v>6680</v>
      </c>
      <c r="N29" s="55" t="s">
        <v>6681</v>
      </c>
    </row>
    <row r="30" ht="45.0" customHeight="1">
      <c r="A30" s="55" t="s">
        <v>185</v>
      </c>
      <c r="B30" s="62" t="s">
        <v>6682</v>
      </c>
      <c r="C30" s="22" t="str">
        <f>IMAGE("https://raw.githubusercontent.com/ltdimages/images/refs/heads/main/ObjArchAir_01.png")</f>
        <v/>
      </c>
      <c r="D30" s="22" t="str">
        <f>IMAGE("https://raw.githubusercontent.com/ltdimages/images/refs/heads/main/ObjArchAir_02.png")</f>
        <v/>
      </c>
      <c r="E30" s="22" t="str">
        <f>IMAGE("https://raw.githubusercontent.com/ltdimages/images/refs/heads/main/ObjArchAir.png")</f>
        <v/>
      </c>
      <c r="F30" s="22" t="str">
        <f>IMAGE("https://raw.githubusercontent.com/ltdimages/images/refs/heads/main/ObjArchAir_03.png")</f>
        <v/>
      </c>
      <c r="G30" s="22" t="str">
        <f>IMAGE("https://raw.githubusercontent.com/ltdimages/images/refs/heads/main/ObjArchAir_04.png")</f>
        <v/>
      </c>
      <c r="H30" s="22" t="str">
        <f>IMAGE("https://raw.githubusercontent.com/ltdimages/images/refs/heads/main/ObjArchAir_05.png")</f>
        <v/>
      </c>
      <c r="I30" s="22" t="str">
        <f>IMAGE("https://raw.githubusercontent.com/ltdimages/images/refs/heads/main/ObjArchAir_06.png")</f>
        <v/>
      </c>
      <c r="J30" s="22" t="str">
        <f>IMAGE("https://raw.githubusercontent.com/ltdimages/images/refs/heads/main/ObjArchAir_07.png")</f>
        <v/>
      </c>
      <c r="K30" s="64">
        <v>50.0</v>
      </c>
      <c r="L30" s="65">
        <v>76.0</v>
      </c>
      <c r="M30" s="23" t="s">
        <v>6683</v>
      </c>
      <c r="N30" s="55" t="s">
        <v>6684</v>
      </c>
    </row>
    <row r="31" ht="45.0" customHeight="1">
      <c r="A31" s="55" t="s">
        <v>189</v>
      </c>
      <c r="B31" s="62" t="s">
        <v>6685</v>
      </c>
      <c r="C31" s="22" t="str">
        <f>IMAGE("https://raw.githubusercontent.com/ltdimages/images/refs/heads/main/ObjPinwheel.png")</f>
        <v/>
      </c>
      <c r="D31" s="22" t="str">
        <f>IMAGE("https://raw.githubusercontent.com/ltdimages/images/refs/heads/main/ObjPinwheel_01.png")</f>
        <v/>
      </c>
      <c r="E31" s="22" t="str">
        <f>IMAGE("https://raw.githubusercontent.com/ltdimages/images/refs/heads/main/ObjPinwheel_02.png")</f>
        <v/>
      </c>
      <c r="F31" s="22" t="str">
        <f>IMAGE("https://raw.githubusercontent.com/ltdimages/images/refs/heads/main/ObjPinwheel_03.png")</f>
        <v/>
      </c>
      <c r="G31" s="22" t="str">
        <f>IMAGE("https://raw.githubusercontent.com/ltdimages/images/refs/heads/main/ObjPinwheel_04.png")</f>
        <v/>
      </c>
      <c r="H31" s="22" t="str">
        <f>IMAGE("https://raw.githubusercontent.com/ltdimages/images/refs/heads/main/ObjPinwheel_05.png")</f>
        <v/>
      </c>
      <c r="I31" s="22" t="str">
        <f>IMAGE("https://raw.githubusercontent.com/ltdimages/images/refs/heads/main/ObjPinwheel_06.png")</f>
        <v/>
      </c>
      <c r="J31" s="22" t="str">
        <f>IMAGE("https://raw.githubusercontent.com/ltdimages/images/refs/heads/main/ObjPinwheel_07.png")</f>
        <v/>
      </c>
      <c r="K31" s="64">
        <v>18.0</v>
      </c>
      <c r="L31" s="65">
        <v>42.0</v>
      </c>
      <c r="M31" s="23" t="s">
        <v>6686</v>
      </c>
      <c r="N31" s="55" t="s">
        <v>6687</v>
      </c>
    </row>
    <row r="32" ht="45.0" customHeight="1">
      <c r="A32" s="55" t="s">
        <v>194</v>
      </c>
      <c r="B32" s="62" t="s">
        <v>6688</v>
      </c>
      <c r="C32" s="22" t="str">
        <f>IMAGE("https://raw.githubusercontent.com/ltdimages/images/refs/heads/main/ObjAerogenerator.png")</f>
        <v/>
      </c>
      <c r="D32" s="22" t="str">
        <f>IMAGE("https://raw.githubusercontent.com/ltdimages/images/refs/heads/main/ObjAerogenerator_01.png")</f>
        <v/>
      </c>
      <c r="E32" s="22" t="str">
        <f>IMAGE("https://raw.githubusercontent.com/ltdimages/images/refs/heads/main/ObjAerogenerator_02.png")</f>
        <v/>
      </c>
      <c r="F32" s="22" t="str">
        <f>IMAGE("https://raw.githubusercontent.com/ltdimages/images/refs/heads/main/ObjAerogenerator_03.png")</f>
        <v/>
      </c>
      <c r="G32" s="22" t="str">
        <f>IMAGE("https://raw.githubusercontent.com/ltdimages/images/refs/heads/main/ObjAerogenerator_04.png")</f>
        <v/>
      </c>
      <c r="H32" s="22" t="str">
        <f>IMAGE("https://raw.githubusercontent.com/ltdimages/images/refs/heads/main/ObjAerogenerator_05.png")</f>
        <v/>
      </c>
      <c r="I32" s="22" t="s">
        <v>3095</v>
      </c>
      <c r="J32" s="22" t="s">
        <v>3095</v>
      </c>
      <c r="K32" s="64">
        <v>300.0</v>
      </c>
      <c r="L32" s="65">
        <v>62.0</v>
      </c>
      <c r="M32" s="23" t="s">
        <v>6689</v>
      </c>
      <c r="N32" s="55" t="s">
        <v>6690</v>
      </c>
    </row>
    <row r="33" ht="45.0" customHeight="1">
      <c r="A33" s="55" t="s">
        <v>198</v>
      </c>
      <c r="B33" s="62" t="s">
        <v>6691</v>
      </c>
      <c r="C33" s="22" t="str">
        <f>IMAGE("https://raw.githubusercontent.com/ltdimages/images/refs/heads/main/ObjSnowman.png")</f>
        <v/>
      </c>
      <c r="D33" s="22" t="str">
        <f>IMAGE("https://raw.githubusercontent.com/ltdimages/images/refs/heads/main/ObjSnowman_01.png")</f>
        <v/>
      </c>
      <c r="E33" s="22" t="str">
        <f>IMAGE("https://raw.githubusercontent.com/ltdimages/images/refs/heads/main/ObjSnowman_02.png")</f>
        <v/>
      </c>
      <c r="F33" s="22" t="str">
        <f>IMAGE("https://raw.githubusercontent.com/ltdimages/images/refs/heads/main/ObjSnowman_03.png")</f>
        <v/>
      </c>
      <c r="G33" s="22" t="s">
        <v>3095</v>
      </c>
      <c r="H33" s="22" t="s">
        <v>3095</v>
      </c>
      <c r="I33" s="22" t="s">
        <v>3095</v>
      </c>
      <c r="J33" s="22" t="s">
        <v>3095</v>
      </c>
      <c r="K33" s="64">
        <v>5.0</v>
      </c>
      <c r="L33" s="65" t="s">
        <v>6588</v>
      </c>
      <c r="M33" s="23" t="s">
        <v>6692</v>
      </c>
      <c r="N33" s="55" t="s">
        <v>6693</v>
      </c>
    </row>
    <row r="34" ht="45.0" customHeight="1">
      <c r="A34" s="55" t="s">
        <v>202</v>
      </c>
      <c r="B34" s="62" t="s">
        <v>6694</v>
      </c>
      <c r="C34" s="22" t="str">
        <f>IMAGE("https://raw.githubusercontent.com/ltdimages/images/refs/heads/main/ObjThrone.png")</f>
        <v/>
      </c>
      <c r="D34" s="22" t="str">
        <f>IMAGE("https://raw.githubusercontent.com/ltdimages/images/refs/heads/main/ObjThrone_06.png")</f>
        <v/>
      </c>
      <c r="E34" s="22" t="str">
        <f>IMAGE("https://raw.githubusercontent.com/ltdimages/images/refs/heads/main/ObjThrone_04.png")</f>
        <v/>
      </c>
      <c r="F34" s="22" t="str">
        <f>IMAGE("https://raw.githubusercontent.com/ltdimages/images/refs/heads/main/ObjThrone_02.png")</f>
        <v/>
      </c>
      <c r="G34" s="22" t="str">
        <f>IMAGE("https://raw.githubusercontent.com/ltdimages/images/refs/heads/main/ObjThrone_01.png")</f>
        <v/>
      </c>
      <c r="H34" s="22" t="str">
        <f>IMAGE("https://raw.githubusercontent.com/ltdimages/images/refs/heads/main/ObjThrone_03.png")</f>
        <v/>
      </c>
      <c r="I34" s="22" t="str">
        <f>IMAGE("https://raw.githubusercontent.com/ltdimages/images/refs/heads/main/ObjThrone_05.png")</f>
        <v/>
      </c>
      <c r="J34" s="22" t="s">
        <v>3095</v>
      </c>
      <c r="K34" s="64">
        <v>1000.0</v>
      </c>
      <c r="L34" s="65" t="s">
        <v>3095</v>
      </c>
      <c r="M34" s="23" t="s">
        <v>6695</v>
      </c>
      <c r="N34" s="55" t="s">
        <v>6696</v>
      </c>
    </row>
    <row r="35" ht="45.0" customHeight="1">
      <c r="A35" s="55" t="s">
        <v>207</v>
      </c>
      <c r="B35" s="62" t="s">
        <v>6697</v>
      </c>
      <c r="C35" s="22" t="str">
        <f>IMAGE("https://raw.githubusercontent.com/ltdimages/images/refs/heads/main/ObjFenceWood.png")</f>
        <v/>
      </c>
      <c r="D35" s="22" t="str">
        <f>IMAGE("https://raw.githubusercontent.com/ltdimages/images/refs/heads/main/ObjFenceWood_01.png")</f>
        <v/>
      </c>
      <c r="E35" s="22" t="str">
        <f>IMAGE("https://raw.githubusercontent.com/ltdimages/images/refs/heads/main/ObjFenceWood_02.png")</f>
        <v/>
      </c>
      <c r="F35" s="22" t="str">
        <f>IMAGE("https://raw.githubusercontent.com/ltdimages/images/refs/heads/main/ObjFenceWood_03.png")</f>
        <v/>
      </c>
      <c r="G35" s="22" t="str">
        <f>IMAGE("https://raw.githubusercontent.com/ltdimages/images/refs/heads/main/ObjFenceWood_04.png")</f>
        <v/>
      </c>
      <c r="H35" s="22" t="str">
        <f>IMAGE("https://raw.githubusercontent.com/ltdimages/images/refs/heads/main/ObjFenceWood_05.png")</f>
        <v/>
      </c>
      <c r="I35" s="22" t="str">
        <f>IMAGE("https://raw.githubusercontent.com/ltdimages/images/refs/heads/main/ObjFenceWood_06.png")</f>
        <v/>
      </c>
      <c r="J35" s="22" t="str">
        <f>IMAGE("https://raw.githubusercontent.com/ltdimages/images/refs/heads/main/ObjFenceWood_07.png")</f>
        <v/>
      </c>
      <c r="K35" s="64">
        <v>3.0</v>
      </c>
      <c r="L35" s="65">
        <v>0.0</v>
      </c>
      <c r="M35" s="23" t="s">
        <v>6698</v>
      </c>
      <c r="N35" s="55" t="s">
        <v>6699</v>
      </c>
    </row>
    <row r="36" ht="45.0" customHeight="1">
      <c r="A36" s="55" t="s">
        <v>211</v>
      </c>
      <c r="B36" s="62" t="s">
        <v>6700</v>
      </c>
      <c r="C36" s="22" t="str">
        <f>IMAGE("https://raw.githubusercontent.com/ltdimages/images/refs/heads/main/ObjFenceLattice.png")</f>
        <v/>
      </c>
      <c r="D36" s="22" t="str">
        <f>IMAGE("https://raw.githubusercontent.com/ltdimages/images/refs/heads/main/ObjFenceLattice_01.png")</f>
        <v/>
      </c>
      <c r="E36" s="22" t="str">
        <f>IMAGE("https://raw.githubusercontent.com/ltdimages/images/refs/heads/main/ObjFenceLattice_02.png")</f>
        <v/>
      </c>
      <c r="F36" s="22" t="str">
        <f>IMAGE("https://raw.githubusercontent.com/ltdimages/images/refs/heads/main/ObjFenceLattice_03.png")</f>
        <v/>
      </c>
      <c r="G36" s="22" t="str">
        <f>IMAGE("https://raw.githubusercontent.com/ltdimages/images/refs/heads/main/ObjFenceLattice_04.png")</f>
        <v/>
      </c>
      <c r="H36" s="22" t="str">
        <f>IMAGE("https://raw.githubusercontent.com/ltdimages/images/refs/heads/main/ObjFenceLattice_05.png")</f>
        <v/>
      </c>
      <c r="I36" s="22" t="str">
        <f>IMAGE("https://raw.githubusercontent.com/ltdimages/images/refs/heads/main/ObjFenceLattice_06.png")</f>
        <v/>
      </c>
      <c r="J36" s="22" t="str">
        <f>IMAGE("https://raw.githubusercontent.com/ltdimages/images/refs/heads/main/ObjFenceLattice_07.png")</f>
        <v/>
      </c>
      <c r="K36" s="64">
        <v>3.5</v>
      </c>
      <c r="L36" s="65">
        <v>52.0</v>
      </c>
      <c r="M36" s="23" t="s">
        <v>6701</v>
      </c>
      <c r="N36" s="55" t="s">
        <v>6702</v>
      </c>
    </row>
    <row r="37" ht="45.0" customHeight="1">
      <c r="A37" s="55" t="s">
        <v>215</v>
      </c>
      <c r="B37" s="62" t="s">
        <v>6703</v>
      </c>
      <c r="C37" s="22" t="str">
        <f>IMAGE("https://raw.githubusercontent.com/ltdimages/images/refs/heads/main/ObjFenceStake.png")</f>
        <v/>
      </c>
      <c r="D37" s="22" t="str">
        <f>IMAGE("https://raw.githubusercontent.com/ltdimages/images/refs/heads/main/ObjFenceStake_02.png")</f>
        <v/>
      </c>
      <c r="E37" s="22" t="str">
        <f>IMAGE("https://raw.githubusercontent.com/ltdimages/images/refs/heads/main/ObjFenceStake_01.png")</f>
        <v/>
      </c>
      <c r="F37" s="22" t="str">
        <f>IMAGE("https://raw.githubusercontent.com/ltdimages/images/refs/heads/main/ObjFenceStake_03.png")</f>
        <v/>
      </c>
      <c r="G37" s="22" t="str">
        <f>IMAGE("https://raw.githubusercontent.com/ltdimages/images/refs/heads/main/ObjFenceStake_04.png")</f>
        <v/>
      </c>
      <c r="H37" s="22" t="str">
        <f>IMAGE("https://raw.githubusercontent.com/ltdimages/images/refs/heads/main/ObjFenceStake_05.png")</f>
        <v/>
      </c>
      <c r="I37" s="22" t="str">
        <f>IMAGE("https://raw.githubusercontent.com/ltdimages/images/refs/heads/main/ObjFenceStake_06.png")</f>
        <v/>
      </c>
      <c r="J37" s="22" t="str">
        <f>IMAGE("https://raw.githubusercontent.com/ltdimages/images/refs/heads/main/ObjFenceStake_07.png")</f>
        <v/>
      </c>
      <c r="K37" s="64">
        <v>2.5</v>
      </c>
      <c r="L37" s="65">
        <v>9.0</v>
      </c>
      <c r="M37" s="23" t="s">
        <v>6704</v>
      </c>
      <c r="N37" s="55" t="s">
        <v>6705</v>
      </c>
    </row>
    <row r="38" ht="45.0" customHeight="1">
      <c r="A38" s="55" t="s">
        <v>220</v>
      </c>
      <c r="B38" s="62" t="s">
        <v>6706</v>
      </c>
      <c r="C38" s="22" t="str">
        <f>IMAGE("https://raw.githubusercontent.com/ltdimages/images/refs/heads/main/ObjFenceIron.png")</f>
        <v/>
      </c>
      <c r="D38" s="22" t="str">
        <f>IMAGE("https://raw.githubusercontent.com/ltdimages/images/refs/heads/main/ObjFenceIron_01.png")</f>
        <v/>
      </c>
      <c r="E38" s="22" t="str">
        <f>IMAGE("https://raw.githubusercontent.com/ltdimages/images/refs/heads/main/ObjFenceIron_02.png")</f>
        <v/>
      </c>
      <c r="F38" s="22" t="str">
        <f>IMAGE("https://raw.githubusercontent.com/ltdimages/images/refs/heads/main/ObjFenceIron_03.png")</f>
        <v/>
      </c>
      <c r="G38" s="22" t="str">
        <f>IMAGE("https://raw.githubusercontent.com/ltdimages/images/refs/heads/main/ObjFenceIron_04.png")</f>
        <v/>
      </c>
      <c r="H38" s="22" t="str">
        <f>IMAGE("https://raw.githubusercontent.com/ltdimages/images/refs/heads/main/ObjFenceIron_05.png")</f>
        <v/>
      </c>
      <c r="I38" s="22" t="str">
        <f>IMAGE("https://raw.githubusercontent.com/ltdimages/images/refs/heads/main/ObjFenceIron_06.png")</f>
        <v/>
      </c>
      <c r="J38" s="22" t="str">
        <f>IMAGE("https://raw.githubusercontent.com/ltdimages/images/refs/heads/main/ObjFenceIron_07.png")</f>
        <v/>
      </c>
      <c r="K38" s="64">
        <v>3.7</v>
      </c>
      <c r="L38" s="65">
        <v>1.0</v>
      </c>
      <c r="M38" s="23" t="s">
        <v>6707</v>
      </c>
      <c r="N38" s="55" t="s">
        <v>6708</v>
      </c>
    </row>
    <row r="39" ht="45.0" customHeight="1">
      <c r="A39" s="55" t="s">
        <v>224</v>
      </c>
      <c r="B39" s="62" t="s">
        <v>6709</v>
      </c>
      <c r="C39" s="22" t="str">
        <f>IMAGE("https://raw.githubusercontent.com/ltdimages/images/refs/heads/main/ObjFencePipe.png")</f>
        <v/>
      </c>
      <c r="D39" s="22" t="str">
        <f>IMAGE("https://raw.githubusercontent.com/ltdimages/images/refs/heads/main/ObjFencePipe_01.png")</f>
        <v/>
      </c>
      <c r="E39" s="22" t="str">
        <f>IMAGE("https://raw.githubusercontent.com/ltdimages/images/refs/heads/main/ObjFencePipe_02.png")</f>
        <v/>
      </c>
      <c r="F39" s="22" t="str">
        <f>IMAGE("https://raw.githubusercontent.com/ltdimages/images/refs/heads/main/ObjFencePipe_03.png")</f>
        <v/>
      </c>
      <c r="G39" s="22" t="str">
        <f>IMAGE("https://raw.githubusercontent.com/ltdimages/images/refs/heads/main/ObjFencePipe_04.png")</f>
        <v/>
      </c>
      <c r="H39" s="22" t="str">
        <f>IMAGE("https://raw.githubusercontent.com/ltdimages/images/refs/heads/main/ObjFencePipe_05.png")</f>
        <v/>
      </c>
      <c r="I39" s="22" t="str">
        <f>IMAGE("https://raw.githubusercontent.com/ltdimages/images/refs/heads/main/ObjFencePipe_06.png")</f>
        <v/>
      </c>
      <c r="J39" s="22" t="str">
        <f>IMAGE("https://raw.githubusercontent.com/ltdimages/images/refs/heads/main/ObjFencePipe_07.png")</f>
        <v/>
      </c>
      <c r="K39" s="64">
        <v>5.0</v>
      </c>
      <c r="L39" s="65">
        <v>1.0</v>
      </c>
      <c r="M39" s="23" t="s">
        <v>6710</v>
      </c>
      <c r="N39" s="55" t="s">
        <v>6711</v>
      </c>
    </row>
    <row r="40" ht="45.0" customHeight="1">
      <c r="A40" s="55" t="s">
        <v>229</v>
      </c>
      <c r="B40" s="62" t="s">
        <v>6712</v>
      </c>
      <c r="C40" s="22" t="str">
        <f>IMAGE("https://raw.githubusercontent.com/ltdimages/images/refs/heads/main/ObjFenceChain.png")</f>
        <v/>
      </c>
      <c r="D40" s="22" t="str">
        <f>IMAGE("https://raw.githubusercontent.com/ltdimages/images/refs/heads/main/ObjFenceChain_01.png")</f>
        <v/>
      </c>
      <c r="E40" s="22" t="str">
        <f>IMAGE("https://raw.githubusercontent.com/ltdimages/images/refs/heads/main/ObjFenceChain_02.png")</f>
        <v/>
      </c>
      <c r="F40" s="22" t="str">
        <f>IMAGE("https://raw.githubusercontent.com/ltdimages/images/refs/heads/main/ObjFenceChain_03.png")</f>
        <v/>
      </c>
      <c r="G40" s="22" t="str">
        <f>IMAGE("https://raw.githubusercontent.com/ltdimages/images/refs/heads/main/ObjFenceChain_04.png")</f>
        <v/>
      </c>
      <c r="H40" s="22" t="str">
        <f>IMAGE("https://raw.githubusercontent.com/ltdimages/images/refs/heads/main/ObjFenceChain_05.png")</f>
        <v/>
      </c>
      <c r="I40" s="22" t="str">
        <f>IMAGE("https://raw.githubusercontent.com/ltdimages/images/refs/heads/main/ObjFenceChain_06.png")</f>
        <v/>
      </c>
      <c r="J40" s="22" t="str">
        <f>IMAGE("https://raw.githubusercontent.com/ltdimages/images/refs/heads/main/ObjFenceChain_07.png")</f>
        <v/>
      </c>
      <c r="K40" s="64">
        <v>3.5</v>
      </c>
      <c r="L40" s="65">
        <v>32.0</v>
      </c>
      <c r="M40" s="23" t="s">
        <v>6713</v>
      </c>
      <c r="N40" s="55" t="s">
        <v>6714</v>
      </c>
    </row>
    <row r="41" ht="45.0" customHeight="1">
      <c r="A41" s="55" t="s">
        <v>233</v>
      </c>
      <c r="B41" s="62" t="s">
        <v>6715</v>
      </c>
      <c r="C41" s="22" t="str">
        <f>IMAGE("https://raw.githubusercontent.com/ltdimages/images/refs/heads/main/ObjFenceBarbed.png")</f>
        <v/>
      </c>
      <c r="D41" s="22" t="str">
        <f>IMAGE("https://raw.githubusercontent.com/ltdimages/images/refs/heads/main/ObjFenceBarbed_01.png")</f>
        <v/>
      </c>
      <c r="E41" s="22" t="str">
        <f>IMAGE("https://raw.githubusercontent.com/ltdimages/images/refs/heads/main/ObjFenceBarbed_02.png")</f>
        <v/>
      </c>
      <c r="F41" s="22" t="str">
        <f>IMAGE("https://raw.githubusercontent.com/ltdimages/images/refs/heads/main/ObjFenceBarbed_03.png")</f>
        <v/>
      </c>
      <c r="G41" s="22" t="str">
        <f>IMAGE("https://raw.githubusercontent.com/ltdimages/images/refs/heads/main/ObjFenceBarbed_04.png")</f>
        <v/>
      </c>
      <c r="H41" s="22" t="str">
        <f>IMAGE("https://raw.githubusercontent.com/ltdimages/images/refs/heads/main/ObjFenceBarbed_05.png")</f>
        <v/>
      </c>
      <c r="I41" s="22" t="str">
        <f>IMAGE("https://raw.githubusercontent.com/ltdimages/images/refs/heads/main/ObjFenceBarbed_06.png")</f>
        <v/>
      </c>
      <c r="J41" s="22" t="str">
        <f>IMAGE("https://raw.githubusercontent.com/ltdimages/images/refs/heads/main/ObjFenceBarbed_07.png")</f>
        <v/>
      </c>
      <c r="K41" s="64">
        <v>4.2</v>
      </c>
      <c r="L41" s="65">
        <v>67.0</v>
      </c>
      <c r="M41" s="23" t="s">
        <v>6716</v>
      </c>
      <c r="N41" s="55" t="s">
        <v>6717</v>
      </c>
    </row>
    <row r="42" ht="45.0" customHeight="1">
      <c r="A42" s="55" t="s">
        <v>237</v>
      </c>
      <c r="B42" s="62" t="s">
        <v>6718</v>
      </c>
      <c r="C42" s="22" t="str">
        <f>IMAGE("https://raw.githubusercontent.com/ltdimages/images/refs/heads/main/ObjGuardrail.png")</f>
        <v/>
      </c>
      <c r="D42" s="22" t="str">
        <f>IMAGE("https://raw.githubusercontent.com/ltdimages/images/refs/heads/main/ObjGuardrail_01.png")</f>
        <v/>
      </c>
      <c r="E42" s="22" t="str">
        <f>IMAGE("https://raw.githubusercontent.com/ltdimages/images/refs/heads/main/ObjGuardrail_02.png")</f>
        <v/>
      </c>
      <c r="F42" s="22" t="str">
        <f>IMAGE("https://raw.githubusercontent.com/ltdimages/images/refs/heads/main/ObjGuardrail_03.png")</f>
        <v/>
      </c>
      <c r="G42" s="22" t="str">
        <f>IMAGE("https://raw.githubusercontent.com/ltdimages/images/refs/heads/main/ObjGuardrail_04.png")</f>
        <v/>
      </c>
      <c r="H42" s="22" t="str">
        <f>IMAGE("https://raw.githubusercontent.com/ltdimages/images/refs/heads/main/ObjGuardrail_05.png")</f>
        <v/>
      </c>
      <c r="I42" s="22" t="str">
        <f>IMAGE("https://raw.githubusercontent.com/ltdimages/images/refs/heads/main/ObjGuardrail_06.png")</f>
        <v/>
      </c>
      <c r="J42" s="22" t="s">
        <v>3095</v>
      </c>
      <c r="K42" s="64">
        <v>6.0</v>
      </c>
      <c r="L42" s="65">
        <v>0.0</v>
      </c>
      <c r="M42" s="23" t="s">
        <v>6719</v>
      </c>
      <c r="N42" s="55" t="s">
        <v>6720</v>
      </c>
    </row>
    <row r="43" ht="45.0" customHeight="1">
      <c r="A43" s="55" t="s">
        <v>241</v>
      </c>
      <c r="B43" s="62" t="s">
        <v>6721</v>
      </c>
      <c r="C43" s="22" t="str">
        <f>IMAGE("https://raw.githubusercontent.com/ltdimages/images/refs/heads/main/ObjFenceGuardpipe.png")</f>
        <v/>
      </c>
      <c r="D43" s="22" t="str">
        <f>IMAGE("https://raw.githubusercontent.com/ltdimages/images/refs/heads/main/ObjFenceGuardpipe_01.png")</f>
        <v/>
      </c>
      <c r="E43" s="22" t="str">
        <f>IMAGE("https://raw.githubusercontent.com/ltdimages/images/refs/heads/main/ObjFenceGuardpipe_02.png")</f>
        <v/>
      </c>
      <c r="F43" s="22" t="str">
        <f>IMAGE("https://raw.githubusercontent.com/ltdimages/images/refs/heads/main/ObjFenceGuardpipe_03.png")</f>
        <v/>
      </c>
      <c r="G43" s="22" t="str">
        <f>IMAGE("https://raw.githubusercontent.com/ltdimages/images/refs/heads/main/ObjFenceGuardpipe_04.png")</f>
        <v/>
      </c>
      <c r="H43" s="22" t="str">
        <f>IMAGE("https://raw.githubusercontent.com/ltdimages/images/refs/heads/main/ObjFenceGuardpipe_05.png")</f>
        <v/>
      </c>
      <c r="I43" s="22" t="str">
        <f>IMAGE("https://raw.githubusercontent.com/ltdimages/images/refs/heads/main/ObjFenceGuardpipe_06.png")</f>
        <v/>
      </c>
      <c r="J43" s="22" t="str">
        <f>IMAGE("https://raw.githubusercontent.com/ltdimages/images/refs/heads/main/ObjFenceGuardpipe_07.png")</f>
        <v/>
      </c>
      <c r="K43" s="64">
        <v>4.0</v>
      </c>
      <c r="L43" s="65">
        <v>19.0</v>
      </c>
      <c r="M43" s="23" t="s">
        <v>6722</v>
      </c>
      <c r="N43" s="55" t="s">
        <v>6723</v>
      </c>
    </row>
    <row r="44" ht="45.0" customHeight="1">
      <c r="A44" s="55" t="s">
        <v>245</v>
      </c>
      <c r="B44" s="62" t="s">
        <v>6724</v>
      </c>
      <c r="C44" s="22" t="str">
        <f>IMAGE("https://raw.githubusercontent.com/ltdimages/images/refs/heads/main/ObjStepStone.png")</f>
        <v/>
      </c>
      <c r="D44" s="22" t="str">
        <f>IMAGE("https://raw.githubusercontent.com/ltdimages/images/refs/heads/main/ObjStepStone_01.png")</f>
        <v/>
      </c>
      <c r="E44" s="22" t="str">
        <f>IMAGE("https://raw.githubusercontent.com/ltdimages/images/refs/heads/main/ObjStepStone_02.png")</f>
        <v/>
      </c>
      <c r="F44" s="22" t="s">
        <v>3095</v>
      </c>
      <c r="G44" s="22" t="s">
        <v>3095</v>
      </c>
      <c r="H44" s="22" t="s">
        <v>3095</v>
      </c>
      <c r="I44" s="22" t="s">
        <v>3095</v>
      </c>
      <c r="J44" s="22" t="s">
        <v>3095</v>
      </c>
      <c r="K44" s="64">
        <v>10.0</v>
      </c>
      <c r="L44" s="65">
        <v>0.0</v>
      </c>
      <c r="M44" s="23" t="s">
        <v>6725</v>
      </c>
      <c r="N44" s="55" t="s">
        <v>6726</v>
      </c>
    </row>
    <row r="45" ht="45.0" customHeight="1">
      <c r="A45" s="55" t="s">
        <v>249</v>
      </c>
      <c r="B45" s="62" t="s">
        <v>6727</v>
      </c>
      <c r="C45" s="22" t="str">
        <f>IMAGE("https://raw.githubusercontent.com/ltdimages/images/refs/heads/main/ObjStepWood.png")</f>
        <v/>
      </c>
      <c r="D45" s="22" t="str">
        <f>IMAGE("https://raw.githubusercontent.com/ltdimages/images/refs/heads/main/ObjStepWood_01.png")</f>
        <v/>
      </c>
      <c r="E45" s="22" t="str">
        <f>IMAGE("https://raw.githubusercontent.com/ltdimages/images/refs/heads/main/ObjStepWood_02.png")</f>
        <v/>
      </c>
      <c r="F45" s="22" t="str">
        <f>IMAGE("https://raw.githubusercontent.com/ltdimages/images/refs/heads/main/ObjStepWood_03.png")</f>
        <v/>
      </c>
      <c r="G45" s="22" t="str">
        <f>IMAGE("https://raw.githubusercontent.com/ltdimages/images/refs/heads/main/ObjStepWood_04.png")</f>
        <v/>
      </c>
      <c r="H45" s="22" t="str">
        <f>IMAGE("https://raw.githubusercontent.com/ltdimages/images/refs/heads/main/ObjStepWood_05.png")</f>
        <v/>
      </c>
      <c r="I45" s="22" t="str">
        <f>IMAGE("https://raw.githubusercontent.com/ltdimages/images/refs/heads/main/ObjStepWood_06.png")</f>
        <v/>
      </c>
      <c r="J45" s="22" t="str">
        <f>IMAGE("https://raw.githubusercontent.com/ltdimages/images/refs/heads/main/ObjStepWood_07.png")</f>
        <v/>
      </c>
      <c r="K45" s="64">
        <v>9.99</v>
      </c>
      <c r="L45" s="65">
        <v>1.0</v>
      </c>
      <c r="M45" s="23" t="s">
        <v>6728</v>
      </c>
      <c r="N45" s="55" t="s">
        <v>6729</v>
      </c>
    </row>
    <row r="46" ht="45.0" customHeight="1">
      <c r="A46" s="55" t="s">
        <v>253</v>
      </c>
      <c r="B46" s="62" t="s">
        <v>6730</v>
      </c>
      <c r="C46" s="22" t="str">
        <f>IMAGE("https://raw.githubusercontent.com/ltdimages/images/refs/heads/main/ObjStepIron.png")</f>
        <v/>
      </c>
      <c r="D46" s="22" t="str">
        <f>IMAGE("https://raw.githubusercontent.com/ltdimages/images/refs/heads/main/ObjStepIron_01.png")</f>
        <v/>
      </c>
      <c r="E46" s="22" t="str">
        <f>IMAGE("https://raw.githubusercontent.com/ltdimages/images/refs/heads/main/ObjStepIron_02.png")</f>
        <v/>
      </c>
      <c r="F46" s="22" t="str">
        <f>IMAGE("https://raw.githubusercontent.com/ltdimages/images/refs/heads/main/ObjStepIron_03.png")</f>
        <v/>
      </c>
      <c r="G46" s="22" t="str">
        <f>IMAGE("https://raw.githubusercontent.com/ltdimages/images/refs/heads/main/ObjStepIron_04.png")</f>
        <v/>
      </c>
      <c r="H46" s="22" t="str">
        <f>IMAGE("https://raw.githubusercontent.com/ltdimages/images/refs/heads/main/ObjStepIron_05.png")</f>
        <v/>
      </c>
      <c r="I46" s="22" t="str">
        <f>IMAGE("https://raw.githubusercontent.com/ltdimages/images/refs/heads/main/ObjStepIron_06.png")</f>
        <v/>
      </c>
      <c r="J46" s="22" t="str">
        <f>IMAGE("https://raw.githubusercontent.com/ltdimages/images/refs/heads/main/ObjStepIron_07.png")</f>
        <v/>
      </c>
      <c r="K46" s="64">
        <v>9.99</v>
      </c>
      <c r="L46" s="65">
        <v>1.0</v>
      </c>
      <c r="M46" s="23" t="s">
        <v>6731</v>
      </c>
      <c r="N46" s="55" t="s">
        <v>6732</v>
      </c>
    </row>
    <row r="47" ht="45.0" customHeight="1">
      <c r="A47" s="55" t="s">
        <v>257</v>
      </c>
      <c r="B47" s="62" t="s">
        <v>6733</v>
      </c>
      <c r="C47" s="22" t="str">
        <f>IMAGE("https://raw.githubusercontent.com/ltdimages/images/refs/heads/main/ObjTreeBroadleaf.png")</f>
        <v/>
      </c>
      <c r="D47" s="22" t="s">
        <v>3095</v>
      </c>
      <c r="E47" s="22" t="s">
        <v>3095</v>
      </c>
      <c r="F47" s="22" t="s">
        <v>3095</v>
      </c>
      <c r="G47" s="22" t="s">
        <v>3095</v>
      </c>
      <c r="H47" s="22" t="s">
        <v>3095</v>
      </c>
      <c r="I47" s="22" t="s">
        <v>3095</v>
      </c>
      <c r="J47" s="22" t="s">
        <v>3095</v>
      </c>
      <c r="K47" s="64">
        <v>7.0</v>
      </c>
      <c r="L47" s="65">
        <v>0.0</v>
      </c>
      <c r="M47" s="23" t="s">
        <v>6734</v>
      </c>
      <c r="N47" s="55" t="s">
        <v>6735</v>
      </c>
    </row>
    <row r="48" ht="45.0" customHeight="1">
      <c r="A48" s="55" t="s">
        <v>261</v>
      </c>
      <c r="B48" s="62" t="s">
        <v>6736</v>
      </c>
      <c r="C48" s="22" t="str">
        <f>IMAGE("https://raw.githubusercontent.com/ltdimages/images/refs/heads/main/ObjTreeBroadleaf_01.png")</f>
        <v/>
      </c>
      <c r="D48" s="22" t="s">
        <v>3095</v>
      </c>
      <c r="E48" s="22" t="s">
        <v>3095</v>
      </c>
      <c r="F48" s="22" t="s">
        <v>3095</v>
      </c>
      <c r="G48" s="22" t="s">
        <v>3095</v>
      </c>
      <c r="H48" s="22" t="s">
        <v>3095</v>
      </c>
      <c r="I48" s="22" t="s">
        <v>3095</v>
      </c>
      <c r="J48" s="22" t="s">
        <v>3095</v>
      </c>
      <c r="K48" s="64">
        <v>7.0</v>
      </c>
      <c r="L48" s="65" t="s">
        <v>6737</v>
      </c>
      <c r="M48" s="23" t="s">
        <v>6738</v>
      </c>
      <c r="N48" s="55" t="s">
        <v>6739</v>
      </c>
    </row>
    <row r="49" ht="45.0" customHeight="1">
      <c r="A49" s="55" t="s">
        <v>265</v>
      </c>
      <c r="B49" s="62" t="s">
        <v>6740</v>
      </c>
      <c r="C49" s="22" t="str">
        <f>IMAGE("https://raw.githubusercontent.com/ltdimages/images/refs/heads/main/ObjTreeBroadleaf_02.png")</f>
        <v/>
      </c>
      <c r="D49" s="22" t="s">
        <v>3095</v>
      </c>
      <c r="E49" s="22" t="s">
        <v>3095</v>
      </c>
      <c r="F49" s="22" t="s">
        <v>3095</v>
      </c>
      <c r="G49" s="22" t="s">
        <v>3095</v>
      </c>
      <c r="H49" s="22" t="s">
        <v>3095</v>
      </c>
      <c r="I49" s="22" t="s">
        <v>3095</v>
      </c>
      <c r="J49" s="22" t="s">
        <v>3095</v>
      </c>
      <c r="K49" s="64">
        <v>7.0</v>
      </c>
      <c r="L49" s="65" t="s">
        <v>6588</v>
      </c>
      <c r="M49" s="23" t="s">
        <v>6741</v>
      </c>
      <c r="N49" s="55" t="s">
        <v>6742</v>
      </c>
    </row>
    <row r="50" ht="45.0" customHeight="1">
      <c r="A50" s="55" t="s">
        <v>269</v>
      </c>
      <c r="B50" s="62" t="s">
        <v>6743</v>
      </c>
      <c r="C50" s="22" t="str">
        <f>IMAGE("https://raw.githubusercontent.com/ltdimages/images/refs/heads/main/ObjTreeCherry.png")</f>
        <v/>
      </c>
      <c r="D50" s="22" t="s">
        <v>3095</v>
      </c>
      <c r="E50" s="22" t="s">
        <v>3095</v>
      </c>
      <c r="F50" s="22" t="s">
        <v>3095</v>
      </c>
      <c r="G50" s="22" t="s">
        <v>3095</v>
      </c>
      <c r="H50" s="22" t="s">
        <v>3095</v>
      </c>
      <c r="I50" s="22" t="s">
        <v>3095</v>
      </c>
      <c r="J50" s="22" t="s">
        <v>3095</v>
      </c>
      <c r="K50" s="64">
        <v>10.0</v>
      </c>
      <c r="L50" s="65" t="s">
        <v>6520</v>
      </c>
      <c r="M50" s="23" t="s">
        <v>6744</v>
      </c>
      <c r="N50" s="55" t="s">
        <v>6745</v>
      </c>
    </row>
    <row r="51" ht="45.0" customHeight="1">
      <c r="A51" s="55" t="s">
        <v>273</v>
      </c>
      <c r="B51" s="62" t="s">
        <v>6746</v>
      </c>
      <c r="C51" s="22" t="str">
        <f>IMAGE("https://raw.githubusercontent.com/ltdimages/images/refs/heads/main/ObjTreeConiferous.png")</f>
        <v/>
      </c>
      <c r="D51" s="22" t="s">
        <v>3095</v>
      </c>
      <c r="E51" s="22" t="s">
        <v>3095</v>
      </c>
      <c r="F51" s="22" t="s">
        <v>3095</v>
      </c>
      <c r="G51" s="22" t="s">
        <v>3095</v>
      </c>
      <c r="H51" s="22" t="s">
        <v>3095</v>
      </c>
      <c r="I51" s="22" t="s">
        <v>3095</v>
      </c>
      <c r="J51" s="22" t="s">
        <v>3095</v>
      </c>
      <c r="K51" s="64">
        <v>7.0</v>
      </c>
      <c r="L51" s="65">
        <v>1.0</v>
      </c>
      <c r="M51" s="23" t="s">
        <v>6747</v>
      </c>
      <c r="N51" s="55" t="s">
        <v>6748</v>
      </c>
    </row>
    <row r="52" ht="45.0" customHeight="1">
      <c r="A52" s="55" t="s">
        <v>277</v>
      </c>
      <c r="B52" s="62" t="s">
        <v>6749</v>
      </c>
      <c r="C52" s="22" t="str">
        <f>IMAGE("https://raw.githubusercontent.com/ltdimages/images/refs/heads/main/ObjTreeConiferous_01.png")</f>
        <v/>
      </c>
      <c r="D52" s="22" t="s">
        <v>3095</v>
      </c>
      <c r="E52" s="22" t="s">
        <v>3095</v>
      </c>
      <c r="F52" s="22" t="s">
        <v>3095</v>
      </c>
      <c r="G52" s="22" t="s">
        <v>3095</v>
      </c>
      <c r="H52" s="22" t="s">
        <v>3095</v>
      </c>
      <c r="I52" s="22" t="s">
        <v>3095</v>
      </c>
      <c r="J52" s="22" t="s">
        <v>3095</v>
      </c>
      <c r="K52" s="64">
        <v>7.0</v>
      </c>
      <c r="L52" s="65" t="s">
        <v>6588</v>
      </c>
      <c r="M52" s="23" t="s">
        <v>6750</v>
      </c>
      <c r="N52" s="55" t="s">
        <v>6751</v>
      </c>
    </row>
    <row r="53" ht="45.0" customHeight="1">
      <c r="A53" s="55" t="s">
        <v>281</v>
      </c>
      <c r="B53" s="62" t="s">
        <v>6752</v>
      </c>
      <c r="C53" s="22" t="str">
        <f>IMAGE("https://raw.githubusercontent.com/ltdimages/images/refs/heads/main/ObjTreeGinkgo.png")</f>
        <v/>
      </c>
      <c r="D53" s="22" t="s">
        <v>3095</v>
      </c>
      <c r="E53" s="22" t="s">
        <v>3095</v>
      </c>
      <c r="F53" s="22" t="s">
        <v>3095</v>
      </c>
      <c r="G53" s="22" t="s">
        <v>3095</v>
      </c>
      <c r="H53" s="22" t="s">
        <v>3095</v>
      </c>
      <c r="I53" s="22" t="s">
        <v>3095</v>
      </c>
      <c r="J53" s="22" t="s">
        <v>3095</v>
      </c>
      <c r="K53" s="64">
        <v>5.0</v>
      </c>
      <c r="L53" s="65" t="s">
        <v>6737</v>
      </c>
      <c r="M53" s="23" t="s">
        <v>6753</v>
      </c>
      <c r="N53" s="55" t="s">
        <v>6754</v>
      </c>
    </row>
    <row r="54" ht="45.0" customHeight="1">
      <c r="A54" s="55" t="s">
        <v>285</v>
      </c>
      <c r="B54" s="62" t="s">
        <v>6755</v>
      </c>
      <c r="C54" s="22" t="str">
        <f>IMAGE("https://raw.githubusercontent.com/ltdimages/images/refs/heads/main/ObjTreePalm.png")</f>
        <v/>
      </c>
      <c r="D54" s="22" t="s">
        <v>3095</v>
      </c>
      <c r="E54" s="22" t="s">
        <v>3095</v>
      </c>
      <c r="F54" s="22" t="s">
        <v>3095</v>
      </c>
      <c r="G54" s="22" t="s">
        <v>3095</v>
      </c>
      <c r="H54" s="22" t="s">
        <v>3095</v>
      </c>
      <c r="I54" s="22" t="s">
        <v>3095</v>
      </c>
      <c r="J54" s="22" t="s">
        <v>3095</v>
      </c>
      <c r="K54" s="64">
        <v>8.0</v>
      </c>
      <c r="L54" s="65">
        <v>0.0</v>
      </c>
      <c r="M54" s="23" t="s">
        <v>6756</v>
      </c>
      <c r="N54" s="55" t="s">
        <v>6757</v>
      </c>
    </row>
    <row r="55" ht="45.0" customHeight="1">
      <c r="A55" s="55" t="s">
        <v>289</v>
      </c>
      <c r="B55" s="62" t="s">
        <v>6758</v>
      </c>
      <c r="C55" s="22" t="str">
        <f>IMAGE("https://raw.githubusercontent.com/ltdimages/images/refs/heads/main/ObjTreeCactus.png")</f>
        <v/>
      </c>
      <c r="D55" s="22" t="s">
        <v>3095</v>
      </c>
      <c r="E55" s="22" t="s">
        <v>3095</v>
      </c>
      <c r="F55" s="22" t="s">
        <v>3095</v>
      </c>
      <c r="G55" s="22" t="s">
        <v>3095</v>
      </c>
      <c r="H55" s="22" t="s">
        <v>3095</v>
      </c>
      <c r="I55" s="22" t="s">
        <v>3095</v>
      </c>
      <c r="J55" s="22" t="s">
        <v>3095</v>
      </c>
      <c r="K55" s="64">
        <v>8.0</v>
      </c>
      <c r="L55" s="65" t="s">
        <v>6295</v>
      </c>
      <c r="M55" s="23" t="s">
        <v>6759</v>
      </c>
      <c r="N55" s="55" t="s">
        <v>6760</v>
      </c>
    </row>
    <row r="56" ht="45.0" customHeight="1">
      <c r="A56" s="55" t="s">
        <v>293</v>
      </c>
      <c r="B56" s="62" t="s">
        <v>6761</v>
      </c>
      <c r="C56" s="22" t="str">
        <f>IMAGE("https://raw.githubusercontent.com/ltdimages/images/refs/heads/main/ObjHedge.png")</f>
        <v/>
      </c>
      <c r="D56" s="22" t="s">
        <v>3095</v>
      </c>
      <c r="E56" s="22" t="s">
        <v>3095</v>
      </c>
      <c r="F56" s="22" t="s">
        <v>3095</v>
      </c>
      <c r="G56" s="22" t="s">
        <v>3095</v>
      </c>
      <c r="H56" s="22" t="s">
        <v>3095</v>
      </c>
      <c r="I56" s="22" t="s">
        <v>3095</v>
      </c>
      <c r="J56" s="22" t="s">
        <v>3095</v>
      </c>
      <c r="K56" s="64">
        <v>5.5</v>
      </c>
      <c r="L56" s="65">
        <v>0.0</v>
      </c>
      <c r="M56" s="23" t="s">
        <v>6762</v>
      </c>
      <c r="N56" s="55" t="s">
        <v>6763</v>
      </c>
    </row>
    <row r="57" ht="45.0" customHeight="1">
      <c r="A57" s="55" t="s">
        <v>297</v>
      </c>
      <c r="B57" s="62" t="s">
        <v>6764</v>
      </c>
      <c r="C57" s="22" t="str">
        <f>IMAGE("https://raw.githubusercontent.com/ltdimages/images/refs/heads/main/ObjHedge_01.png")</f>
        <v/>
      </c>
      <c r="D57" s="22" t="str">
        <f>IMAGE("https://raw.githubusercontent.com/ltdimages/images/refs/heads/main/ObjHedge_02.png")</f>
        <v/>
      </c>
      <c r="E57" s="22" t="s">
        <v>3095</v>
      </c>
      <c r="F57" s="22" t="s">
        <v>3095</v>
      </c>
      <c r="G57" s="22" t="s">
        <v>3095</v>
      </c>
      <c r="H57" s="22" t="s">
        <v>3095</v>
      </c>
      <c r="I57" s="22" t="s">
        <v>3095</v>
      </c>
      <c r="J57" s="22" t="s">
        <v>3095</v>
      </c>
      <c r="K57" s="64">
        <v>5.5</v>
      </c>
      <c r="L57" s="65" t="s">
        <v>6737</v>
      </c>
      <c r="M57" s="23" t="s">
        <v>6765</v>
      </c>
      <c r="N57" s="55" t="s">
        <v>6766</v>
      </c>
    </row>
    <row r="58" ht="45.0" customHeight="1">
      <c r="A58" s="55" t="s">
        <v>301</v>
      </c>
      <c r="B58" s="62" t="s">
        <v>6767</v>
      </c>
      <c r="C58" s="22" t="str">
        <f>IMAGE("https://raw.githubusercontent.com/ltdimages/images/refs/heads/main/ObjHedge_03.png")</f>
        <v/>
      </c>
      <c r="D58" s="22" t="s">
        <v>3095</v>
      </c>
      <c r="E58" s="22" t="s">
        <v>3095</v>
      </c>
      <c r="F58" s="22" t="s">
        <v>3095</v>
      </c>
      <c r="G58" s="22" t="s">
        <v>3095</v>
      </c>
      <c r="H58" s="22" t="s">
        <v>3095</v>
      </c>
      <c r="I58" s="22" t="s">
        <v>3095</v>
      </c>
      <c r="J58" s="22" t="s">
        <v>3095</v>
      </c>
      <c r="K58" s="64">
        <v>5.5</v>
      </c>
      <c r="L58" s="65" t="s">
        <v>6520</v>
      </c>
      <c r="M58" s="23" t="s">
        <v>6768</v>
      </c>
      <c r="N58" s="55" t="s">
        <v>6769</v>
      </c>
    </row>
    <row r="59" ht="45.0" customHeight="1">
      <c r="A59" s="55" t="s">
        <v>305</v>
      </c>
      <c r="B59" s="62" t="s">
        <v>6770</v>
      </c>
      <c r="C59" s="22" t="str">
        <f>IMAGE("https://raw.githubusercontent.com/ltdimages/images/refs/heads/main/ObjHedge_04.png")</f>
        <v/>
      </c>
      <c r="D59" s="22" t="s">
        <v>3095</v>
      </c>
      <c r="E59" s="22" t="s">
        <v>3095</v>
      </c>
      <c r="F59" s="22" t="s">
        <v>3095</v>
      </c>
      <c r="G59" s="22" t="s">
        <v>3095</v>
      </c>
      <c r="H59" s="22" t="s">
        <v>3095</v>
      </c>
      <c r="I59" s="22" t="s">
        <v>3095</v>
      </c>
      <c r="J59" s="22" t="s">
        <v>3095</v>
      </c>
      <c r="K59" s="64">
        <v>5.5</v>
      </c>
      <c r="L59" s="65" t="s">
        <v>6295</v>
      </c>
      <c r="M59" s="23" t="s">
        <v>6771</v>
      </c>
      <c r="N59" s="55" t="s">
        <v>6772</v>
      </c>
    </row>
    <row r="60" ht="45.0" customHeight="1">
      <c r="A60" s="55" t="s">
        <v>309</v>
      </c>
      <c r="B60" s="62" t="s">
        <v>6773</v>
      </c>
      <c r="C60" s="22" t="str">
        <f>IMAGE("https://raw.githubusercontent.com/ltdimages/images/refs/heads/main/ObjHedge_05.png")</f>
        <v/>
      </c>
      <c r="D60" s="22" t="s">
        <v>3095</v>
      </c>
      <c r="E60" s="22" t="s">
        <v>3095</v>
      </c>
      <c r="F60" s="22" t="s">
        <v>3095</v>
      </c>
      <c r="G60" s="22" t="s">
        <v>3095</v>
      </c>
      <c r="H60" s="22" t="s">
        <v>3095</v>
      </c>
      <c r="I60" s="22" t="s">
        <v>3095</v>
      </c>
      <c r="J60" s="22" t="s">
        <v>3095</v>
      </c>
      <c r="K60" s="64">
        <v>5.5</v>
      </c>
      <c r="L60" s="65" t="s">
        <v>6737</v>
      </c>
      <c r="M60" s="23" t="s">
        <v>6774</v>
      </c>
      <c r="N60" s="55" t="s">
        <v>6775</v>
      </c>
    </row>
    <row r="61" ht="45.0" customHeight="1">
      <c r="A61" s="55" t="s">
        <v>313</v>
      </c>
      <c r="B61" s="62" t="s">
        <v>6776</v>
      </c>
      <c r="C61" s="22" t="str">
        <f>IMAGE("https://raw.githubusercontent.com/ltdimages/images/refs/heads/main/ObjHedge_06.png")</f>
        <v/>
      </c>
      <c r="D61" s="22" t="s">
        <v>3095</v>
      </c>
      <c r="E61" s="22" t="s">
        <v>3095</v>
      </c>
      <c r="F61" s="22" t="s">
        <v>3095</v>
      </c>
      <c r="G61" s="22" t="s">
        <v>3095</v>
      </c>
      <c r="H61" s="22" t="s">
        <v>3095</v>
      </c>
      <c r="I61" s="22" t="s">
        <v>3095</v>
      </c>
      <c r="J61" s="22" t="s">
        <v>3095</v>
      </c>
      <c r="K61" s="64">
        <v>5.5</v>
      </c>
      <c r="L61" s="65" t="s">
        <v>6588</v>
      </c>
      <c r="M61" s="23" t="s">
        <v>6777</v>
      </c>
      <c r="N61" s="55" t="s">
        <v>6778</v>
      </c>
    </row>
    <row r="62" ht="45.0" customHeight="1">
      <c r="A62" s="55" t="s">
        <v>317</v>
      </c>
      <c r="B62" s="62" t="s">
        <v>6779</v>
      </c>
      <c r="C62" s="22" t="str">
        <f>IMAGE("https://raw.githubusercontent.com/ltdimages/images/refs/heads/main/ObjFlowerNemophila.png")</f>
        <v/>
      </c>
      <c r="D62" s="22" t="s">
        <v>3095</v>
      </c>
      <c r="E62" s="22" t="s">
        <v>3095</v>
      </c>
      <c r="F62" s="22" t="s">
        <v>3095</v>
      </c>
      <c r="G62" s="22" t="s">
        <v>3095</v>
      </c>
      <c r="H62" s="22" t="s">
        <v>3095</v>
      </c>
      <c r="I62" s="22" t="s">
        <v>3095</v>
      </c>
      <c r="J62" s="22" t="s">
        <v>3095</v>
      </c>
      <c r="K62" s="64">
        <v>2.5</v>
      </c>
      <c r="L62" s="65" t="s">
        <v>6520</v>
      </c>
      <c r="M62" s="23" t="s">
        <v>6780</v>
      </c>
      <c r="N62" s="55" t="s">
        <v>6781</v>
      </c>
    </row>
    <row r="63" ht="45.0" customHeight="1">
      <c r="A63" s="55" t="s">
        <v>321</v>
      </c>
      <c r="B63" s="62" t="s">
        <v>6782</v>
      </c>
      <c r="C63" s="22" t="str">
        <f>IMAGE("https://raw.githubusercontent.com/ltdimages/images/refs/heads/main/ObjFlowerTulip.png")</f>
        <v/>
      </c>
      <c r="D63" s="22" t="str">
        <f>IMAGE("https://raw.githubusercontent.com/ltdimages/images/refs/heads/main/ObjFlowerTulip_01.png")</f>
        <v/>
      </c>
      <c r="E63" s="22" t="str">
        <f>IMAGE("https://raw.githubusercontent.com/ltdimages/images/refs/heads/main/ObjFlowerTulip_02.png")</f>
        <v/>
      </c>
      <c r="F63" s="22" t="s">
        <v>3095</v>
      </c>
      <c r="G63" s="22" t="s">
        <v>3095</v>
      </c>
      <c r="H63" s="22" t="s">
        <v>3095</v>
      </c>
      <c r="I63" s="22" t="s">
        <v>3095</v>
      </c>
      <c r="J63" s="22" t="s">
        <v>3095</v>
      </c>
      <c r="K63" s="64">
        <v>2.0</v>
      </c>
      <c r="L63" s="65" t="s">
        <v>6520</v>
      </c>
      <c r="M63" s="23" t="s">
        <v>6783</v>
      </c>
      <c r="N63" s="55" t="s">
        <v>6784</v>
      </c>
    </row>
    <row r="64" ht="45.0" customHeight="1">
      <c r="A64" s="55" t="s">
        <v>325</v>
      </c>
      <c r="B64" s="62" t="s">
        <v>6785</v>
      </c>
      <c r="C64" s="22" t="str">
        <f>IMAGE("https://raw.githubusercontent.com/ltdimages/images/refs/heads/main/ObjFlowerSunflowers.png")</f>
        <v/>
      </c>
      <c r="D64" s="22" t="s">
        <v>3095</v>
      </c>
      <c r="E64" s="22" t="s">
        <v>3095</v>
      </c>
      <c r="F64" s="22" t="s">
        <v>3095</v>
      </c>
      <c r="G64" s="22" t="s">
        <v>3095</v>
      </c>
      <c r="H64" s="22" t="s">
        <v>3095</v>
      </c>
      <c r="I64" s="22" t="s">
        <v>3095</v>
      </c>
      <c r="J64" s="22" t="s">
        <v>3095</v>
      </c>
      <c r="K64" s="64">
        <v>2.5</v>
      </c>
      <c r="L64" s="65" t="s">
        <v>6295</v>
      </c>
      <c r="M64" s="23" t="s">
        <v>6786</v>
      </c>
      <c r="N64" s="55" t="s">
        <v>6787</v>
      </c>
    </row>
    <row r="65" ht="45.0" customHeight="1">
      <c r="A65" s="55" t="s">
        <v>329</v>
      </c>
      <c r="B65" s="62" t="s">
        <v>6788</v>
      </c>
      <c r="C65" s="22" t="str">
        <f>IMAGE("https://raw.githubusercontent.com/ltdimages/images/refs/heads/main/ObjFlowerLavender.png")</f>
        <v/>
      </c>
      <c r="D65" s="22" t="s">
        <v>3095</v>
      </c>
      <c r="E65" s="22" t="s">
        <v>3095</v>
      </c>
      <c r="F65" s="22" t="s">
        <v>3095</v>
      </c>
      <c r="G65" s="22" t="s">
        <v>3095</v>
      </c>
      <c r="H65" s="22" t="s">
        <v>3095</v>
      </c>
      <c r="I65" s="22" t="s">
        <v>3095</v>
      </c>
      <c r="J65" s="22" t="s">
        <v>3095</v>
      </c>
      <c r="K65" s="64">
        <v>3.0</v>
      </c>
      <c r="L65" s="65" t="s">
        <v>6295</v>
      </c>
      <c r="M65" s="23" t="s">
        <v>6789</v>
      </c>
      <c r="N65" s="55" t="s">
        <v>6790</v>
      </c>
    </row>
    <row r="66" ht="45.0" customHeight="1">
      <c r="A66" s="55" t="s">
        <v>333</v>
      </c>
      <c r="B66" s="62" t="s">
        <v>6791</v>
      </c>
      <c r="C66" s="22" t="str">
        <f>IMAGE("https://raw.githubusercontent.com/ltdimages/images/refs/heads/main/ObjFlowerCosmos.png")</f>
        <v/>
      </c>
      <c r="D66" s="22" t="str">
        <f>IMAGE("https://raw.githubusercontent.com/ltdimages/images/refs/heads/main/ObjFlowerCosmos_01.png")</f>
        <v/>
      </c>
      <c r="E66" s="22" t="s">
        <v>3095</v>
      </c>
      <c r="F66" s="22" t="s">
        <v>3095</v>
      </c>
      <c r="G66" s="22" t="s">
        <v>3095</v>
      </c>
      <c r="H66" s="22" t="s">
        <v>3095</v>
      </c>
      <c r="I66" s="22" t="s">
        <v>3095</v>
      </c>
      <c r="J66" s="22" t="s">
        <v>3095</v>
      </c>
      <c r="K66" s="64">
        <v>2.2</v>
      </c>
      <c r="L66" s="65" t="s">
        <v>6737</v>
      </c>
      <c r="M66" s="23" t="s">
        <v>6792</v>
      </c>
      <c r="N66" s="55" t="s">
        <v>6793</v>
      </c>
    </row>
    <row r="67" ht="45.0" customHeight="1">
      <c r="A67" s="55" t="s">
        <v>337</v>
      </c>
      <c r="B67" s="62" t="s">
        <v>6794</v>
      </c>
      <c r="C67" s="22" t="str">
        <f>IMAGE("https://raw.githubusercontent.com/ltdimages/images/refs/heads/main/ObjFlowerPampasGrass.png")</f>
        <v/>
      </c>
      <c r="D67" s="22" t="s">
        <v>3095</v>
      </c>
      <c r="E67" s="22" t="s">
        <v>3095</v>
      </c>
      <c r="F67" s="22" t="s">
        <v>3095</v>
      </c>
      <c r="G67" s="22" t="s">
        <v>3095</v>
      </c>
      <c r="H67" s="22" t="s">
        <v>3095</v>
      </c>
      <c r="I67" s="22" t="s">
        <v>3095</v>
      </c>
      <c r="J67" s="22" t="s">
        <v>3095</v>
      </c>
      <c r="K67" s="64">
        <v>1.8</v>
      </c>
      <c r="L67" s="65" t="s">
        <v>6737</v>
      </c>
      <c r="M67" s="23" t="s">
        <v>6795</v>
      </c>
      <c r="N67" s="55" t="s">
        <v>6796</v>
      </c>
    </row>
    <row r="68" ht="45.0" customHeight="1">
      <c r="A68" s="55" t="s">
        <v>341</v>
      </c>
      <c r="B68" s="62" t="s">
        <v>6797</v>
      </c>
      <c r="C68" s="22" t="str">
        <f>IMAGE("https://raw.githubusercontent.com/ltdimages/images/refs/heads/main/ObjFlowerAnemone.png")</f>
        <v/>
      </c>
      <c r="D68" s="22" t="str">
        <f>IMAGE("https://raw.githubusercontent.com/ltdimages/images/refs/heads/main/ObjFlowerAnemone_01.png")</f>
        <v/>
      </c>
      <c r="E68" s="22" t="str">
        <f>IMAGE("https://raw.githubusercontent.com/ltdimages/images/refs/heads/main/ObjFlowerAnemone_02.png")</f>
        <v/>
      </c>
      <c r="F68" s="22" t="s">
        <v>3095</v>
      </c>
      <c r="G68" s="22" t="s">
        <v>3095</v>
      </c>
      <c r="H68" s="22" t="s">
        <v>3095</v>
      </c>
      <c r="I68" s="22" t="s">
        <v>3095</v>
      </c>
      <c r="J68" s="22" t="s">
        <v>3095</v>
      </c>
      <c r="K68" s="64">
        <v>2.0</v>
      </c>
      <c r="L68" s="65" t="s">
        <v>6588</v>
      </c>
      <c r="M68" s="23" t="s">
        <v>6798</v>
      </c>
      <c r="N68" s="55" t="s">
        <v>6799</v>
      </c>
    </row>
    <row r="69" ht="45.0" customHeight="1">
      <c r="A69" s="55" t="s">
        <v>345</v>
      </c>
      <c r="B69" s="62" t="s">
        <v>6800</v>
      </c>
      <c r="C69" s="22" t="str">
        <f>IMAGE("https://raw.githubusercontent.com/ltdimages/images/refs/heads/main/ObjFlowerNarcissus.png")</f>
        <v/>
      </c>
      <c r="D69" s="22" t="str">
        <f>IMAGE("https://raw.githubusercontent.com/ltdimages/images/refs/heads/main/ObjFlowerNarcissus_01.png")</f>
        <v/>
      </c>
      <c r="E69" s="22" t="s">
        <v>3095</v>
      </c>
      <c r="F69" s="22" t="s">
        <v>3095</v>
      </c>
      <c r="G69" s="22" t="s">
        <v>3095</v>
      </c>
      <c r="H69" s="22" t="s">
        <v>3095</v>
      </c>
      <c r="I69" s="22" t="s">
        <v>3095</v>
      </c>
      <c r="J69" s="22" t="s">
        <v>3095</v>
      </c>
      <c r="K69" s="64">
        <v>1.8</v>
      </c>
      <c r="L69" s="65" t="s">
        <v>6588</v>
      </c>
      <c r="M69" s="23" t="s">
        <v>6801</v>
      </c>
      <c r="N69" s="55" t="s">
        <v>6802</v>
      </c>
    </row>
    <row r="70" ht="45.0" customHeight="1">
      <c r="A70" s="55" t="s">
        <v>349</v>
      </c>
      <c r="B70" s="62" t="s">
        <v>6803</v>
      </c>
      <c r="C70" s="22" t="str">
        <f>IMAGE("https://raw.githubusercontent.com/ltdimages/images/refs/heads/main/ObjFlowerpot.png")</f>
        <v/>
      </c>
      <c r="D70" s="22" t="str">
        <f>IMAGE("https://raw.githubusercontent.com/ltdimages/images/refs/heads/main/ObjFlowerpot_01.png")</f>
        <v/>
      </c>
      <c r="E70" s="22" t="str">
        <f>IMAGE("https://raw.githubusercontent.com/ltdimages/images/refs/heads/main/ObjFlowerpot_02.png")</f>
        <v/>
      </c>
      <c r="F70" s="22" t="str">
        <f>IMAGE("https://raw.githubusercontent.com/ltdimages/images/refs/heads/main/ObjFlowerpot_03.png")</f>
        <v/>
      </c>
      <c r="G70" s="22" t="str">
        <f>IMAGE("https://raw.githubusercontent.com/ltdimages/images/refs/heads/main/ObjFlowerpot_04.png")</f>
        <v/>
      </c>
      <c r="H70" s="22" t="str">
        <f>IMAGE("https://raw.githubusercontent.com/ltdimages/images/refs/heads/main/ObjFlowerpot_05.png")</f>
        <v/>
      </c>
      <c r="I70" s="22" t="str">
        <f>IMAGE("https://raw.githubusercontent.com/ltdimages/images/refs/heads/main/ObjFlowerpot_06.png")</f>
        <v/>
      </c>
      <c r="J70" s="22" t="s">
        <v>3095</v>
      </c>
      <c r="K70" s="64">
        <v>10.0</v>
      </c>
      <c r="L70" s="65">
        <v>0.0</v>
      </c>
      <c r="M70" s="23" t="s">
        <v>6804</v>
      </c>
      <c r="N70" s="55" t="s">
        <v>6805</v>
      </c>
    </row>
    <row r="71" ht="45.0" customHeight="1">
      <c r="A71" s="55" t="s">
        <v>354</v>
      </c>
      <c r="B71" s="62" t="s">
        <v>6806</v>
      </c>
      <c r="C71" s="22" t="str">
        <f>IMAGE("https://raw.githubusercontent.com/ltdimages/images/refs/heads/main/ObjWeed.png")</f>
        <v/>
      </c>
      <c r="D71" s="22" t="s">
        <v>3095</v>
      </c>
      <c r="E71" s="22" t="s">
        <v>3095</v>
      </c>
      <c r="F71" s="22" t="s">
        <v>3095</v>
      </c>
      <c r="G71" s="22" t="s">
        <v>3095</v>
      </c>
      <c r="H71" s="22" t="s">
        <v>3095</v>
      </c>
      <c r="I71" s="22" t="s">
        <v>3095</v>
      </c>
      <c r="J71" s="22" t="s">
        <v>3095</v>
      </c>
      <c r="K71" s="64">
        <v>1.0</v>
      </c>
      <c r="L71" s="65">
        <v>0.0</v>
      </c>
      <c r="M71" s="23" t="s">
        <v>6807</v>
      </c>
      <c r="N71" s="55" t="s">
        <v>6808</v>
      </c>
    </row>
    <row r="72" ht="45.0" customHeight="1">
      <c r="A72" s="55" t="s">
        <v>358</v>
      </c>
      <c r="B72" s="62" t="s">
        <v>6809</v>
      </c>
      <c r="C72" s="22" t="str">
        <f>IMAGE("https://raw.githubusercontent.com/ltdimages/images/refs/heads/main/ObjWeed_01.png")</f>
        <v/>
      </c>
      <c r="D72" s="22" t="s">
        <v>3095</v>
      </c>
      <c r="E72" s="22" t="s">
        <v>3095</v>
      </c>
      <c r="F72" s="22" t="s">
        <v>3095</v>
      </c>
      <c r="G72" s="22" t="s">
        <v>3095</v>
      </c>
      <c r="H72" s="22" t="s">
        <v>3095</v>
      </c>
      <c r="I72" s="22" t="s">
        <v>3095</v>
      </c>
      <c r="J72" s="22" t="s">
        <v>3095</v>
      </c>
      <c r="K72" s="64">
        <v>1.0</v>
      </c>
      <c r="L72" s="65" t="s">
        <v>6810</v>
      </c>
      <c r="M72" s="23" t="s">
        <v>6811</v>
      </c>
      <c r="N72" s="55" t="s">
        <v>6812</v>
      </c>
    </row>
    <row r="73" ht="45.0" customHeight="1">
      <c r="A73" s="55" t="s">
        <v>362</v>
      </c>
      <c r="B73" s="62" t="s">
        <v>6813</v>
      </c>
      <c r="C73" s="22" t="str">
        <f>IMAGE("https://raw.githubusercontent.com/ltdimages/images/refs/heads/main/ObjRock.png")</f>
        <v/>
      </c>
      <c r="D73" s="22" t="str">
        <f>IMAGE("https://raw.githubusercontent.com/ltdimages/images/refs/heads/main/ObjRock_01.png")</f>
        <v/>
      </c>
      <c r="E73" s="22" t="str">
        <f>IMAGE("https://raw.githubusercontent.com/ltdimages/images/refs/heads/main/ObjRock_02.png")</f>
        <v/>
      </c>
      <c r="F73" s="22" t="s">
        <v>3095</v>
      </c>
      <c r="G73" s="22" t="s">
        <v>3095</v>
      </c>
      <c r="H73" s="22" t="s">
        <v>3095</v>
      </c>
      <c r="I73" s="22" t="s">
        <v>3095</v>
      </c>
      <c r="J73" s="22" t="s">
        <v>3095</v>
      </c>
      <c r="K73" s="64">
        <v>3.0</v>
      </c>
      <c r="L73" s="65">
        <v>0.0</v>
      </c>
      <c r="M73" s="23" t="s">
        <v>6814</v>
      </c>
      <c r="N73" s="55" t="s">
        <v>6815</v>
      </c>
    </row>
    <row r="74" ht="45.0" customHeight="1">
      <c r="A74" s="55" t="s">
        <v>367</v>
      </c>
      <c r="B74" s="62" t="s">
        <v>6816</v>
      </c>
      <c r="C74" s="22" t="str">
        <f>IMAGE("https://raw.githubusercontent.com/ltdimages/images/refs/heads/main/ObjTreeElectric.png")</f>
        <v/>
      </c>
      <c r="D74" s="22" t="str">
        <f>IMAGE("https://raw.githubusercontent.com/ltdimages/images/refs/heads/main/ObjTreeElectric_01.png")</f>
        <v/>
      </c>
      <c r="E74" s="22" t="str">
        <f>IMAGE("https://raw.githubusercontent.com/ltdimages/images/refs/heads/main/ObjTreeElectric_02.png")</f>
        <v/>
      </c>
      <c r="F74" s="22" t="str">
        <f>IMAGE("https://raw.githubusercontent.com/ltdimages/images/refs/heads/main/ObjTreeElectric_03.png")</f>
        <v/>
      </c>
      <c r="G74" s="22" t="str">
        <f>IMAGE("https://raw.githubusercontent.com/ltdimages/images/refs/heads/main/ObjTreeElectric_04.png")</f>
        <v/>
      </c>
      <c r="H74" s="22" t="str">
        <f>IMAGE("https://raw.githubusercontent.com/ltdimages/images/refs/heads/main/ObjTreeElectric_05.png")</f>
        <v/>
      </c>
      <c r="I74" s="22" t="str">
        <f>IMAGE("https://raw.githubusercontent.com/ltdimages/images/refs/heads/main/ObjTreeElectric_06.png")</f>
        <v/>
      </c>
      <c r="J74" s="22" t="str">
        <f>IMAGE("https://raw.githubusercontent.com/ltdimages/images/refs/heads/main/ObjTreeElectric_07.png")</f>
        <v/>
      </c>
      <c r="K74" s="64">
        <v>8.0</v>
      </c>
      <c r="L74" s="65" t="s">
        <v>6817</v>
      </c>
      <c r="M74" s="23" t="s">
        <v>6818</v>
      </c>
      <c r="N74" s="55" t="s">
        <v>6819</v>
      </c>
    </row>
    <row r="75" ht="45.0" customHeight="1">
      <c r="A75" s="55" t="s">
        <v>371</v>
      </c>
      <c r="B75" s="62" t="s">
        <v>6820</v>
      </c>
      <c r="C75" s="22" t="str">
        <f>IMAGE("https://raw.githubusercontent.com/ltdimages/images/refs/heads/main/ObjTreeChristmas.png")</f>
        <v/>
      </c>
      <c r="D75" s="22" t="s">
        <v>3095</v>
      </c>
      <c r="E75" s="22" t="s">
        <v>3095</v>
      </c>
      <c r="F75" s="22" t="s">
        <v>3095</v>
      </c>
      <c r="G75" s="22" t="s">
        <v>3095</v>
      </c>
      <c r="H75" s="22" t="s">
        <v>3095</v>
      </c>
      <c r="I75" s="22" t="s">
        <v>3095</v>
      </c>
      <c r="J75" s="22" t="s">
        <v>3095</v>
      </c>
      <c r="K75" s="64">
        <v>23.0</v>
      </c>
      <c r="L75" s="65" t="s">
        <v>6817</v>
      </c>
      <c r="M75" s="23" t="s">
        <v>6821</v>
      </c>
      <c r="N75" s="55" t="s">
        <v>6822</v>
      </c>
    </row>
    <row r="76" ht="45.0" customHeight="1">
      <c r="A76" s="55" t="s">
        <v>3095</v>
      </c>
      <c r="B76" s="62" t="s">
        <v>6823</v>
      </c>
      <c r="C76" s="22" t="str">
        <f>IMAGE("https://raw.githubusercontent.com/ltdimages/images/refs/heads/main/FacilityFamilyRestaurant.png")</f>
        <v/>
      </c>
      <c r="D76" s="22" t="s">
        <v>3095</v>
      </c>
      <c r="E76" s="22" t="s">
        <v>3095</v>
      </c>
      <c r="F76" s="22" t="s">
        <v>3095</v>
      </c>
      <c r="G76" s="22" t="s">
        <v>3095</v>
      </c>
      <c r="H76" s="22" t="s">
        <v>3095</v>
      </c>
      <c r="I76" s="22" t="s">
        <v>3095</v>
      </c>
      <c r="J76" s="22" t="s">
        <v>3095</v>
      </c>
      <c r="K76" s="64">
        <v>300.0</v>
      </c>
      <c r="L76" s="65">
        <v>-1.0</v>
      </c>
      <c r="M76" s="23" t="s">
        <v>6824</v>
      </c>
      <c r="N76" s="55" t="s">
        <v>6825</v>
      </c>
    </row>
    <row r="77" ht="45.0" customHeight="1">
      <c r="A77" s="55" t="s">
        <v>3095</v>
      </c>
      <c r="B77" s="62" t="s">
        <v>6826</v>
      </c>
      <c r="C77" s="22" t="str">
        <f>IMAGE("https://raw.githubusercontent.com/ltdimages/images/refs/heads/main/FacilityClothShop.png")</f>
        <v/>
      </c>
      <c r="D77" s="22" t="s">
        <v>3095</v>
      </c>
      <c r="E77" s="22" t="s">
        <v>3095</v>
      </c>
      <c r="F77" s="22" t="s">
        <v>3095</v>
      </c>
      <c r="G77" s="22" t="s">
        <v>3095</v>
      </c>
      <c r="H77" s="22" t="s">
        <v>3095</v>
      </c>
      <c r="I77" s="22" t="s">
        <v>3095</v>
      </c>
      <c r="J77" s="22" t="s">
        <v>3095</v>
      </c>
      <c r="K77" s="64">
        <v>1000.0</v>
      </c>
      <c r="L77" s="65">
        <v>-1.0</v>
      </c>
      <c r="M77" s="23" t="s">
        <v>6827</v>
      </c>
      <c r="N77" s="55" t="s">
        <v>6828</v>
      </c>
    </row>
    <row r="78" ht="45.0" customHeight="1">
      <c r="A78" s="55" t="s">
        <v>3095</v>
      </c>
      <c r="B78" s="62" t="s">
        <v>6829</v>
      </c>
      <c r="C78" s="22" t="str">
        <f>IMAGE("https://raw.githubusercontent.com/ltdimages/images/refs/heads/main/FacilitySupermarket.png")</f>
        <v/>
      </c>
      <c r="D78" s="22" t="s">
        <v>3095</v>
      </c>
      <c r="E78" s="22" t="s">
        <v>3095</v>
      </c>
      <c r="F78" s="22" t="s">
        <v>3095</v>
      </c>
      <c r="G78" s="22" t="s">
        <v>3095</v>
      </c>
      <c r="H78" s="22" t="s">
        <v>3095</v>
      </c>
      <c r="I78" s="22" t="s">
        <v>3095</v>
      </c>
      <c r="J78" s="22" t="s">
        <v>3095</v>
      </c>
      <c r="K78" s="64">
        <v>1000.0</v>
      </c>
      <c r="L78" s="65">
        <v>-1.0</v>
      </c>
      <c r="M78" s="23" t="s">
        <v>6830</v>
      </c>
      <c r="N78" s="55" t="s">
        <v>6831</v>
      </c>
    </row>
    <row r="79" ht="45.0" customHeight="1">
      <c r="A79" s="55" t="s">
        <v>3095</v>
      </c>
      <c r="B79" s="62" t="s">
        <v>6832</v>
      </c>
      <c r="C79" s="22" t="str">
        <f>IMAGE("https://raw.githubusercontent.com/ltdimages/images/refs/heads/main/FacilityBuildingShop.png")</f>
        <v/>
      </c>
      <c r="D79" s="22" t="s">
        <v>3095</v>
      </c>
      <c r="E79" s="22" t="s">
        <v>3095</v>
      </c>
      <c r="F79" s="22" t="s">
        <v>3095</v>
      </c>
      <c r="G79" s="22" t="s">
        <v>3095</v>
      </c>
      <c r="H79" s="22" t="s">
        <v>3095</v>
      </c>
      <c r="I79" s="22" t="s">
        <v>3095</v>
      </c>
      <c r="J79" s="22" t="s">
        <v>3095</v>
      </c>
      <c r="K79" s="64">
        <v>1000.0</v>
      </c>
      <c r="L79" s="65">
        <v>-1.0</v>
      </c>
      <c r="M79" s="23" t="s">
        <v>6833</v>
      </c>
      <c r="N79" s="55" t="s">
        <v>6834</v>
      </c>
    </row>
    <row r="80" ht="45.0" customHeight="1">
      <c r="A80" s="55" t="s">
        <v>3095</v>
      </c>
      <c r="B80" s="62" t="s">
        <v>6835</v>
      </c>
      <c r="C80" s="22" t="str">
        <f>IMAGE("https://raw.githubusercontent.com/ltdimages/images/refs/heads/main/FacilityItemShop.png")</f>
        <v/>
      </c>
      <c r="D80" s="22" t="s">
        <v>3095</v>
      </c>
      <c r="E80" s="22" t="s">
        <v>3095</v>
      </c>
      <c r="F80" s="22" t="s">
        <v>3095</v>
      </c>
      <c r="G80" s="22" t="s">
        <v>3095</v>
      </c>
      <c r="H80" s="22" t="s">
        <v>3095</v>
      </c>
      <c r="I80" s="22" t="s">
        <v>3095</v>
      </c>
      <c r="J80" s="22" t="s">
        <v>3095</v>
      </c>
      <c r="K80" s="64">
        <v>1000.0</v>
      </c>
      <c r="L80" s="65">
        <v>-1.0</v>
      </c>
      <c r="M80" s="23" t="s">
        <v>6836</v>
      </c>
      <c r="N80" s="55" t="s">
        <v>6837</v>
      </c>
    </row>
    <row r="81" ht="45.0" customHeight="1">
      <c r="A81" s="55" t="s">
        <v>3095</v>
      </c>
      <c r="B81" s="62" t="s">
        <v>6838</v>
      </c>
      <c r="C81" s="22" t="str">
        <f>IMAGE("https://raw.githubusercontent.com/ltdimages/images/refs/heads/main/FacilityAtelier.png")</f>
        <v/>
      </c>
      <c r="D81" s="22" t="s">
        <v>3095</v>
      </c>
      <c r="E81" s="22" t="s">
        <v>3095</v>
      </c>
      <c r="F81" s="22" t="s">
        <v>3095</v>
      </c>
      <c r="G81" s="22" t="s">
        <v>3095</v>
      </c>
      <c r="H81" s="22" t="s">
        <v>3095</v>
      </c>
      <c r="I81" s="22" t="s">
        <v>3095</v>
      </c>
      <c r="J81" s="22" t="s">
        <v>3095</v>
      </c>
      <c r="K81" s="64">
        <v>1000.0</v>
      </c>
      <c r="L81" s="65">
        <v>-1.0</v>
      </c>
      <c r="M81" s="23" t="s">
        <v>6839</v>
      </c>
      <c r="N81" s="55" t="s">
        <v>6840</v>
      </c>
    </row>
    <row r="82" ht="45.0" customHeight="1">
      <c r="A82" s="55" t="s">
        <v>3095</v>
      </c>
      <c r="B82" s="62" t="s">
        <v>6841</v>
      </c>
      <c r="C82" s="22" t="str">
        <f>IMAGE("https://raw.githubusercontent.com/ltdimages/images/refs/heads/main/FacilityPhotoStudio.png")</f>
        <v/>
      </c>
      <c r="D82" s="22" t="s">
        <v>3095</v>
      </c>
      <c r="E82" s="22" t="s">
        <v>3095</v>
      </c>
      <c r="F82" s="22" t="s">
        <v>3095</v>
      </c>
      <c r="G82" s="22" t="s">
        <v>3095</v>
      </c>
      <c r="H82" s="22" t="s">
        <v>3095</v>
      </c>
      <c r="I82" s="22" t="s">
        <v>3095</v>
      </c>
      <c r="J82" s="22" t="s">
        <v>3095</v>
      </c>
      <c r="K82" s="64">
        <v>1000.0</v>
      </c>
      <c r="L82" s="65">
        <v>-1.0</v>
      </c>
      <c r="M82" s="23" t="s">
        <v>6842</v>
      </c>
      <c r="N82" s="55" t="s">
        <v>6843</v>
      </c>
    </row>
    <row r="83" ht="45.0" customHeight="1">
      <c r="A83" s="55" t="s">
        <v>3095</v>
      </c>
      <c r="B83" s="62" t="s">
        <v>6844</v>
      </c>
      <c r="C83" s="22" t="str">
        <f>IMAGE("https://raw.githubusercontent.com/ltdimages/images/refs/heads/main/FacilityTower.png")</f>
        <v/>
      </c>
      <c r="D83" s="22" t="s">
        <v>3095</v>
      </c>
      <c r="E83" s="22" t="s">
        <v>3095</v>
      </c>
      <c r="F83" s="22" t="s">
        <v>3095</v>
      </c>
      <c r="G83" s="22" t="s">
        <v>3095</v>
      </c>
      <c r="H83" s="22" t="s">
        <v>3095</v>
      </c>
      <c r="I83" s="22" t="s">
        <v>3095</v>
      </c>
      <c r="J83" s="22" t="s">
        <v>3095</v>
      </c>
      <c r="K83" s="64">
        <v>1000.0</v>
      </c>
      <c r="L83" s="65">
        <v>-1.0</v>
      </c>
      <c r="M83" s="23" t="s">
        <v>6845</v>
      </c>
      <c r="N83" s="55" t="s">
        <v>6846</v>
      </c>
    </row>
    <row r="84" ht="45.0" customHeight="1">
      <c r="A84" s="55" t="s">
        <v>3095</v>
      </c>
      <c r="B84" s="62" t="s">
        <v>6847</v>
      </c>
      <c r="C84" s="22" t="str">
        <f>IMAGE("https://raw.githubusercontent.com/ltdimages/images/refs/heads/main/FacilityPawnShop.png")</f>
        <v/>
      </c>
      <c r="D84" s="22" t="s">
        <v>3095</v>
      </c>
      <c r="E84" s="22" t="s">
        <v>3095</v>
      </c>
      <c r="F84" s="22" t="s">
        <v>3095</v>
      </c>
      <c r="G84" s="22" t="s">
        <v>3095</v>
      </c>
      <c r="H84" s="22" t="s">
        <v>3095</v>
      </c>
      <c r="I84" s="22" t="s">
        <v>3095</v>
      </c>
      <c r="J84" s="22" t="s">
        <v>3095</v>
      </c>
      <c r="K84" s="64">
        <v>3000.0</v>
      </c>
      <c r="L84" s="65">
        <v>-1.0</v>
      </c>
      <c r="M84" s="23" t="s">
        <v>6848</v>
      </c>
      <c r="N84" s="55" t="s">
        <v>6849</v>
      </c>
    </row>
    <row r="85" ht="45.0" customHeight="1">
      <c r="A85" s="55" t="s">
        <v>3095</v>
      </c>
      <c r="B85" s="62" t="s">
        <v>6850</v>
      </c>
      <c r="C85" s="22" t="str">
        <f>IMAGE("https://raw.githubusercontent.com/ltdimages/images/refs/heads/main/FacilityInteriorShop.png")</f>
        <v/>
      </c>
      <c r="D85" s="22" t="s">
        <v>3095</v>
      </c>
      <c r="E85" s="22" t="s">
        <v>3095</v>
      </c>
      <c r="F85" s="22" t="s">
        <v>3095</v>
      </c>
      <c r="G85" s="22" t="s">
        <v>3095</v>
      </c>
      <c r="H85" s="22" t="s">
        <v>3095</v>
      </c>
      <c r="I85" s="22" t="s">
        <v>3095</v>
      </c>
      <c r="J85" s="22" t="s">
        <v>3095</v>
      </c>
      <c r="K85" s="64">
        <v>3000.0</v>
      </c>
      <c r="L85" s="65">
        <v>-1.0</v>
      </c>
      <c r="M85" s="23" t="s">
        <v>6851</v>
      </c>
      <c r="N85" s="55" t="s">
        <v>6852</v>
      </c>
    </row>
    <row r="86" ht="45.0" customHeight="1">
      <c r="A86" s="55" t="s">
        <v>3095</v>
      </c>
      <c r="B86" s="62" t="s">
        <v>6853</v>
      </c>
      <c r="C86" s="22" t="str">
        <f>IMAGE("https://raw.githubusercontent.com/ltdimages/images/refs/heads/main/FacilityFerrisWheel.png")</f>
        <v/>
      </c>
      <c r="D86" s="22" t="s">
        <v>3095</v>
      </c>
      <c r="E86" s="22" t="s">
        <v>3095</v>
      </c>
      <c r="F86" s="22" t="s">
        <v>3095</v>
      </c>
      <c r="G86" s="22" t="s">
        <v>3095</v>
      </c>
      <c r="H86" s="22" t="s">
        <v>3095</v>
      </c>
      <c r="I86" s="22" t="s">
        <v>3095</v>
      </c>
      <c r="J86" s="22" t="s">
        <v>3095</v>
      </c>
      <c r="K86" s="64">
        <v>8000.0</v>
      </c>
      <c r="L86" s="65">
        <v>-1.0</v>
      </c>
      <c r="M86" s="23" t="s">
        <v>6854</v>
      </c>
      <c r="N86" s="55" t="s">
        <v>6855</v>
      </c>
    </row>
    <row r="87" ht="45.0" customHeight="1">
      <c r="A87" s="55" t="s">
        <v>3095</v>
      </c>
      <c r="B87" s="62" t="s">
        <v>6856</v>
      </c>
      <c r="C87" s="22" t="str">
        <f>IMAGE("https://raw.githubusercontent.com/ltdimages/images/refs/heads/main/FacilityMarket.png")</f>
        <v/>
      </c>
      <c r="D87" s="22" t="s">
        <v>3095</v>
      </c>
      <c r="E87" s="22" t="s">
        <v>3095</v>
      </c>
      <c r="F87" s="22" t="s">
        <v>3095</v>
      </c>
      <c r="G87" s="22" t="s">
        <v>3095</v>
      </c>
      <c r="H87" s="22" t="s">
        <v>3095</v>
      </c>
      <c r="I87" s="22" t="s">
        <v>3095</v>
      </c>
      <c r="J87" s="22" t="s">
        <v>3095</v>
      </c>
      <c r="K87" s="64">
        <v>5000.0</v>
      </c>
      <c r="L87" s="65">
        <v>-1.0</v>
      </c>
      <c r="M87" s="23" t="s">
        <v>6857</v>
      </c>
      <c r="N87" s="55" t="s">
        <v>6858</v>
      </c>
    </row>
  </sheetData>
  <autoFilter ref="$A$1:$N$87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88"/>
    <col customWidth="1" min="2" max="3" width="22.63"/>
    <col customWidth="1" min="4" max="5" width="7.63"/>
    <col customWidth="1" min="6" max="7" width="17.88"/>
    <col customWidth="1" min="8" max="9" width="34.63"/>
    <col customWidth="1" min="10" max="11" width="21.13"/>
  </cols>
  <sheetData>
    <row r="1" ht="31.5" customHeight="1">
      <c r="A1" s="58" t="s">
        <v>23</v>
      </c>
      <c r="B1" s="59" t="s">
        <v>25</v>
      </c>
      <c r="C1" s="59" t="s">
        <v>6859</v>
      </c>
      <c r="D1" s="60" t="s">
        <v>24</v>
      </c>
      <c r="E1" s="60" t="s">
        <v>6860</v>
      </c>
      <c r="F1" s="19" t="s">
        <v>1999</v>
      </c>
      <c r="G1" s="19" t="s">
        <v>6861</v>
      </c>
      <c r="H1" s="19" t="s">
        <v>39</v>
      </c>
      <c r="I1" s="19" t="s">
        <v>6862</v>
      </c>
      <c r="J1" s="58" t="s">
        <v>40</v>
      </c>
      <c r="K1" s="58" t="s">
        <v>6863</v>
      </c>
    </row>
    <row r="2" ht="45.0" customHeight="1">
      <c r="A2" s="55" t="s">
        <v>41</v>
      </c>
      <c r="B2" s="62" t="s">
        <v>6864</v>
      </c>
      <c r="C2" s="62" t="s">
        <v>6865</v>
      </c>
      <c r="D2" s="22" t="str">
        <f>IMAGE("https://raw.githubusercontent.com/ltdimages/images/refs/heads/main/Floor_Archstone.png")</f>
        <v/>
      </c>
      <c r="E2" s="22" t="str">
        <f>IMAGE("https://raw.githubusercontent.com/ltdimages/images/refs/heads/main/Floor_Archstone_Road.png")</f>
        <v/>
      </c>
      <c r="F2" s="65">
        <v>23.0</v>
      </c>
      <c r="G2" s="65" t="s">
        <v>86</v>
      </c>
      <c r="H2" s="23" t="s">
        <v>6866</v>
      </c>
      <c r="I2" s="23" t="s">
        <v>6867</v>
      </c>
      <c r="J2" s="55" t="s">
        <v>6868</v>
      </c>
      <c r="K2" s="55" t="s">
        <v>6869</v>
      </c>
    </row>
    <row r="3" ht="45.0" customHeight="1">
      <c r="A3" s="55" t="s">
        <v>52</v>
      </c>
      <c r="B3" s="62" t="s">
        <v>6870</v>
      </c>
      <c r="C3" s="62" t="s">
        <v>6871</v>
      </c>
      <c r="D3" s="22" t="str">
        <f>IMAGE("https://raw.githubusercontent.com/ltdimages/images/refs/heads/main/Floor_Asphalt.png")</f>
        <v/>
      </c>
      <c r="E3" s="22" t="str">
        <f>IMAGE("https://raw.githubusercontent.com/ltdimages/images/refs/heads/main/Floor_Asphalt_Road.png")</f>
        <v/>
      </c>
      <c r="F3" s="65">
        <v>0.0</v>
      </c>
      <c r="G3" s="65" t="s">
        <v>86</v>
      </c>
      <c r="H3" s="23" t="s">
        <v>6872</v>
      </c>
      <c r="I3" s="23" t="s">
        <v>6873</v>
      </c>
      <c r="J3" s="55" t="s">
        <v>6870</v>
      </c>
      <c r="K3" s="55" t="s">
        <v>6874</v>
      </c>
    </row>
    <row r="4" ht="45.0" customHeight="1">
      <c r="A4" s="55" t="s">
        <v>60</v>
      </c>
      <c r="B4" s="62" t="s">
        <v>6875</v>
      </c>
      <c r="C4" s="62" t="s">
        <v>6876</v>
      </c>
      <c r="D4" s="22" t="str">
        <f>IMAGE("https://raw.githubusercontent.com/ltdimages/images/refs/heads/main/Floor_Stone.png")</f>
        <v/>
      </c>
      <c r="E4" s="22" t="str">
        <f>IMAGE("https://raw.githubusercontent.com/ltdimages/images/refs/heads/main/Floor_Stone_Road.png")</f>
        <v/>
      </c>
      <c r="F4" s="65">
        <v>1.0</v>
      </c>
      <c r="G4" s="65" t="s">
        <v>86</v>
      </c>
      <c r="H4" s="23" t="s">
        <v>6877</v>
      </c>
      <c r="I4" s="23" t="s">
        <v>6878</v>
      </c>
      <c r="J4" s="55" t="s">
        <v>6879</v>
      </c>
      <c r="K4" s="55" t="s">
        <v>6880</v>
      </c>
    </row>
    <row r="5" ht="45.0" customHeight="1">
      <c r="A5" s="55" t="s">
        <v>65</v>
      </c>
      <c r="B5" s="62" t="s">
        <v>6881</v>
      </c>
      <c r="C5" s="62" t="s">
        <v>6882</v>
      </c>
      <c r="D5" s="22" t="str">
        <f>IMAGE("https://raw.githubusercontent.com/ltdimages/images/refs/heads/main/Floor_CherryBlossom.png")</f>
        <v/>
      </c>
      <c r="E5" s="22" t="str">
        <f>IMAGE("https://raw.githubusercontent.com/ltdimages/images/refs/heads/main/Floor_CherryBlossom_Road.png")</f>
        <v/>
      </c>
      <c r="F5" s="65" t="s">
        <v>6520</v>
      </c>
      <c r="G5" s="65" t="s">
        <v>86</v>
      </c>
      <c r="H5" s="23" t="s">
        <v>6883</v>
      </c>
      <c r="I5" s="23" t="s">
        <v>6884</v>
      </c>
      <c r="J5" s="55" t="s">
        <v>6885</v>
      </c>
      <c r="K5" s="55" t="s">
        <v>6886</v>
      </c>
    </row>
    <row r="6" ht="45.0" customHeight="1">
      <c r="A6" s="55" t="s">
        <v>70</v>
      </c>
      <c r="B6" s="62" t="s">
        <v>6887</v>
      </c>
      <c r="C6" s="62" t="s">
        <v>6888</v>
      </c>
      <c r="D6" s="22" t="str">
        <f>IMAGE("https://raw.githubusercontent.com/ltdimages/images/refs/heads/main/Floor_Clover.png")</f>
        <v/>
      </c>
      <c r="E6" s="22" t="str">
        <f>IMAGE("https://raw.githubusercontent.com/ltdimages/images/refs/heads/main/Floor_Clover_Road.png")</f>
        <v/>
      </c>
      <c r="F6" s="65">
        <v>0.0</v>
      </c>
      <c r="G6" s="65" t="s">
        <v>86</v>
      </c>
      <c r="H6" s="23" t="s">
        <v>6889</v>
      </c>
      <c r="I6" s="23" t="s">
        <v>6890</v>
      </c>
      <c r="J6" s="55" t="s">
        <v>6891</v>
      </c>
      <c r="K6" s="55" t="s">
        <v>6892</v>
      </c>
    </row>
    <row r="7" ht="45.0" customHeight="1">
      <c r="A7" s="55" t="s">
        <v>74</v>
      </c>
      <c r="B7" s="62" t="s">
        <v>6893</v>
      </c>
      <c r="C7" s="62" t="s">
        <v>6894</v>
      </c>
      <c r="D7" s="22" t="str">
        <f>IMAGE("https://raw.githubusercontent.com/ltdimages/images/refs/heads/main/Floor_Cobblestone.png")</f>
        <v/>
      </c>
      <c r="E7" s="22" t="str">
        <f>IMAGE("https://raw.githubusercontent.com/ltdimages/images/refs/heads/main/Floor_Cobblestone_Road.png")</f>
        <v/>
      </c>
      <c r="F7" s="65">
        <v>1.0</v>
      </c>
      <c r="G7" s="65" t="s">
        <v>86</v>
      </c>
      <c r="H7" s="23" t="s">
        <v>6895</v>
      </c>
      <c r="I7" s="23" t="s">
        <v>6896</v>
      </c>
      <c r="J7" s="55" t="s">
        <v>6893</v>
      </c>
      <c r="K7" s="55" t="s">
        <v>6897</v>
      </c>
    </row>
    <row r="8" ht="45.0" customHeight="1">
      <c r="A8" s="55" t="s">
        <v>78</v>
      </c>
      <c r="B8" s="62" t="s">
        <v>6898</v>
      </c>
      <c r="C8" s="62" t="s">
        <v>6899</v>
      </c>
      <c r="D8" s="22" t="str">
        <f>IMAGE("https://raw.githubusercontent.com/ltdimages/images/refs/heads/main/Floor_Concrete.png")</f>
        <v/>
      </c>
      <c r="E8" s="22" t="str">
        <f>IMAGE("https://raw.githubusercontent.com/ltdimages/images/refs/heads/main/Floor_Concrete_Road.png")</f>
        <v/>
      </c>
      <c r="F8" s="65">
        <v>0.0</v>
      </c>
      <c r="G8" s="65" t="s">
        <v>86</v>
      </c>
      <c r="H8" s="23" t="s">
        <v>6900</v>
      </c>
      <c r="I8" s="23" t="s">
        <v>6901</v>
      </c>
      <c r="J8" s="55" t="s">
        <v>6898</v>
      </c>
      <c r="K8" s="55" t="s">
        <v>6902</v>
      </c>
    </row>
    <row r="9" ht="45.0" customHeight="1">
      <c r="A9" s="55" t="s">
        <v>83</v>
      </c>
      <c r="B9" s="62" t="s">
        <v>6903</v>
      </c>
      <c r="C9" s="62" t="s">
        <v>6904</v>
      </c>
      <c r="D9" s="22" t="str">
        <f>IMAGE("https://raw.githubusercontent.com/ltdimages/images/refs/heads/main/Floor_Soil.png")</f>
        <v/>
      </c>
      <c r="E9" s="22" t="str">
        <f>IMAGE("https://raw.githubusercontent.com/ltdimages/images/refs/heads/main/Floor_Soil_Road.png")</f>
        <v/>
      </c>
      <c r="F9" s="65">
        <v>0.0</v>
      </c>
      <c r="G9" s="65" t="s">
        <v>86</v>
      </c>
      <c r="H9" s="23" t="s">
        <v>6905</v>
      </c>
      <c r="I9" s="23" t="s">
        <v>6906</v>
      </c>
      <c r="J9" s="55" t="s">
        <v>6907</v>
      </c>
      <c r="K9" s="55" t="s">
        <v>6908</v>
      </c>
    </row>
    <row r="10" ht="45.0" customHeight="1">
      <c r="A10" s="55" t="s">
        <v>89</v>
      </c>
      <c r="B10" s="62" t="s">
        <v>6909</v>
      </c>
      <c r="C10" s="62" t="s">
        <v>6910</v>
      </c>
      <c r="D10" s="22" t="str">
        <f>IMAGE("https://raw.githubusercontent.com/ltdimages/images/refs/heads/main/Floor_FallenLeaves.png")</f>
        <v/>
      </c>
      <c r="E10" s="22" t="str">
        <f>IMAGE("https://raw.githubusercontent.com/ltdimages/images/refs/heads/main/Floor_FallenLeaves_Road.png")</f>
        <v/>
      </c>
      <c r="F10" s="65" t="s">
        <v>6737</v>
      </c>
      <c r="G10" s="65" t="s">
        <v>86</v>
      </c>
      <c r="H10" s="23" t="s">
        <v>6911</v>
      </c>
      <c r="I10" s="23" t="s">
        <v>6912</v>
      </c>
      <c r="J10" s="55" t="s">
        <v>2597</v>
      </c>
      <c r="K10" s="55" t="s">
        <v>6913</v>
      </c>
    </row>
    <row r="11" ht="45.0" customHeight="1">
      <c r="A11" s="55" t="s">
        <v>94</v>
      </c>
      <c r="B11" s="62" t="s">
        <v>6914</v>
      </c>
      <c r="C11" s="62" t="s">
        <v>6915</v>
      </c>
      <c r="D11" s="22" t="str">
        <f>IMAGE("https://raw.githubusercontent.com/ltdimages/images/refs/heads/main/Floor_Gold.png")</f>
        <v/>
      </c>
      <c r="E11" s="22" t="str">
        <f>IMAGE("https://raw.githubusercontent.com/ltdimages/images/refs/heads/main/Floor_Gold_Road.png")</f>
        <v/>
      </c>
      <c r="F11" s="65">
        <v>-1.0</v>
      </c>
      <c r="G11" s="65" t="s">
        <v>86</v>
      </c>
      <c r="H11" s="23" t="s">
        <v>6916</v>
      </c>
      <c r="I11" s="23" t="s">
        <v>6917</v>
      </c>
      <c r="J11" s="55" t="s">
        <v>6918</v>
      </c>
      <c r="K11" s="55" t="s">
        <v>6919</v>
      </c>
    </row>
    <row r="12" ht="45.0" customHeight="1">
      <c r="A12" s="55" t="s">
        <v>98</v>
      </c>
      <c r="B12" s="62" t="s">
        <v>6920</v>
      </c>
      <c r="C12" s="62" t="s">
        <v>6921</v>
      </c>
      <c r="D12" s="22" t="str">
        <f>IMAGE("https://raw.githubusercontent.com/ltdimages/images/refs/heads/main/Floor_Grass.png")</f>
        <v/>
      </c>
      <c r="E12" s="22" t="str">
        <f>IMAGE("https://raw.githubusercontent.com/ltdimages/images/refs/heads/main/Floor_Grass_Road.png")</f>
        <v/>
      </c>
      <c r="F12" s="65">
        <v>0.0</v>
      </c>
      <c r="G12" s="65" t="s">
        <v>86</v>
      </c>
      <c r="H12" s="23" t="s">
        <v>6922</v>
      </c>
      <c r="I12" s="23" t="s">
        <v>6923</v>
      </c>
      <c r="J12" s="55" t="s">
        <v>6920</v>
      </c>
      <c r="K12" s="55" t="s">
        <v>6924</v>
      </c>
    </row>
    <row r="13" ht="45.0" customHeight="1">
      <c r="A13" s="55" t="s">
        <v>104</v>
      </c>
      <c r="B13" s="62" t="s">
        <v>6925</v>
      </c>
      <c r="C13" s="62" t="s">
        <v>6926</v>
      </c>
      <c r="D13" s="22" t="str">
        <f>IMAGE("https://raw.githubusercontent.com/ltdimages/images/refs/heads/main/Floor_Pebble.png")</f>
        <v/>
      </c>
      <c r="E13" s="22" t="str">
        <f>IMAGE("https://raw.githubusercontent.com/ltdimages/images/refs/heads/main/Floor_Pebble_Road.png")</f>
        <v/>
      </c>
      <c r="F13" s="65">
        <v>4.0</v>
      </c>
      <c r="G13" s="65" t="s">
        <v>86</v>
      </c>
      <c r="H13" s="23" t="s">
        <v>6927</v>
      </c>
      <c r="I13" s="23" t="s">
        <v>6928</v>
      </c>
      <c r="J13" s="55" t="s">
        <v>6929</v>
      </c>
      <c r="K13" s="55" t="s">
        <v>6930</v>
      </c>
    </row>
    <row r="14" ht="45.0" customHeight="1">
      <c r="A14" s="55" t="s">
        <v>109</v>
      </c>
      <c r="B14" s="62" t="s">
        <v>6931</v>
      </c>
      <c r="C14" s="62" t="s">
        <v>6932</v>
      </c>
      <c r="D14" s="22" t="str">
        <f>IMAGE("https://raw.githubusercontent.com/ltdimages/images/refs/heads/main/Floor_Sand.png")</f>
        <v/>
      </c>
      <c r="E14" s="22" t="str">
        <f>IMAGE("https://raw.githubusercontent.com/ltdimages/images/refs/heads/main/Floor_Sand_Road.png")</f>
        <v/>
      </c>
      <c r="F14" s="65">
        <v>8.0</v>
      </c>
      <c r="G14" s="65" t="s">
        <v>86</v>
      </c>
      <c r="H14" s="23" t="s">
        <v>6933</v>
      </c>
      <c r="I14" s="23" t="s">
        <v>6934</v>
      </c>
      <c r="J14" s="55" t="s">
        <v>6931</v>
      </c>
      <c r="K14" s="55" t="s">
        <v>6935</v>
      </c>
    </row>
    <row r="15" ht="45.0" customHeight="1">
      <c r="A15" s="55" t="s">
        <v>115</v>
      </c>
      <c r="B15" s="62" t="s">
        <v>6936</v>
      </c>
      <c r="C15" s="62" t="s">
        <v>6937</v>
      </c>
      <c r="D15" s="22" t="str">
        <f>IMAGE("https://raw.githubusercontent.com/ltdimages/images/refs/heads/main/Floor_Snow.png")</f>
        <v/>
      </c>
      <c r="E15" s="22" t="str">
        <f>IMAGE("https://raw.githubusercontent.com/ltdimages/images/refs/heads/main/Floor_Snow_Road.png")</f>
        <v/>
      </c>
      <c r="F15" s="65" t="s">
        <v>6588</v>
      </c>
      <c r="G15" s="65" t="s">
        <v>86</v>
      </c>
      <c r="H15" s="23" t="s">
        <v>6938</v>
      </c>
      <c r="I15" s="23" t="s">
        <v>6939</v>
      </c>
      <c r="J15" s="55" t="s">
        <v>6936</v>
      </c>
      <c r="K15" s="55" t="s">
        <v>6940</v>
      </c>
    </row>
    <row r="16" ht="45.0" customHeight="1">
      <c r="A16" s="55" t="s">
        <v>119</v>
      </c>
      <c r="B16" s="62" t="s">
        <v>6941</v>
      </c>
      <c r="C16" s="62" t="s">
        <v>6942</v>
      </c>
      <c r="D16" s="22" t="str">
        <f>IMAGE("https://raw.githubusercontent.com/ltdimages/images/refs/heads/main/Floor_Iron.png")</f>
        <v/>
      </c>
      <c r="E16" s="22" t="str">
        <f>IMAGE("https://raw.githubusercontent.com/ltdimages/images/refs/heads/main/Floor_Iron_Road.png")</f>
        <v/>
      </c>
      <c r="F16" s="65">
        <v>18.0</v>
      </c>
      <c r="G16" s="65" t="s">
        <v>86</v>
      </c>
      <c r="H16" s="23" t="s">
        <v>6943</v>
      </c>
      <c r="I16" s="23" t="s">
        <v>6944</v>
      </c>
      <c r="J16" s="55" t="s">
        <v>6945</v>
      </c>
      <c r="K16" s="55" t="s">
        <v>6946</v>
      </c>
    </row>
    <row r="17" ht="45.0" customHeight="1">
      <c r="A17" s="55" t="s">
        <v>124</v>
      </c>
      <c r="B17" s="62" t="s">
        <v>6947</v>
      </c>
      <c r="C17" s="62" t="s">
        <v>6948</v>
      </c>
      <c r="D17" s="22" t="str">
        <f>IMAGE("https://raw.githubusercontent.com/ltdimages/images/refs/heads/main/Floor_Tile.png")</f>
        <v/>
      </c>
      <c r="E17" s="22" t="str">
        <f>IMAGE("https://raw.githubusercontent.com/ltdimages/images/refs/heads/main/Floor_Tile_Road.png")</f>
        <v/>
      </c>
      <c r="F17" s="65" t="s">
        <v>6295</v>
      </c>
      <c r="G17" s="65" t="s">
        <v>86</v>
      </c>
      <c r="H17" s="23" t="s">
        <v>6949</v>
      </c>
      <c r="I17" s="23" t="s">
        <v>6950</v>
      </c>
      <c r="J17" s="55" t="s">
        <v>2902</v>
      </c>
      <c r="K17" s="55" t="s">
        <v>6951</v>
      </c>
    </row>
    <row r="18" ht="45.0" customHeight="1">
      <c r="A18" s="55" t="s">
        <v>129</v>
      </c>
      <c r="B18" s="62" t="s">
        <v>6952</v>
      </c>
      <c r="C18" s="62" t="s">
        <v>6953</v>
      </c>
      <c r="D18" s="22" t="str">
        <f>IMAGE("https://raw.githubusercontent.com/ltdimages/images/refs/heads/main/Floor_Wood.png")</f>
        <v/>
      </c>
      <c r="E18" s="22" t="str">
        <f>IMAGE("https://raw.githubusercontent.com/ltdimages/images/refs/heads/main/Floor_Wood_Road.png")</f>
        <v/>
      </c>
      <c r="F18" s="65">
        <v>13.0</v>
      </c>
      <c r="G18" s="65" t="s">
        <v>86</v>
      </c>
      <c r="H18" s="23" t="s">
        <v>6954</v>
      </c>
      <c r="I18" s="23" t="s">
        <v>6955</v>
      </c>
      <c r="J18" s="55" t="s">
        <v>6956</v>
      </c>
      <c r="K18" s="55" t="s">
        <v>6957</v>
      </c>
    </row>
    <row r="19" ht="45.0" customHeight="1">
      <c r="A19" s="55" t="s">
        <v>134</v>
      </c>
      <c r="B19" s="62" t="s">
        <v>6958</v>
      </c>
      <c r="C19" s="62" t="s">
        <v>3095</v>
      </c>
      <c r="D19" s="22" t="str">
        <f>IMAGE("https://raw.githubusercontent.com/ltdimages/images/refs/heads/main/Floor_Beach.png")</f>
        <v/>
      </c>
      <c r="E19" s="22" t="s">
        <v>3095</v>
      </c>
      <c r="F19" s="65">
        <v>0.0</v>
      </c>
      <c r="G19" s="65" t="s">
        <v>47</v>
      </c>
      <c r="H19" s="23" t="s">
        <v>6959</v>
      </c>
      <c r="I19" s="23" t="s">
        <v>3095</v>
      </c>
      <c r="J19" s="55" t="s">
        <v>6960</v>
      </c>
      <c r="K19" s="55" t="s">
        <v>3095</v>
      </c>
    </row>
    <row r="20" ht="45.0" customHeight="1">
      <c r="A20" s="55" t="s">
        <v>138</v>
      </c>
      <c r="B20" s="62" t="s">
        <v>6961</v>
      </c>
      <c r="C20" s="62" t="s">
        <v>3095</v>
      </c>
      <c r="D20" s="22" t="str">
        <f>IMAGE("https://raw.githubusercontent.com/ltdimages/images/refs/heads/main/Floor_Water.png")</f>
        <v/>
      </c>
      <c r="E20" s="22" t="s">
        <v>3095</v>
      </c>
      <c r="F20" s="65">
        <v>0.0</v>
      </c>
      <c r="G20" s="65" t="s">
        <v>47</v>
      </c>
      <c r="H20" s="23" t="s">
        <v>6962</v>
      </c>
      <c r="I20" s="23" t="s">
        <v>3095</v>
      </c>
      <c r="J20" s="55" t="s">
        <v>1980</v>
      </c>
      <c r="K20" s="55" t="s">
        <v>3095</v>
      </c>
    </row>
    <row r="21" ht="45.0" customHeight="1">
      <c r="A21" s="55" t="s">
        <v>3095</v>
      </c>
      <c r="B21" s="62" t="s">
        <v>3095</v>
      </c>
      <c r="C21" s="62" t="s">
        <v>3095</v>
      </c>
      <c r="D21" s="22" t="s">
        <v>3095</v>
      </c>
      <c r="E21" s="22" t="s">
        <v>3095</v>
      </c>
      <c r="F21" s="65" t="s">
        <v>3095</v>
      </c>
      <c r="G21" s="65" t="s">
        <v>86</v>
      </c>
      <c r="H21" s="23" t="s">
        <v>3095</v>
      </c>
      <c r="I21" s="23" t="s">
        <v>3095</v>
      </c>
      <c r="J21" s="55" t="s">
        <v>6963</v>
      </c>
      <c r="K21" s="55" t="s">
        <v>3095</v>
      </c>
    </row>
    <row r="22" ht="45.0" customHeight="1">
      <c r="A22" s="55" t="s">
        <v>3095</v>
      </c>
      <c r="B22" s="62" t="s">
        <v>3095</v>
      </c>
      <c r="C22" s="62" t="s">
        <v>3095</v>
      </c>
      <c r="D22" s="22" t="s">
        <v>3095</v>
      </c>
      <c r="E22" s="22" t="s">
        <v>3095</v>
      </c>
      <c r="F22" s="65" t="s">
        <v>3095</v>
      </c>
      <c r="G22" s="65" t="s">
        <v>47</v>
      </c>
      <c r="H22" s="23" t="s">
        <v>3095</v>
      </c>
      <c r="I22" s="23" t="s">
        <v>3095</v>
      </c>
      <c r="J22" s="55" t="s">
        <v>6964</v>
      </c>
      <c r="K22" s="55" t="s">
        <v>3095</v>
      </c>
    </row>
    <row r="23" ht="45.0" customHeight="1">
      <c r="A23" s="55" t="s">
        <v>3095</v>
      </c>
      <c r="B23" s="62" t="s">
        <v>3095</v>
      </c>
      <c r="C23" s="62" t="s">
        <v>3095</v>
      </c>
      <c r="D23" s="22" t="s">
        <v>3095</v>
      </c>
      <c r="E23" s="22" t="s">
        <v>3095</v>
      </c>
      <c r="F23" s="65">
        <v>5.0</v>
      </c>
      <c r="G23" s="65" t="s">
        <v>86</v>
      </c>
      <c r="H23" s="23" t="s">
        <v>3095</v>
      </c>
      <c r="I23" s="23" t="s">
        <v>3095</v>
      </c>
      <c r="J23" s="55" t="s">
        <v>6965</v>
      </c>
      <c r="K23" s="55" t="s">
        <v>3095</v>
      </c>
    </row>
  </sheetData>
  <autoFilter ref="$A$1:$K$2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9.63"/>
    <col customWidth="1" min="2" max="2" width="11.38"/>
    <col customWidth="1" min="3" max="3" width="23.63"/>
    <col customWidth="1" min="4" max="4" width="12.88"/>
    <col customWidth="1" min="5" max="5" width="11.38"/>
    <col customWidth="1" min="6" max="6" width="14.13"/>
    <col customWidth="1" min="8" max="8" width="15.0"/>
    <col customWidth="1" min="10" max="11" width="30.13"/>
    <col customWidth="1" min="12" max="12" width="15.13"/>
    <col customWidth="1" min="13" max="13" width="16.25"/>
  </cols>
  <sheetData>
    <row r="1" ht="31.5" customHeight="1">
      <c r="A1" s="66" t="s">
        <v>6966</v>
      </c>
      <c r="B1" s="66" t="s">
        <v>24</v>
      </c>
      <c r="C1" s="66" t="s">
        <v>6967</v>
      </c>
      <c r="D1" s="66" t="s">
        <v>6968</v>
      </c>
      <c r="E1" s="66" t="s">
        <v>6969</v>
      </c>
      <c r="F1" s="66" t="s">
        <v>6970</v>
      </c>
      <c r="G1" s="66" t="s">
        <v>6971</v>
      </c>
      <c r="H1" s="66" t="s">
        <v>6972</v>
      </c>
      <c r="I1" s="66" t="s">
        <v>6973</v>
      </c>
      <c r="J1" s="66" t="s">
        <v>6974</v>
      </c>
      <c r="K1" s="66" t="s">
        <v>6975</v>
      </c>
      <c r="L1" s="66" t="s">
        <v>6976</v>
      </c>
      <c r="M1" s="66" t="s">
        <v>6977</v>
      </c>
    </row>
    <row r="2" ht="45.0" customHeight="1">
      <c r="A2" s="65" t="s">
        <v>6978</v>
      </c>
      <c r="B2" s="67" t="str">
        <f t="shared" ref="B2:B6" si="1">IMAGE("https://raw.githubusercontent.com/ltdimages/images/refs/heads/main/ItemTravelTicket_13_Large.png")</f>
        <v/>
      </c>
      <c r="C2" s="65" t="s">
        <v>2523</v>
      </c>
      <c r="D2" s="65" t="s">
        <v>6979</v>
      </c>
      <c r="E2" s="65" t="s">
        <v>49</v>
      </c>
      <c r="F2" s="65">
        <v>10.0</v>
      </c>
      <c r="G2" s="67"/>
      <c r="H2" s="65" t="s">
        <v>2780</v>
      </c>
      <c r="I2" s="65" t="s">
        <v>45</v>
      </c>
      <c r="J2" s="65" t="s">
        <v>6980</v>
      </c>
      <c r="K2" s="65" t="s">
        <v>6981</v>
      </c>
      <c r="L2" s="65" t="s">
        <v>6982</v>
      </c>
      <c r="M2" s="65" t="s">
        <v>6983</v>
      </c>
    </row>
    <row r="3" ht="45.0" customHeight="1">
      <c r="A3" s="65" t="s">
        <v>6978</v>
      </c>
      <c r="B3" s="67" t="str">
        <f t="shared" si="1"/>
        <v/>
      </c>
      <c r="C3" s="65" t="s">
        <v>6984</v>
      </c>
      <c r="D3" s="65" t="s">
        <v>6979</v>
      </c>
      <c r="E3" s="65" t="s">
        <v>49</v>
      </c>
      <c r="F3" s="65">
        <v>10.0</v>
      </c>
      <c r="G3" s="67"/>
      <c r="H3" s="65" t="s">
        <v>2780</v>
      </c>
      <c r="I3" s="65" t="s">
        <v>45</v>
      </c>
      <c r="J3" s="65" t="s">
        <v>6985</v>
      </c>
      <c r="K3" s="65" t="s">
        <v>6981</v>
      </c>
      <c r="L3" s="65" t="s">
        <v>6986</v>
      </c>
      <c r="M3" s="65" t="s">
        <v>6983</v>
      </c>
    </row>
    <row r="4" ht="45.0" customHeight="1">
      <c r="A4" s="65" t="s">
        <v>6978</v>
      </c>
      <c r="B4" s="67" t="str">
        <f t="shared" si="1"/>
        <v/>
      </c>
      <c r="C4" s="65" t="s">
        <v>6987</v>
      </c>
      <c r="D4" s="65" t="s">
        <v>6979</v>
      </c>
      <c r="E4" s="65" t="s">
        <v>49</v>
      </c>
      <c r="F4" s="65">
        <v>10.0</v>
      </c>
      <c r="G4" s="67"/>
      <c r="H4" s="65" t="s">
        <v>2780</v>
      </c>
      <c r="I4" s="65" t="s">
        <v>45</v>
      </c>
      <c r="J4" s="65" t="s">
        <v>6988</v>
      </c>
      <c r="K4" s="65" t="s">
        <v>6981</v>
      </c>
      <c r="L4" s="65" t="s">
        <v>6989</v>
      </c>
      <c r="M4" s="65" t="s">
        <v>6983</v>
      </c>
    </row>
    <row r="5" ht="45.0" customHeight="1">
      <c r="A5" s="65" t="s">
        <v>6978</v>
      </c>
      <c r="B5" s="67" t="str">
        <f t="shared" si="1"/>
        <v/>
      </c>
      <c r="C5" s="65" t="s">
        <v>6990</v>
      </c>
      <c r="D5" s="65" t="s">
        <v>6979</v>
      </c>
      <c r="E5" s="65" t="s">
        <v>49</v>
      </c>
      <c r="F5" s="65">
        <v>10.0</v>
      </c>
      <c r="G5" s="67"/>
      <c r="H5" s="65" t="s">
        <v>2780</v>
      </c>
      <c r="I5" s="65" t="s">
        <v>45</v>
      </c>
      <c r="J5" s="65" t="s">
        <v>6991</v>
      </c>
      <c r="K5" s="65" t="s">
        <v>6981</v>
      </c>
      <c r="L5" s="65" t="s">
        <v>6992</v>
      </c>
      <c r="M5" s="65" t="s">
        <v>6983</v>
      </c>
    </row>
    <row r="6" ht="45.0" customHeight="1">
      <c r="A6" s="68" t="s">
        <v>6978</v>
      </c>
      <c r="B6" s="69" t="str">
        <f t="shared" si="1"/>
        <v/>
      </c>
      <c r="C6" s="68" t="s">
        <v>6993</v>
      </c>
      <c r="D6" s="68" t="s">
        <v>6979</v>
      </c>
      <c r="E6" s="68" t="s">
        <v>49</v>
      </c>
      <c r="F6" s="68">
        <v>10.0</v>
      </c>
      <c r="G6" s="69"/>
      <c r="H6" s="68" t="s">
        <v>2780</v>
      </c>
      <c r="I6" s="68" t="s">
        <v>45</v>
      </c>
      <c r="J6" s="68" t="s">
        <v>6994</v>
      </c>
      <c r="K6" s="68" t="s">
        <v>6981</v>
      </c>
      <c r="L6" s="68" t="s">
        <v>6995</v>
      </c>
      <c r="M6" s="68" t="s">
        <v>6983</v>
      </c>
    </row>
    <row r="7" ht="45.0" customHeight="1">
      <c r="A7" s="65" t="s">
        <v>6996</v>
      </c>
      <c r="B7" s="67" t="str">
        <f t="shared" ref="B7:B11" si="2">IMAGE("https://raw.githubusercontent.com/ltdimages/images/refs/heads/main/ItemTravelTicket_02_Large.png")</f>
        <v/>
      </c>
      <c r="C7" s="65" t="s">
        <v>6997</v>
      </c>
      <c r="D7" s="65" t="s">
        <v>6979</v>
      </c>
      <c r="E7" s="65" t="s">
        <v>49</v>
      </c>
      <c r="F7" s="65">
        <v>15.0</v>
      </c>
      <c r="G7" s="67"/>
      <c r="H7" s="65" t="s">
        <v>2756</v>
      </c>
      <c r="I7" s="65" t="s">
        <v>45</v>
      </c>
      <c r="J7" s="65" t="s">
        <v>6998</v>
      </c>
      <c r="K7" s="65" t="s">
        <v>6999</v>
      </c>
      <c r="L7" s="65" t="s">
        <v>7000</v>
      </c>
      <c r="M7" s="65" t="s">
        <v>7001</v>
      </c>
    </row>
    <row r="8" ht="45.0" customHeight="1">
      <c r="A8" s="65" t="s">
        <v>6996</v>
      </c>
      <c r="B8" s="67" t="str">
        <f t="shared" si="2"/>
        <v/>
      </c>
      <c r="C8" s="65" t="s">
        <v>7002</v>
      </c>
      <c r="D8" s="65" t="s">
        <v>6979</v>
      </c>
      <c r="E8" s="65" t="s">
        <v>49</v>
      </c>
      <c r="F8" s="65">
        <v>15.0</v>
      </c>
      <c r="G8" s="67"/>
      <c r="H8" s="65" t="s">
        <v>2756</v>
      </c>
      <c r="I8" s="65" t="s">
        <v>45</v>
      </c>
      <c r="J8" s="65" t="s">
        <v>7003</v>
      </c>
      <c r="K8" s="65" t="s">
        <v>6999</v>
      </c>
      <c r="L8" s="65" t="s">
        <v>7004</v>
      </c>
      <c r="M8" s="65" t="s">
        <v>7001</v>
      </c>
    </row>
    <row r="9" ht="45.0" customHeight="1">
      <c r="A9" s="65" t="s">
        <v>6996</v>
      </c>
      <c r="B9" s="67" t="str">
        <f t="shared" si="2"/>
        <v/>
      </c>
      <c r="C9" s="65" t="s">
        <v>7005</v>
      </c>
      <c r="D9" s="65" t="s">
        <v>6979</v>
      </c>
      <c r="E9" s="65" t="s">
        <v>49</v>
      </c>
      <c r="F9" s="65">
        <v>15.0</v>
      </c>
      <c r="G9" s="67"/>
      <c r="H9" s="65" t="s">
        <v>2756</v>
      </c>
      <c r="I9" s="65" t="s">
        <v>45</v>
      </c>
      <c r="J9" s="65" t="s">
        <v>7006</v>
      </c>
      <c r="K9" s="65" t="s">
        <v>6999</v>
      </c>
      <c r="L9" s="65" t="s">
        <v>7007</v>
      </c>
      <c r="M9" s="65" t="s">
        <v>7001</v>
      </c>
    </row>
    <row r="10" ht="45.0" customHeight="1">
      <c r="A10" s="65" t="s">
        <v>6996</v>
      </c>
      <c r="B10" s="67" t="str">
        <f t="shared" si="2"/>
        <v/>
      </c>
      <c r="C10" s="65" t="s">
        <v>7008</v>
      </c>
      <c r="D10" s="65" t="s">
        <v>6979</v>
      </c>
      <c r="E10" s="65" t="s">
        <v>49</v>
      </c>
      <c r="F10" s="65">
        <v>15.0</v>
      </c>
      <c r="G10" s="67"/>
      <c r="H10" s="65" t="s">
        <v>2756</v>
      </c>
      <c r="I10" s="65" t="s">
        <v>45</v>
      </c>
      <c r="J10" s="65" t="s">
        <v>7009</v>
      </c>
      <c r="K10" s="65" t="s">
        <v>6999</v>
      </c>
      <c r="L10" s="65" t="s">
        <v>7010</v>
      </c>
      <c r="M10" s="65" t="s">
        <v>7001</v>
      </c>
    </row>
    <row r="11" ht="45.0" customHeight="1">
      <c r="A11" s="68" t="s">
        <v>6996</v>
      </c>
      <c r="B11" s="69" t="str">
        <f t="shared" si="2"/>
        <v/>
      </c>
      <c r="C11" s="68" t="s">
        <v>7011</v>
      </c>
      <c r="D11" s="68" t="s">
        <v>6979</v>
      </c>
      <c r="E11" s="68" t="s">
        <v>49</v>
      </c>
      <c r="F11" s="68">
        <v>15.0</v>
      </c>
      <c r="G11" s="69"/>
      <c r="H11" s="68" t="s">
        <v>2756</v>
      </c>
      <c r="I11" s="68" t="s">
        <v>45</v>
      </c>
      <c r="J11" s="68" t="s">
        <v>7012</v>
      </c>
      <c r="K11" s="68" t="s">
        <v>6999</v>
      </c>
      <c r="L11" s="68" t="s">
        <v>7013</v>
      </c>
      <c r="M11" s="68" t="s">
        <v>7001</v>
      </c>
    </row>
    <row r="12" ht="45.0" customHeight="1">
      <c r="A12" s="65" t="s">
        <v>7014</v>
      </c>
      <c r="B12" s="67" t="str">
        <f t="shared" ref="B12:B16" si="3">IMAGE("https://raw.githubusercontent.com/ltdimages/images/refs/heads/main/ItemTravelTicket_00_Large.png")</f>
        <v/>
      </c>
      <c r="C12" s="65" t="s">
        <v>7015</v>
      </c>
      <c r="D12" s="65" t="s">
        <v>6979</v>
      </c>
      <c r="E12" s="65" t="s">
        <v>49</v>
      </c>
      <c r="F12" s="65">
        <v>20.0</v>
      </c>
      <c r="G12" s="65" t="s">
        <v>1928</v>
      </c>
      <c r="H12" s="67"/>
      <c r="I12" s="65" t="s">
        <v>45</v>
      </c>
      <c r="J12" s="65" t="s">
        <v>7016</v>
      </c>
      <c r="K12" s="65" t="s">
        <v>7017</v>
      </c>
      <c r="L12" s="65" t="s">
        <v>7018</v>
      </c>
      <c r="M12" s="65" t="s">
        <v>7019</v>
      </c>
    </row>
    <row r="13" ht="45.0" customHeight="1">
      <c r="A13" s="65" t="s">
        <v>7014</v>
      </c>
      <c r="B13" s="67" t="str">
        <f t="shared" si="3"/>
        <v/>
      </c>
      <c r="C13" s="65" t="s">
        <v>7020</v>
      </c>
      <c r="D13" s="65" t="s">
        <v>6979</v>
      </c>
      <c r="E13" s="65" t="s">
        <v>49</v>
      </c>
      <c r="F13" s="65">
        <v>20.0</v>
      </c>
      <c r="G13" s="65" t="s">
        <v>1928</v>
      </c>
      <c r="H13" s="67"/>
      <c r="I13" s="65" t="s">
        <v>49</v>
      </c>
      <c r="J13" s="65" t="s">
        <v>7021</v>
      </c>
      <c r="K13" s="65" t="s">
        <v>7017</v>
      </c>
      <c r="L13" s="65" t="s">
        <v>7022</v>
      </c>
      <c r="M13" s="65" t="s">
        <v>7019</v>
      </c>
    </row>
    <row r="14" ht="45.0" customHeight="1">
      <c r="A14" s="65" t="s">
        <v>7014</v>
      </c>
      <c r="B14" s="67" t="str">
        <f t="shared" si="3"/>
        <v/>
      </c>
      <c r="C14" s="65" t="s">
        <v>7023</v>
      </c>
      <c r="D14" s="65" t="s">
        <v>6979</v>
      </c>
      <c r="E14" s="65" t="s">
        <v>49</v>
      </c>
      <c r="F14" s="65">
        <v>20.0</v>
      </c>
      <c r="G14" s="65" t="s">
        <v>1928</v>
      </c>
      <c r="H14" s="67"/>
      <c r="I14" s="65" t="s">
        <v>45</v>
      </c>
      <c r="J14" s="65" t="s">
        <v>7024</v>
      </c>
      <c r="K14" s="65" t="s">
        <v>7017</v>
      </c>
      <c r="L14" s="65" t="s">
        <v>7025</v>
      </c>
      <c r="M14" s="65" t="s">
        <v>7019</v>
      </c>
    </row>
    <row r="15" ht="45.0" customHeight="1">
      <c r="A15" s="65" t="s">
        <v>7014</v>
      </c>
      <c r="B15" s="67" t="str">
        <f t="shared" si="3"/>
        <v/>
      </c>
      <c r="C15" s="65" t="s">
        <v>7026</v>
      </c>
      <c r="D15" s="65" t="s">
        <v>6979</v>
      </c>
      <c r="E15" s="65" t="s">
        <v>49</v>
      </c>
      <c r="F15" s="65">
        <v>20.0</v>
      </c>
      <c r="G15" s="65" t="s">
        <v>1928</v>
      </c>
      <c r="H15" s="67"/>
      <c r="I15" s="65" t="s">
        <v>45</v>
      </c>
      <c r="J15" s="65" t="s">
        <v>7027</v>
      </c>
      <c r="K15" s="65" t="s">
        <v>7017</v>
      </c>
      <c r="L15" s="65" t="s">
        <v>7028</v>
      </c>
      <c r="M15" s="65" t="s">
        <v>7019</v>
      </c>
    </row>
    <row r="16" ht="45.0" customHeight="1">
      <c r="A16" s="68" t="s">
        <v>7014</v>
      </c>
      <c r="B16" s="69" t="str">
        <f t="shared" si="3"/>
        <v/>
      </c>
      <c r="C16" s="68" t="s">
        <v>7029</v>
      </c>
      <c r="D16" s="68" t="s">
        <v>6979</v>
      </c>
      <c r="E16" s="68" t="s">
        <v>49</v>
      </c>
      <c r="F16" s="68">
        <v>20.0</v>
      </c>
      <c r="G16" s="68" t="s">
        <v>1928</v>
      </c>
      <c r="H16" s="69"/>
      <c r="I16" s="68" t="s">
        <v>45</v>
      </c>
      <c r="J16" s="68" t="s">
        <v>7030</v>
      </c>
      <c r="K16" s="68" t="s">
        <v>7017</v>
      </c>
      <c r="L16" s="68" t="s">
        <v>7031</v>
      </c>
      <c r="M16" s="68" t="s">
        <v>7019</v>
      </c>
    </row>
    <row r="17" ht="45.0" customHeight="1">
      <c r="A17" s="65" t="s">
        <v>7032</v>
      </c>
      <c r="B17" s="67" t="str">
        <f t="shared" ref="B17:B21" si="4">IMAGE("https://raw.githubusercontent.com/ltdimages/images/refs/heads/main/ItemTravelTicket_04_Large.png")</f>
        <v/>
      </c>
      <c r="C17" s="65" t="s">
        <v>7033</v>
      </c>
      <c r="D17" s="65" t="s">
        <v>6979</v>
      </c>
      <c r="E17" s="65" t="s">
        <v>49</v>
      </c>
      <c r="F17" s="65">
        <v>25.0</v>
      </c>
      <c r="G17" s="67"/>
      <c r="H17" s="65" t="s">
        <v>2577</v>
      </c>
      <c r="I17" s="65" t="s">
        <v>45</v>
      </c>
      <c r="J17" s="65" t="s">
        <v>7034</v>
      </c>
      <c r="K17" s="65" t="s">
        <v>7035</v>
      </c>
      <c r="L17" s="65" t="s">
        <v>7036</v>
      </c>
      <c r="M17" s="65" t="s">
        <v>7037</v>
      </c>
    </row>
    <row r="18" ht="45.0" customHeight="1">
      <c r="A18" s="65" t="s">
        <v>7032</v>
      </c>
      <c r="B18" s="67" t="str">
        <f t="shared" si="4"/>
        <v/>
      </c>
      <c r="C18" s="65" t="s">
        <v>7038</v>
      </c>
      <c r="D18" s="65" t="s">
        <v>6979</v>
      </c>
      <c r="E18" s="65" t="s">
        <v>49</v>
      </c>
      <c r="F18" s="65">
        <v>25.0</v>
      </c>
      <c r="G18" s="67"/>
      <c r="H18" s="65" t="s">
        <v>2577</v>
      </c>
      <c r="I18" s="65" t="s">
        <v>45</v>
      </c>
      <c r="J18" s="65" t="s">
        <v>7039</v>
      </c>
      <c r="K18" s="65" t="s">
        <v>7035</v>
      </c>
      <c r="L18" s="65" t="s">
        <v>7040</v>
      </c>
      <c r="M18" s="65" t="s">
        <v>7037</v>
      </c>
    </row>
    <row r="19" ht="45.0" customHeight="1">
      <c r="A19" s="65" t="s">
        <v>7032</v>
      </c>
      <c r="B19" s="67" t="str">
        <f t="shared" si="4"/>
        <v/>
      </c>
      <c r="C19" s="65" t="s">
        <v>7041</v>
      </c>
      <c r="D19" s="65" t="s">
        <v>6979</v>
      </c>
      <c r="E19" s="65" t="s">
        <v>49</v>
      </c>
      <c r="F19" s="65">
        <v>25.0</v>
      </c>
      <c r="G19" s="67"/>
      <c r="H19" s="65" t="s">
        <v>2577</v>
      </c>
      <c r="I19" s="65" t="s">
        <v>45</v>
      </c>
      <c r="J19" s="65" t="s">
        <v>7042</v>
      </c>
      <c r="K19" s="65" t="s">
        <v>7035</v>
      </c>
      <c r="L19" s="65" t="s">
        <v>7043</v>
      </c>
      <c r="M19" s="65" t="s">
        <v>7037</v>
      </c>
    </row>
    <row r="20" ht="45.0" customHeight="1">
      <c r="A20" s="65" t="s">
        <v>7032</v>
      </c>
      <c r="B20" s="67" t="str">
        <f t="shared" si="4"/>
        <v/>
      </c>
      <c r="C20" s="65" t="s">
        <v>7044</v>
      </c>
      <c r="D20" s="65" t="s">
        <v>6979</v>
      </c>
      <c r="E20" s="65" t="s">
        <v>49</v>
      </c>
      <c r="F20" s="65">
        <v>25.0</v>
      </c>
      <c r="G20" s="67"/>
      <c r="H20" s="65" t="s">
        <v>2577</v>
      </c>
      <c r="I20" s="65" t="s">
        <v>45</v>
      </c>
      <c r="J20" s="65" t="s">
        <v>7045</v>
      </c>
      <c r="K20" s="65" t="s">
        <v>7035</v>
      </c>
      <c r="L20" s="65" t="s">
        <v>7046</v>
      </c>
      <c r="M20" s="65" t="s">
        <v>7037</v>
      </c>
    </row>
    <row r="21" ht="45.0" customHeight="1">
      <c r="A21" s="68" t="s">
        <v>7032</v>
      </c>
      <c r="B21" s="69" t="str">
        <f t="shared" si="4"/>
        <v/>
      </c>
      <c r="C21" s="68" t="s">
        <v>7047</v>
      </c>
      <c r="D21" s="68" t="s">
        <v>6979</v>
      </c>
      <c r="E21" s="68" t="s">
        <v>49</v>
      </c>
      <c r="F21" s="68">
        <v>25.0</v>
      </c>
      <c r="G21" s="69"/>
      <c r="H21" s="68" t="s">
        <v>2577</v>
      </c>
      <c r="I21" s="68" t="s">
        <v>45</v>
      </c>
      <c r="J21" s="68" t="s">
        <v>7048</v>
      </c>
      <c r="K21" s="68" t="s">
        <v>7035</v>
      </c>
      <c r="L21" s="68" t="s">
        <v>7049</v>
      </c>
      <c r="M21" s="68" t="s">
        <v>7037</v>
      </c>
    </row>
    <row r="22" ht="45.0" customHeight="1">
      <c r="A22" s="65" t="s">
        <v>7050</v>
      </c>
      <c r="B22" s="67" t="str">
        <f t="shared" ref="B22:B26" si="5">IMAGE("https://raw.githubusercontent.com/ltdimages/images/refs/heads/main/ItemTravelTicket_03_Large.png")</f>
        <v/>
      </c>
      <c r="C22" s="65" t="s">
        <v>7051</v>
      </c>
      <c r="D22" s="65" t="s">
        <v>6979</v>
      </c>
      <c r="E22" s="65" t="s">
        <v>49</v>
      </c>
      <c r="F22" s="65">
        <v>30.0</v>
      </c>
      <c r="G22" s="65" t="s">
        <v>212</v>
      </c>
      <c r="H22" s="67"/>
      <c r="I22" s="65" t="s">
        <v>45</v>
      </c>
      <c r="J22" s="65" t="s">
        <v>7052</v>
      </c>
      <c r="K22" s="65" t="s">
        <v>7053</v>
      </c>
      <c r="L22" s="65" t="s">
        <v>7054</v>
      </c>
      <c r="M22" s="65" t="s">
        <v>7055</v>
      </c>
    </row>
    <row r="23" ht="45.0" customHeight="1">
      <c r="A23" s="65" t="s">
        <v>7050</v>
      </c>
      <c r="B23" s="67" t="str">
        <f t="shared" si="5"/>
        <v/>
      </c>
      <c r="C23" s="65" t="s">
        <v>7056</v>
      </c>
      <c r="D23" s="65" t="s">
        <v>6979</v>
      </c>
      <c r="E23" s="65" t="s">
        <v>49</v>
      </c>
      <c r="F23" s="65">
        <v>30.0</v>
      </c>
      <c r="G23" s="65" t="s">
        <v>212</v>
      </c>
      <c r="H23" s="67"/>
      <c r="I23" s="65" t="s">
        <v>45</v>
      </c>
      <c r="J23" s="65" t="s">
        <v>7057</v>
      </c>
      <c r="K23" s="65" t="s">
        <v>7053</v>
      </c>
      <c r="L23" s="65" t="s">
        <v>7058</v>
      </c>
      <c r="M23" s="65" t="s">
        <v>7055</v>
      </c>
    </row>
    <row r="24" ht="45.0" customHeight="1">
      <c r="A24" s="65" t="s">
        <v>7050</v>
      </c>
      <c r="B24" s="67" t="str">
        <f t="shared" si="5"/>
        <v/>
      </c>
      <c r="C24" s="65" t="s">
        <v>7059</v>
      </c>
      <c r="D24" s="65" t="s">
        <v>6979</v>
      </c>
      <c r="E24" s="65" t="s">
        <v>49</v>
      </c>
      <c r="F24" s="65">
        <v>30.0</v>
      </c>
      <c r="G24" s="65" t="s">
        <v>212</v>
      </c>
      <c r="H24" s="67"/>
      <c r="I24" s="65" t="s">
        <v>45</v>
      </c>
      <c r="J24" s="65" t="s">
        <v>7060</v>
      </c>
      <c r="K24" s="65" t="s">
        <v>7053</v>
      </c>
      <c r="L24" s="65" t="s">
        <v>7061</v>
      </c>
      <c r="M24" s="65" t="s">
        <v>7055</v>
      </c>
    </row>
    <row r="25" ht="45.0" customHeight="1">
      <c r="A25" s="65" t="s">
        <v>7050</v>
      </c>
      <c r="B25" s="67" t="str">
        <f t="shared" si="5"/>
        <v/>
      </c>
      <c r="C25" s="65" t="s">
        <v>7062</v>
      </c>
      <c r="D25" s="65" t="s">
        <v>6979</v>
      </c>
      <c r="E25" s="65" t="s">
        <v>49</v>
      </c>
      <c r="F25" s="65">
        <v>30.0</v>
      </c>
      <c r="G25" s="65" t="s">
        <v>212</v>
      </c>
      <c r="H25" s="67"/>
      <c r="I25" s="65" t="s">
        <v>45</v>
      </c>
      <c r="J25" s="65" t="s">
        <v>7063</v>
      </c>
      <c r="K25" s="65" t="s">
        <v>7053</v>
      </c>
      <c r="L25" s="65" t="s">
        <v>7064</v>
      </c>
      <c r="M25" s="65" t="s">
        <v>7055</v>
      </c>
    </row>
    <row r="26" ht="45.0" customHeight="1">
      <c r="A26" s="68" t="s">
        <v>7050</v>
      </c>
      <c r="B26" s="69" t="str">
        <f t="shared" si="5"/>
        <v/>
      </c>
      <c r="C26" s="68" t="s">
        <v>7065</v>
      </c>
      <c r="D26" s="68" t="s">
        <v>6979</v>
      </c>
      <c r="E26" s="68" t="s">
        <v>49</v>
      </c>
      <c r="F26" s="68">
        <v>30.0</v>
      </c>
      <c r="G26" s="68" t="s">
        <v>212</v>
      </c>
      <c r="H26" s="69"/>
      <c r="I26" s="68" t="s">
        <v>45</v>
      </c>
      <c r="J26" s="68" t="s">
        <v>7066</v>
      </c>
      <c r="K26" s="68" t="s">
        <v>7053</v>
      </c>
      <c r="L26" s="68" t="s">
        <v>7067</v>
      </c>
      <c r="M26" s="68" t="s">
        <v>7055</v>
      </c>
    </row>
    <row r="27" ht="45.0" customHeight="1">
      <c r="A27" s="65" t="s">
        <v>7068</v>
      </c>
      <c r="B27" s="67" t="str">
        <f t="shared" ref="B27:B31" si="6">IMAGE("https://raw.githubusercontent.com/ltdimages/images/refs/heads/main/ItemTravelTicket_15_Large.png")</f>
        <v/>
      </c>
      <c r="C27" s="65" t="s">
        <v>7069</v>
      </c>
      <c r="D27" s="65" t="s">
        <v>6979</v>
      </c>
      <c r="E27" s="65" t="s">
        <v>49</v>
      </c>
      <c r="F27" s="65">
        <v>35.0</v>
      </c>
      <c r="G27" s="67"/>
      <c r="H27" s="65" t="s">
        <v>2667</v>
      </c>
      <c r="I27" s="65" t="s">
        <v>45</v>
      </c>
      <c r="J27" s="65" t="s">
        <v>7070</v>
      </c>
      <c r="K27" s="65" t="s">
        <v>7071</v>
      </c>
      <c r="L27" s="65" t="s">
        <v>7072</v>
      </c>
      <c r="M27" s="65" t="s">
        <v>7073</v>
      </c>
    </row>
    <row r="28" ht="45.0" customHeight="1">
      <c r="A28" s="65" t="s">
        <v>7068</v>
      </c>
      <c r="B28" s="67" t="str">
        <f t="shared" si="6"/>
        <v/>
      </c>
      <c r="C28" s="65" t="s">
        <v>7074</v>
      </c>
      <c r="D28" s="65" t="s">
        <v>6979</v>
      </c>
      <c r="E28" s="65" t="s">
        <v>49</v>
      </c>
      <c r="F28" s="65">
        <v>35.0</v>
      </c>
      <c r="G28" s="67"/>
      <c r="H28" s="65" t="s">
        <v>2667</v>
      </c>
      <c r="I28" s="65" t="s">
        <v>45</v>
      </c>
      <c r="J28" s="65" t="s">
        <v>7075</v>
      </c>
      <c r="K28" s="65" t="s">
        <v>7071</v>
      </c>
      <c r="L28" s="65" t="s">
        <v>7076</v>
      </c>
      <c r="M28" s="65" t="s">
        <v>7073</v>
      </c>
    </row>
    <row r="29" ht="45.0" customHeight="1">
      <c r="A29" s="65" t="s">
        <v>7068</v>
      </c>
      <c r="B29" s="67" t="str">
        <f t="shared" si="6"/>
        <v/>
      </c>
      <c r="C29" s="65" t="s">
        <v>7077</v>
      </c>
      <c r="D29" s="65" t="s">
        <v>6979</v>
      </c>
      <c r="E29" s="65" t="s">
        <v>49</v>
      </c>
      <c r="F29" s="65">
        <v>35.0</v>
      </c>
      <c r="G29" s="67"/>
      <c r="H29" s="65" t="s">
        <v>2667</v>
      </c>
      <c r="I29" s="65" t="s">
        <v>49</v>
      </c>
      <c r="J29" s="65" t="s">
        <v>7078</v>
      </c>
      <c r="K29" s="65" t="s">
        <v>7071</v>
      </c>
      <c r="L29" s="65" t="s">
        <v>7079</v>
      </c>
      <c r="M29" s="65" t="s">
        <v>7073</v>
      </c>
    </row>
    <row r="30" ht="45.0" customHeight="1">
      <c r="A30" s="65" t="s">
        <v>7068</v>
      </c>
      <c r="B30" s="67" t="str">
        <f t="shared" si="6"/>
        <v/>
      </c>
      <c r="C30" s="65" t="s">
        <v>7080</v>
      </c>
      <c r="D30" s="65" t="s">
        <v>6979</v>
      </c>
      <c r="E30" s="65" t="s">
        <v>49</v>
      </c>
      <c r="F30" s="65">
        <v>35.0</v>
      </c>
      <c r="G30" s="67"/>
      <c r="H30" s="65" t="s">
        <v>2667</v>
      </c>
      <c r="I30" s="65" t="s">
        <v>45</v>
      </c>
      <c r="J30" s="65" t="s">
        <v>7081</v>
      </c>
      <c r="K30" s="65" t="s">
        <v>7071</v>
      </c>
      <c r="L30" s="65" t="s">
        <v>7082</v>
      </c>
      <c r="M30" s="65" t="s">
        <v>7073</v>
      </c>
    </row>
    <row r="31" ht="45.0" customHeight="1">
      <c r="A31" s="68" t="s">
        <v>7068</v>
      </c>
      <c r="B31" s="69" t="str">
        <f t="shared" si="6"/>
        <v/>
      </c>
      <c r="C31" s="68" t="s">
        <v>7083</v>
      </c>
      <c r="D31" s="68" t="s">
        <v>6979</v>
      </c>
      <c r="E31" s="68" t="s">
        <v>49</v>
      </c>
      <c r="F31" s="68">
        <v>35.0</v>
      </c>
      <c r="G31" s="69"/>
      <c r="H31" s="68" t="s">
        <v>2667</v>
      </c>
      <c r="I31" s="68" t="s">
        <v>45</v>
      </c>
      <c r="J31" s="68" t="s">
        <v>7084</v>
      </c>
      <c r="K31" s="68" t="s">
        <v>7071</v>
      </c>
      <c r="L31" s="68" t="s">
        <v>7085</v>
      </c>
      <c r="M31" s="68" t="s">
        <v>7073</v>
      </c>
    </row>
    <row r="32" ht="45.0" customHeight="1">
      <c r="A32" s="65" t="s">
        <v>7086</v>
      </c>
      <c r="B32" s="67" t="str">
        <f t="shared" ref="B32:B36" si="7">IMAGE("https://raw.githubusercontent.com/ltdimages/images/refs/heads/main/ItemTravelTicket_11_Large.png")</f>
        <v/>
      </c>
      <c r="C32" s="65" t="s">
        <v>7087</v>
      </c>
      <c r="D32" s="65" t="s">
        <v>6979</v>
      </c>
      <c r="E32" s="65" t="s">
        <v>49</v>
      </c>
      <c r="F32" s="65">
        <v>40.0</v>
      </c>
      <c r="G32" s="67"/>
      <c r="H32" s="65" t="s">
        <v>2918</v>
      </c>
      <c r="I32" s="65" t="s">
        <v>45</v>
      </c>
      <c r="J32" s="65" t="s">
        <v>7088</v>
      </c>
      <c r="K32" s="65" t="s">
        <v>7089</v>
      </c>
      <c r="L32" s="65" t="s">
        <v>7090</v>
      </c>
      <c r="M32" s="65" t="s">
        <v>7091</v>
      </c>
    </row>
    <row r="33" ht="45.0" customHeight="1">
      <c r="A33" s="65" t="s">
        <v>7086</v>
      </c>
      <c r="B33" s="67" t="str">
        <f t="shared" si="7"/>
        <v/>
      </c>
      <c r="C33" s="65" t="s">
        <v>7092</v>
      </c>
      <c r="D33" s="65" t="s">
        <v>6979</v>
      </c>
      <c r="E33" s="65" t="s">
        <v>49</v>
      </c>
      <c r="F33" s="65">
        <v>40.0</v>
      </c>
      <c r="G33" s="67"/>
      <c r="H33" s="65" t="s">
        <v>2918</v>
      </c>
      <c r="I33" s="65" t="s">
        <v>45</v>
      </c>
      <c r="J33" s="65" t="s">
        <v>7093</v>
      </c>
      <c r="K33" s="65" t="s">
        <v>7089</v>
      </c>
      <c r="L33" s="65" t="s">
        <v>7094</v>
      </c>
      <c r="M33" s="65" t="s">
        <v>7091</v>
      </c>
    </row>
    <row r="34" ht="45.0" customHeight="1">
      <c r="A34" s="65" t="s">
        <v>7086</v>
      </c>
      <c r="B34" s="67" t="str">
        <f t="shared" si="7"/>
        <v/>
      </c>
      <c r="C34" s="65" t="s">
        <v>7095</v>
      </c>
      <c r="D34" s="65" t="s">
        <v>6979</v>
      </c>
      <c r="E34" s="65" t="s">
        <v>49</v>
      </c>
      <c r="F34" s="65">
        <v>40.0</v>
      </c>
      <c r="G34" s="67"/>
      <c r="H34" s="65" t="s">
        <v>2918</v>
      </c>
      <c r="I34" s="65" t="s">
        <v>45</v>
      </c>
      <c r="J34" s="65" t="s">
        <v>7096</v>
      </c>
      <c r="K34" s="65" t="s">
        <v>7089</v>
      </c>
      <c r="L34" s="65" t="s">
        <v>7097</v>
      </c>
      <c r="M34" s="65" t="s">
        <v>7091</v>
      </c>
    </row>
    <row r="35" ht="45.0" customHeight="1">
      <c r="A35" s="65" t="s">
        <v>7086</v>
      </c>
      <c r="B35" s="67" t="str">
        <f t="shared" si="7"/>
        <v/>
      </c>
      <c r="C35" s="65" t="s">
        <v>7098</v>
      </c>
      <c r="D35" s="65" t="s">
        <v>6979</v>
      </c>
      <c r="E35" s="65" t="s">
        <v>49</v>
      </c>
      <c r="F35" s="65">
        <v>40.0</v>
      </c>
      <c r="G35" s="67"/>
      <c r="H35" s="65" t="s">
        <v>2918</v>
      </c>
      <c r="I35" s="65" t="s">
        <v>45</v>
      </c>
      <c r="J35" s="65" t="s">
        <v>7099</v>
      </c>
      <c r="K35" s="65" t="s">
        <v>7089</v>
      </c>
      <c r="L35" s="65" t="s">
        <v>7100</v>
      </c>
      <c r="M35" s="65" t="s">
        <v>7091</v>
      </c>
    </row>
    <row r="36" ht="45.0" customHeight="1">
      <c r="A36" s="68" t="s">
        <v>7086</v>
      </c>
      <c r="B36" s="69" t="str">
        <f t="shared" si="7"/>
        <v/>
      </c>
      <c r="C36" s="68" t="s">
        <v>7101</v>
      </c>
      <c r="D36" s="68" t="s">
        <v>6979</v>
      </c>
      <c r="E36" s="68" t="s">
        <v>49</v>
      </c>
      <c r="F36" s="68">
        <v>40.0</v>
      </c>
      <c r="G36" s="69"/>
      <c r="H36" s="68" t="s">
        <v>2918</v>
      </c>
      <c r="I36" s="68" t="s">
        <v>45</v>
      </c>
      <c r="J36" s="68" t="s">
        <v>7102</v>
      </c>
      <c r="K36" s="68" t="s">
        <v>7089</v>
      </c>
      <c r="L36" s="68" t="s">
        <v>7103</v>
      </c>
      <c r="M36" s="68" t="s">
        <v>7091</v>
      </c>
    </row>
    <row r="37" ht="45.0" customHeight="1">
      <c r="A37" s="65" t="s">
        <v>7104</v>
      </c>
      <c r="B37" s="67" t="str">
        <f t="shared" ref="B37:B41" si="8">IMAGE("https://raw.githubusercontent.com/ltdimages/images/refs/heads/main/ItemTravelTicket_01_Large.png")</f>
        <v/>
      </c>
      <c r="C37" s="65" t="s">
        <v>7105</v>
      </c>
      <c r="D37" s="65" t="s">
        <v>6979</v>
      </c>
      <c r="E37" s="65" t="s">
        <v>49</v>
      </c>
      <c r="F37" s="65">
        <v>45.0</v>
      </c>
      <c r="G37" s="67"/>
      <c r="H37" s="65" t="s">
        <v>2957</v>
      </c>
      <c r="I37" s="65" t="s">
        <v>45</v>
      </c>
      <c r="J37" s="65" t="s">
        <v>7106</v>
      </c>
      <c r="K37" s="65" t="s">
        <v>7107</v>
      </c>
      <c r="L37" s="65" t="s">
        <v>7108</v>
      </c>
      <c r="M37" s="65" t="s">
        <v>7109</v>
      </c>
    </row>
    <row r="38" ht="45.0" customHeight="1">
      <c r="A38" s="65" t="s">
        <v>7104</v>
      </c>
      <c r="B38" s="67" t="str">
        <f t="shared" si="8"/>
        <v/>
      </c>
      <c r="C38" s="65" t="s">
        <v>7110</v>
      </c>
      <c r="D38" s="65" t="s">
        <v>6979</v>
      </c>
      <c r="E38" s="65" t="s">
        <v>49</v>
      </c>
      <c r="F38" s="65">
        <v>45.0</v>
      </c>
      <c r="G38" s="67"/>
      <c r="H38" s="65" t="s">
        <v>2957</v>
      </c>
      <c r="I38" s="65" t="s">
        <v>45</v>
      </c>
      <c r="J38" s="65" t="s">
        <v>7111</v>
      </c>
      <c r="K38" s="65" t="s">
        <v>7107</v>
      </c>
      <c r="L38" s="65" t="s">
        <v>7112</v>
      </c>
      <c r="M38" s="65" t="s">
        <v>7109</v>
      </c>
    </row>
    <row r="39" ht="45.0" customHeight="1">
      <c r="A39" s="65" t="s">
        <v>7104</v>
      </c>
      <c r="B39" s="67" t="str">
        <f t="shared" si="8"/>
        <v/>
      </c>
      <c r="C39" s="65" t="s">
        <v>7113</v>
      </c>
      <c r="D39" s="65" t="s">
        <v>6979</v>
      </c>
      <c r="E39" s="65" t="s">
        <v>49</v>
      </c>
      <c r="F39" s="65">
        <v>45.0</v>
      </c>
      <c r="G39" s="67"/>
      <c r="H39" s="65" t="s">
        <v>2957</v>
      </c>
      <c r="I39" s="65" t="s">
        <v>45</v>
      </c>
      <c r="J39" s="65" t="s">
        <v>7114</v>
      </c>
      <c r="K39" s="65" t="s">
        <v>7107</v>
      </c>
      <c r="L39" s="65" t="s">
        <v>7115</v>
      </c>
      <c r="M39" s="65" t="s">
        <v>7109</v>
      </c>
    </row>
    <row r="40" ht="45.0" customHeight="1">
      <c r="A40" s="65" t="s">
        <v>7104</v>
      </c>
      <c r="B40" s="67" t="str">
        <f t="shared" si="8"/>
        <v/>
      </c>
      <c r="C40" s="65" t="s">
        <v>7116</v>
      </c>
      <c r="D40" s="65" t="s">
        <v>6979</v>
      </c>
      <c r="E40" s="65" t="s">
        <v>49</v>
      </c>
      <c r="F40" s="65">
        <v>45.0</v>
      </c>
      <c r="G40" s="67"/>
      <c r="H40" s="65" t="s">
        <v>2957</v>
      </c>
      <c r="I40" s="65" t="s">
        <v>45</v>
      </c>
      <c r="J40" s="65" t="s">
        <v>7117</v>
      </c>
      <c r="K40" s="65" t="s">
        <v>7107</v>
      </c>
      <c r="L40" s="65" t="s">
        <v>7118</v>
      </c>
      <c r="M40" s="65" t="s">
        <v>7109</v>
      </c>
    </row>
    <row r="41" ht="45.0" customHeight="1">
      <c r="A41" s="68" t="s">
        <v>7104</v>
      </c>
      <c r="B41" s="69" t="str">
        <f t="shared" si="8"/>
        <v/>
      </c>
      <c r="C41" s="68" t="s">
        <v>7119</v>
      </c>
      <c r="D41" s="68" t="s">
        <v>6979</v>
      </c>
      <c r="E41" s="68" t="s">
        <v>49</v>
      </c>
      <c r="F41" s="68">
        <v>45.0</v>
      </c>
      <c r="G41" s="69"/>
      <c r="H41" s="68" t="s">
        <v>2957</v>
      </c>
      <c r="I41" s="68" t="s">
        <v>49</v>
      </c>
      <c r="J41" s="68" t="s">
        <v>7120</v>
      </c>
      <c r="K41" s="68" t="s">
        <v>7107</v>
      </c>
      <c r="L41" s="68" t="s">
        <v>7121</v>
      </c>
      <c r="M41" s="68" t="s">
        <v>7109</v>
      </c>
    </row>
    <row r="42" ht="45.0" customHeight="1">
      <c r="A42" s="65" t="s">
        <v>7122</v>
      </c>
      <c r="B42" s="67" t="str">
        <f t="shared" ref="B42:B46" si="9">IMAGE("https://raw.githubusercontent.com/ltdimages/images/refs/heads/main/ItemTravelTicket_12_Large.png")</f>
        <v/>
      </c>
      <c r="C42" s="65" t="s">
        <v>7123</v>
      </c>
      <c r="D42" s="65" t="s">
        <v>6979</v>
      </c>
      <c r="E42" s="65" t="s">
        <v>49</v>
      </c>
      <c r="F42" s="65">
        <v>50.0</v>
      </c>
      <c r="G42" s="67"/>
      <c r="H42" s="65" t="s">
        <v>2649</v>
      </c>
      <c r="I42" s="65" t="s">
        <v>45</v>
      </c>
      <c r="J42" s="65" t="s">
        <v>7124</v>
      </c>
      <c r="K42" s="65" t="s">
        <v>7125</v>
      </c>
      <c r="L42" s="65" t="s">
        <v>7126</v>
      </c>
      <c r="M42" s="65" t="s">
        <v>7127</v>
      </c>
    </row>
    <row r="43" ht="45.0" customHeight="1">
      <c r="A43" s="65" t="s">
        <v>7122</v>
      </c>
      <c r="B43" s="67" t="str">
        <f t="shared" si="9"/>
        <v/>
      </c>
      <c r="C43" s="65" t="s">
        <v>7128</v>
      </c>
      <c r="D43" s="65" t="s">
        <v>6979</v>
      </c>
      <c r="E43" s="65" t="s">
        <v>49</v>
      </c>
      <c r="F43" s="65">
        <v>50.0</v>
      </c>
      <c r="G43" s="67"/>
      <c r="H43" s="65" t="s">
        <v>2649</v>
      </c>
      <c r="I43" s="65" t="s">
        <v>45</v>
      </c>
      <c r="J43" s="65" t="s">
        <v>7129</v>
      </c>
      <c r="K43" s="65" t="s">
        <v>7125</v>
      </c>
      <c r="L43" s="65" t="s">
        <v>7130</v>
      </c>
      <c r="M43" s="65" t="s">
        <v>7127</v>
      </c>
    </row>
    <row r="44" ht="45.0" customHeight="1">
      <c r="A44" s="65" t="s">
        <v>7122</v>
      </c>
      <c r="B44" s="67" t="str">
        <f t="shared" si="9"/>
        <v/>
      </c>
      <c r="C44" s="65" t="s">
        <v>7131</v>
      </c>
      <c r="D44" s="65" t="s">
        <v>6979</v>
      </c>
      <c r="E44" s="65" t="s">
        <v>49</v>
      </c>
      <c r="F44" s="65">
        <v>50.0</v>
      </c>
      <c r="G44" s="67"/>
      <c r="H44" s="65" t="s">
        <v>2649</v>
      </c>
      <c r="I44" s="65" t="s">
        <v>45</v>
      </c>
      <c r="J44" s="65" t="s">
        <v>7132</v>
      </c>
      <c r="K44" s="65" t="s">
        <v>7125</v>
      </c>
      <c r="L44" s="65" t="s">
        <v>7133</v>
      </c>
      <c r="M44" s="65" t="s">
        <v>7127</v>
      </c>
    </row>
    <row r="45" ht="45.0" customHeight="1">
      <c r="A45" s="65" t="s">
        <v>7122</v>
      </c>
      <c r="B45" s="67" t="str">
        <f t="shared" si="9"/>
        <v/>
      </c>
      <c r="C45" s="65" t="s">
        <v>7134</v>
      </c>
      <c r="D45" s="65" t="s">
        <v>6979</v>
      </c>
      <c r="E45" s="65" t="s">
        <v>49</v>
      </c>
      <c r="F45" s="65">
        <v>50.0</v>
      </c>
      <c r="G45" s="67"/>
      <c r="H45" s="65" t="s">
        <v>2649</v>
      </c>
      <c r="I45" s="65" t="s">
        <v>45</v>
      </c>
      <c r="J45" s="65" t="s">
        <v>7135</v>
      </c>
      <c r="K45" s="65" t="s">
        <v>7125</v>
      </c>
      <c r="L45" s="65" t="s">
        <v>7136</v>
      </c>
      <c r="M45" s="65" t="s">
        <v>7127</v>
      </c>
    </row>
    <row r="46" ht="45.0" customHeight="1">
      <c r="A46" s="68" t="s">
        <v>7122</v>
      </c>
      <c r="B46" s="69" t="str">
        <f t="shared" si="9"/>
        <v/>
      </c>
      <c r="C46" s="68" t="s">
        <v>7137</v>
      </c>
      <c r="D46" s="68" t="s">
        <v>6979</v>
      </c>
      <c r="E46" s="68" t="s">
        <v>49</v>
      </c>
      <c r="F46" s="68">
        <v>50.0</v>
      </c>
      <c r="G46" s="69"/>
      <c r="H46" s="68" t="s">
        <v>2649</v>
      </c>
      <c r="I46" s="68" t="s">
        <v>45</v>
      </c>
      <c r="J46" s="68" t="s">
        <v>7138</v>
      </c>
      <c r="K46" s="68" t="s">
        <v>7125</v>
      </c>
      <c r="L46" s="68" t="s">
        <v>7139</v>
      </c>
      <c r="M46" s="68" t="s">
        <v>7127</v>
      </c>
    </row>
    <row r="47" ht="45.0" customHeight="1">
      <c r="A47" s="65" t="s">
        <v>7140</v>
      </c>
      <c r="B47" s="67" t="str">
        <f t="shared" ref="B47:B51" si="10">IMAGE("https://raw.githubusercontent.com/ltdimages/images/refs/heads/main/ItemTravelTicket_10_Large.png")</f>
        <v/>
      </c>
      <c r="C47" s="65" t="s">
        <v>7141</v>
      </c>
      <c r="D47" s="65" t="s">
        <v>6979</v>
      </c>
      <c r="E47" s="65" t="s">
        <v>49</v>
      </c>
      <c r="F47" s="65">
        <v>55.0</v>
      </c>
      <c r="G47" s="67"/>
      <c r="H47" s="65" t="s">
        <v>2711</v>
      </c>
      <c r="I47" s="65" t="s">
        <v>45</v>
      </c>
      <c r="J47" s="65" t="s">
        <v>7142</v>
      </c>
      <c r="K47" s="65" t="s">
        <v>7143</v>
      </c>
      <c r="L47" s="65" t="s">
        <v>7144</v>
      </c>
      <c r="M47" s="65" t="s">
        <v>7145</v>
      </c>
    </row>
    <row r="48" ht="45.0" customHeight="1">
      <c r="A48" s="65" t="s">
        <v>7140</v>
      </c>
      <c r="B48" s="67" t="str">
        <f t="shared" si="10"/>
        <v/>
      </c>
      <c r="C48" s="65" t="s">
        <v>7146</v>
      </c>
      <c r="D48" s="65" t="s">
        <v>6979</v>
      </c>
      <c r="E48" s="65" t="s">
        <v>49</v>
      </c>
      <c r="F48" s="65">
        <v>55.0</v>
      </c>
      <c r="G48" s="67"/>
      <c r="H48" s="65" t="s">
        <v>2711</v>
      </c>
      <c r="I48" s="65" t="s">
        <v>45</v>
      </c>
      <c r="J48" s="65" t="s">
        <v>7147</v>
      </c>
      <c r="K48" s="65" t="s">
        <v>7143</v>
      </c>
      <c r="L48" s="65" t="s">
        <v>7148</v>
      </c>
      <c r="M48" s="65" t="s">
        <v>7145</v>
      </c>
    </row>
    <row r="49" ht="45.0" customHeight="1">
      <c r="A49" s="65" t="s">
        <v>7140</v>
      </c>
      <c r="B49" s="67" t="str">
        <f t="shared" si="10"/>
        <v/>
      </c>
      <c r="C49" s="65" t="s">
        <v>7149</v>
      </c>
      <c r="D49" s="65" t="s">
        <v>6979</v>
      </c>
      <c r="E49" s="65" t="s">
        <v>49</v>
      </c>
      <c r="F49" s="65">
        <v>55.0</v>
      </c>
      <c r="G49" s="67"/>
      <c r="H49" s="65" t="s">
        <v>2711</v>
      </c>
      <c r="I49" s="65" t="s">
        <v>45</v>
      </c>
      <c r="J49" s="65" t="s">
        <v>7150</v>
      </c>
      <c r="K49" s="65" t="s">
        <v>7143</v>
      </c>
      <c r="L49" s="65" t="s">
        <v>7151</v>
      </c>
      <c r="M49" s="65" t="s">
        <v>7145</v>
      </c>
    </row>
    <row r="50" ht="45.0" customHeight="1">
      <c r="A50" s="65" t="s">
        <v>7140</v>
      </c>
      <c r="B50" s="67" t="str">
        <f t="shared" si="10"/>
        <v/>
      </c>
      <c r="C50" s="65" t="s">
        <v>7152</v>
      </c>
      <c r="D50" s="65" t="s">
        <v>6979</v>
      </c>
      <c r="E50" s="65" t="s">
        <v>49</v>
      </c>
      <c r="F50" s="65">
        <v>55.0</v>
      </c>
      <c r="G50" s="67"/>
      <c r="H50" s="65" t="s">
        <v>2711</v>
      </c>
      <c r="I50" s="65" t="s">
        <v>45</v>
      </c>
      <c r="J50" s="65" t="s">
        <v>7153</v>
      </c>
      <c r="K50" s="65" t="s">
        <v>7143</v>
      </c>
      <c r="L50" s="65" t="s">
        <v>7154</v>
      </c>
      <c r="M50" s="65" t="s">
        <v>7145</v>
      </c>
    </row>
    <row r="51" ht="45.0" customHeight="1">
      <c r="A51" s="68" t="s">
        <v>7140</v>
      </c>
      <c r="B51" s="69" t="str">
        <f t="shared" si="10"/>
        <v/>
      </c>
      <c r="C51" s="68" t="s">
        <v>7155</v>
      </c>
      <c r="D51" s="68" t="s">
        <v>6979</v>
      </c>
      <c r="E51" s="68" t="s">
        <v>49</v>
      </c>
      <c r="F51" s="68">
        <v>55.0</v>
      </c>
      <c r="G51" s="69"/>
      <c r="H51" s="68" t="s">
        <v>2711</v>
      </c>
      <c r="I51" s="68" t="s">
        <v>45</v>
      </c>
      <c r="J51" s="68" t="s">
        <v>7156</v>
      </c>
      <c r="K51" s="68" t="s">
        <v>7143</v>
      </c>
      <c r="L51" s="68" t="s">
        <v>7157</v>
      </c>
      <c r="M51" s="68" t="s">
        <v>7145</v>
      </c>
    </row>
    <row r="52" ht="45.0" customHeight="1">
      <c r="A52" s="65" t="s">
        <v>7158</v>
      </c>
      <c r="B52" s="67" t="str">
        <f t="shared" ref="B52:B56" si="11">IMAGE("https://raw.githubusercontent.com/ltdimages/images/refs/heads/main/ItemTravelTicket_05_Large.png")</f>
        <v/>
      </c>
      <c r="C52" s="65" t="s">
        <v>7159</v>
      </c>
      <c r="D52" s="65" t="s">
        <v>6979</v>
      </c>
      <c r="E52" s="65" t="s">
        <v>49</v>
      </c>
      <c r="F52" s="65">
        <v>60.0</v>
      </c>
      <c r="G52" s="67"/>
      <c r="H52" s="65" t="s">
        <v>2670</v>
      </c>
      <c r="I52" s="65" t="s">
        <v>45</v>
      </c>
      <c r="J52" s="65" t="s">
        <v>7160</v>
      </c>
      <c r="K52" s="65" t="s">
        <v>7161</v>
      </c>
      <c r="L52" s="65" t="s">
        <v>7162</v>
      </c>
      <c r="M52" s="65" t="s">
        <v>7163</v>
      </c>
    </row>
    <row r="53" ht="45.0" customHeight="1">
      <c r="A53" s="65" t="s">
        <v>7158</v>
      </c>
      <c r="B53" s="67" t="str">
        <f t="shared" si="11"/>
        <v/>
      </c>
      <c r="C53" s="65" t="s">
        <v>7164</v>
      </c>
      <c r="D53" s="65" t="s">
        <v>6979</v>
      </c>
      <c r="E53" s="65" t="s">
        <v>49</v>
      </c>
      <c r="F53" s="65">
        <v>60.0</v>
      </c>
      <c r="G53" s="67"/>
      <c r="H53" s="65" t="s">
        <v>2670</v>
      </c>
      <c r="I53" s="65" t="s">
        <v>45</v>
      </c>
      <c r="J53" s="65" t="s">
        <v>7165</v>
      </c>
      <c r="K53" s="65" t="s">
        <v>7161</v>
      </c>
      <c r="L53" s="65" t="s">
        <v>7166</v>
      </c>
      <c r="M53" s="65" t="s">
        <v>7163</v>
      </c>
    </row>
    <row r="54" ht="45.0" customHeight="1">
      <c r="A54" s="65" t="s">
        <v>7158</v>
      </c>
      <c r="B54" s="67" t="str">
        <f t="shared" si="11"/>
        <v/>
      </c>
      <c r="C54" s="65" t="s">
        <v>7167</v>
      </c>
      <c r="D54" s="65" t="s">
        <v>6979</v>
      </c>
      <c r="E54" s="65" t="s">
        <v>49</v>
      </c>
      <c r="F54" s="65">
        <v>60.0</v>
      </c>
      <c r="G54" s="67"/>
      <c r="H54" s="65" t="s">
        <v>2670</v>
      </c>
      <c r="I54" s="65" t="s">
        <v>45</v>
      </c>
      <c r="J54" s="65" t="s">
        <v>7168</v>
      </c>
      <c r="K54" s="65" t="s">
        <v>7161</v>
      </c>
      <c r="L54" s="65" t="s">
        <v>7169</v>
      </c>
      <c r="M54" s="65" t="s">
        <v>7163</v>
      </c>
    </row>
    <row r="55" ht="45.0" customHeight="1">
      <c r="A55" s="65" t="s">
        <v>7158</v>
      </c>
      <c r="B55" s="67" t="str">
        <f t="shared" si="11"/>
        <v/>
      </c>
      <c r="C55" s="65" t="s">
        <v>7170</v>
      </c>
      <c r="D55" s="65" t="s">
        <v>6979</v>
      </c>
      <c r="E55" s="65" t="s">
        <v>49</v>
      </c>
      <c r="F55" s="65">
        <v>60.0</v>
      </c>
      <c r="G55" s="67"/>
      <c r="H55" s="65" t="s">
        <v>2670</v>
      </c>
      <c r="I55" s="65" t="s">
        <v>45</v>
      </c>
      <c r="J55" s="65" t="s">
        <v>7171</v>
      </c>
      <c r="K55" s="65" t="s">
        <v>7161</v>
      </c>
      <c r="L55" s="65" t="s">
        <v>7172</v>
      </c>
      <c r="M55" s="65" t="s">
        <v>7163</v>
      </c>
    </row>
    <row r="56" ht="45.0" customHeight="1">
      <c r="A56" s="68" t="s">
        <v>7158</v>
      </c>
      <c r="B56" s="69" t="str">
        <f t="shared" si="11"/>
        <v/>
      </c>
      <c r="C56" s="68" t="s">
        <v>7173</v>
      </c>
      <c r="D56" s="68" t="s">
        <v>6979</v>
      </c>
      <c r="E56" s="68" t="s">
        <v>49</v>
      </c>
      <c r="F56" s="68">
        <v>60.0</v>
      </c>
      <c r="G56" s="69"/>
      <c r="H56" s="68" t="s">
        <v>2670</v>
      </c>
      <c r="I56" s="68" t="s">
        <v>45</v>
      </c>
      <c r="J56" s="68" t="s">
        <v>7174</v>
      </c>
      <c r="K56" s="68" t="s">
        <v>7161</v>
      </c>
      <c r="L56" s="68" t="s">
        <v>7175</v>
      </c>
      <c r="M56" s="68" t="s">
        <v>7163</v>
      </c>
    </row>
    <row r="57" ht="45.0" customHeight="1">
      <c r="A57" s="65" t="s">
        <v>7176</v>
      </c>
      <c r="B57" s="67" t="str">
        <f t="shared" ref="B57:B61" si="12">IMAGE("https://raw.githubusercontent.com/ltdimages/images/refs/heads/main/ItemTravelTicket_06_Large.png")</f>
        <v/>
      </c>
      <c r="C57" s="65" t="s">
        <v>7177</v>
      </c>
      <c r="D57" s="65" t="s">
        <v>6979</v>
      </c>
      <c r="E57" s="65" t="s">
        <v>49</v>
      </c>
      <c r="F57" s="65">
        <v>65.0</v>
      </c>
      <c r="G57" s="67"/>
      <c r="H57" s="65" t="s">
        <v>2840</v>
      </c>
      <c r="I57" s="65" t="s">
        <v>45</v>
      </c>
      <c r="J57" s="65" t="s">
        <v>7178</v>
      </c>
      <c r="K57" s="65" t="s">
        <v>7179</v>
      </c>
      <c r="L57" s="65" t="s">
        <v>7180</v>
      </c>
      <c r="M57" s="65" t="s">
        <v>7181</v>
      </c>
    </row>
    <row r="58" ht="45.0" customHeight="1">
      <c r="A58" s="65" t="s">
        <v>7176</v>
      </c>
      <c r="B58" s="67" t="str">
        <f t="shared" si="12"/>
        <v/>
      </c>
      <c r="C58" s="65" t="s">
        <v>7182</v>
      </c>
      <c r="D58" s="65" t="s">
        <v>6979</v>
      </c>
      <c r="E58" s="65" t="s">
        <v>49</v>
      </c>
      <c r="F58" s="65">
        <v>65.0</v>
      </c>
      <c r="G58" s="67"/>
      <c r="H58" s="65" t="s">
        <v>2840</v>
      </c>
      <c r="I58" s="65" t="s">
        <v>45</v>
      </c>
      <c r="J58" s="65" t="s">
        <v>7183</v>
      </c>
      <c r="K58" s="65" t="s">
        <v>7179</v>
      </c>
      <c r="L58" s="65" t="s">
        <v>7184</v>
      </c>
      <c r="M58" s="65" t="s">
        <v>7181</v>
      </c>
    </row>
    <row r="59" ht="45.0" customHeight="1">
      <c r="A59" s="65" t="s">
        <v>7176</v>
      </c>
      <c r="B59" s="67" t="str">
        <f t="shared" si="12"/>
        <v/>
      </c>
      <c r="C59" s="65" t="s">
        <v>7185</v>
      </c>
      <c r="D59" s="65" t="s">
        <v>6979</v>
      </c>
      <c r="E59" s="65" t="s">
        <v>49</v>
      </c>
      <c r="F59" s="65">
        <v>65.0</v>
      </c>
      <c r="G59" s="67"/>
      <c r="H59" s="65" t="s">
        <v>2840</v>
      </c>
      <c r="I59" s="65" t="s">
        <v>45</v>
      </c>
      <c r="J59" s="65" t="s">
        <v>7186</v>
      </c>
      <c r="K59" s="65" t="s">
        <v>7179</v>
      </c>
      <c r="L59" s="65" t="s">
        <v>7187</v>
      </c>
      <c r="M59" s="65" t="s">
        <v>7181</v>
      </c>
    </row>
    <row r="60" ht="45.0" customHeight="1">
      <c r="A60" s="65" t="s">
        <v>7176</v>
      </c>
      <c r="B60" s="67" t="str">
        <f t="shared" si="12"/>
        <v/>
      </c>
      <c r="C60" s="65" t="s">
        <v>7188</v>
      </c>
      <c r="D60" s="65" t="s">
        <v>6979</v>
      </c>
      <c r="E60" s="65" t="s">
        <v>49</v>
      </c>
      <c r="F60" s="65">
        <v>65.0</v>
      </c>
      <c r="G60" s="67"/>
      <c r="H60" s="65" t="s">
        <v>2840</v>
      </c>
      <c r="I60" s="65" t="s">
        <v>45</v>
      </c>
      <c r="J60" s="65" t="s">
        <v>7189</v>
      </c>
      <c r="K60" s="65" t="s">
        <v>7179</v>
      </c>
      <c r="L60" s="65" t="s">
        <v>7190</v>
      </c>
      <c r="M60" s="65" t="s">
        <v>7181</v>
      </c>
    </row>
    <row r="61" ht="45.0" customHeight="1">
      <c r="A61" s="68" t="s">
        <v>7176</v>
      </c>
      <c r="B61" s="69" t="str">
        <f t="shared" si="12"/>
        <v/>
      </c>
      <c r="C61" s="68" t="s">
        <v>7191</v>
      </c>
      <c r="D61" s="68" t="s">
        <v>6979</v>
      </c>
      <c r="E61" s="68" t="s">
        <v>49</v>
      </c>
      <c r="F61" s="68">
        <v>65.0</v>
      </c>
      <c r="G61" s="69"/>
      <c r="H61" s="68" t="s">
        <v>2840</v>
      </c>
      <c r="I61" s="68" t="s">
        <v>45</v>
      </c>
      <c r="J61" s="68" t="s">
        <v>7192</v>
      </c>
      <c r="K61" s="68" t="s">
        <v>7179</v>
      </c>
      <c r="L61" s="68" t="s">
        <v>7193</v>
      </c>
      <c r="M61" s="68" t="s">
        <v>7181</v>
      </c>
    </row>
    <row r="62" ht="45.0" customHeight="1">
      <c r="A62" s="65" t="s">
        <v>7194</v>
      </c>
      <c r="B62" s="67" t="str">
        <f t="shared" ref="B62:B66" si="13">IMAGE("https://raw.githubusercontent.com/ltdimages/images/refs/heads/main/ItemTravelTicket_08_Large.png")</f>
        <v/>
      </c>
      <c r="C62" s="65" t="s">
        <v>7195</v>
      </c>
      <c r="D62" s="65" t="s">
        <v>6979</v>
      </c>
      <c r="E62" s="65" t="s">
        <v>49</v>
      </c>
      <c r="F62" s="65">
        <v>70.0</v>
      </c>
      <c r="G62" s="65" t="s">
        <v>1643</v>
      </c>
      <c r="H62" s="67"/>
      <c r="I62" s="65" t="s">
        <v>45</v>
      </c>
      <c r="J62" s="65" t="s">
        <v>7196</v>
      </c>
      <c r="K62" s="65" t="s">
        <v>7197</v>
      </c>
      <c r="L62" s="65" t="s">
        <v>7198</v>
      </c>
      <c r="M62" s="65" t="s">
        <v>7199</v>
      </c>
    </row>
    <row r="63" ht="45.0" customHeight="1">
      <c r="A63" s="65" t="s">
        <v>7194</v>
      </c>
      <c r="B63" s="67" t="str">
        <f t="shared" si="13"/>
        <v/>
      </c>
      <c r="C63" s="65" t="s">
        <v>7200</v>
      </c>
      <c r="D63" s="65" t="s">
        <v>6979</v>
      </c>
      <c r="E63" s="65" t="s">
        <v>49</v>
      </c>
      <c r="F63" s="65">
        <v>70.0</v>
      </c>
      <c r="G63" s="65" t="s">
        <v>1643</v>
      </c>
      <c r="H63" s="67"/>
      <c r="I63" s="65" t="s">
        <v>45</v>
      </c>
      <c r="J63" s="65" t="s">
        <v>7201</v>
      </c>
      <c r="K63" s="65" t="s">
        <v>7197</v>
      </c>
      <c r="L63" s="65" t="s">
        <v>7202</v>
      </c>
      <c r="M63" s="65" t="s">
        <v>7199</v>
      </c>
    </row>
    <row r="64" ht="45.0" customHeight="1">
      <c r="A64" s="65" t="s">
        <v>7194</v>
      </c>
      <c r="B64" s="67" t="str">
        <f t="shared" si="13"/>
        <v/>
      </c>
      <c r="C64" s="65" t="s">
        <v>7203</v>
      </c>
      <c r="D64" s="65" t="s">
        <v>6979</v>
      </c>
      <c r="E64" s="65" t="s">
        <v>49</v>
      </c>
      <c r="F64" s="65">
        <v>70.0</v>
      </c>
      <c r="G64" s="65" t="s">
        <v>1643</v>
      </c>
      <c r="H64" s="67"/>
      <c r="I64" s="65" t="s">
        <v>45</v>
      </c>
      <c r="J64" s="65" t="s">
        <v>7204</v>
      </c>
      <c r="K64" s="65" t="s">
        <v>7197</v>
      </c>
      <c r="L64" s="65" t="s">
        <v>7205</v>
      </c>
      <c r="M64" s="65" t="s">
        <v>7199</v>
      </c>
    </row>
    <row r="65" ht="45.0" customHeight="1">
      <c r="A65" s="65" t="s">
        <v>7194</v>
      </c>
      <c r="B65" s="67" t="str">
        <f t="shared" si="13"/>
        <v/>
      </c>
      <c r="C65" s="65" t="s">
        <v>7206</v>
      </c>
      <c r="D65" s="65" t="s">
        <v>6979</v>
      </c>
      <c r="E65" s="65" t="s">
        <v>49</v>
      </c>
      <c r="F65" s="65">
        <v>70.0</v>
      </c>
      <c r="G65" s="65" t="s">
        <v>1643</v>
      </c>
      <c r="H65" s="67"/>
      <c r="I65" s="65" t="s">
        <v>45</v>
      </c>
      <c r="J65" s="65" t="s">
        <v>7207</v>
      </c>
      <c r="K65" s="65" t="s">
        <v>7197</v>
      </c>
      <c r="L65" s="65" t="s">
        <v>7208</v>
      </c>
      <c r="M65" s="65" t="s">
        <v>7199</v>
      </c>
    </row>
    <row r="66" ht="45.0" customHeight="1">
      <c r="A66" s="68" t="s">
        <v>7194</v>
      </c>
      <c r="B66" s="69" t="str">
        <f t="shared" si="13"/>
        <v/>
      </c>
      <c r="C66" s="68" t="s">
        <v>7209</v>
      </c>
      <c r="D66" s="68" t="s">
        <v>6979</v>
      </c>
      <c r="E66" s="68" t="s">
        <v>49</v>
      </c>
      <c r="F66" s="68">
        <v>70.0</v>
      </c>
      <c r="G66" s="68" t="s">
        <v>1643</v>
      </c>
      <c r="H66" s="69"/>
      <c r="I66" s="68" t="s">
        <v>45</v>
      </c>
      <c r="J66" s="68" t="s">
        <v>7210</v>
      </c>
      <c r="K66" s="68" t="s">
        <v>7197</v>
      </c>
      <c r="L66" s="68" t="s">
        <v>7211</v>
      </c>
      <c r="M66" s="68" t="s">
        <v>7199</v>
      </c>
    </row>
    <row r="67" ht="45.0" customHeight="1">
      <c r="A67" s="65" t="s">
        <v>7212</v>
      </c>
      <c r="B67" s="67" t="str">
        <f t="shared" ref="B67:B71" si="14">IMAGE("https://raw.githubusercontent.com/ltdimages/images/refs/heads/main/ItemTravelTicket_17_Large.png")</f>
        <v/>
      </c>
      <c r="C67" s="65" t="s">
        <v>7213</v>
      </c>
      <c r="D67" s="65" t="s">
        <v>6979</v>
      </c>
      <c r="E67" s="65" t="s">
        <v>49</v>
      </c>
      <c r="F67" s="65">
        <v>75.0</v>
      </c>
      <c r="G67" s="67"/>
      <c r="H67" s="65" t="s">
        <v>2720</v>
      </c>
      <c r="I67" s="65" t="s">
        <v>45</v>
      </c>
      <c r="J67" s="65" t="s">
        <v>7214</v>
      </c>
      <c r="K67" s="65" t="s">
        <v>7215</v>
      </c>
      <c r="L67" s="65" t="s">
        <v>7216</v>
      </c>
      <c r="M67" s="65" t="s">
        <v>7217</v>
      </c>
    </row>
    <row r="68" ht="45.0" customHeight="1">
      <c r="A68" s="65" t="s">
        <v>7212</v>
      </c>
      <c r="B68" s="67" t="str">
        <f t="shared" si="14"/>
        <v/>
      </c>
      <c r="C68" s="65" t="s">
        <v>7218</v>
      </c>
      <c r="D68" s="65" t="s">
        <v>6979</v>
      </c>
      <c r="E68" s="65" t="s">
        <v>49</v>
      </c>
      <c r="F68" s="65">
        <v>75.0</v>
      </c>
      <c r="G68" s="67"/>
      <c r="H68" s="65" t="s">
        <v>2720</v>
      </c>
      <c r="I68" s="65" t="s">
        <v>45</v>
      </c>
      <c r="J68" s="65" t="s">
        <v>7219</v>
      </c>
      <c r="K68" s="65" t="s">
        <v>7215</v>
      </c>
      <c r="L68" s="65" t="s">
        <v>7220</v>
      </c>
      <c r="M68" s="65" t="s">
        <v>7217</v>
      </c>
    </row>
    <row r="69" ht="45.0" customHeight="1">
      <c r="A69" s="65" t="s">
        <v>7212</v>
      </c>
      <c r="B69" s="67" t="str">
        <f t="shared" si="14"/>
        <v/>
      </c>
      <c r="C69" s="65" t="s">
        <v>7221</v>
      </c>
      <c r="D69" s="65" t="s">
        <v>6979</v>
      </c>
      <c r="E69" s="65" t="s">
        <v>49</v>
      </c>
      <c r="F69" s="65">
        <v>75.0</v>
      </c>
      <c r="G69" s="67"/>
      <c r="H69" s="65" t="s">
        <v>2720</v>
      </c>
      <c r="I69" s="65" t="s">
        <v>45</v>
      </c>
      <c r="J69" s="65" t="s">
        <v>7222</v>
      </c>
      <c r="K69" s="65" t="s">
        <v>7215</v>
      </c>
      <c r="L69" s="65" t="s">
        <v>7223</v>
      </c>
      <c r="M69" s="65" t="s">
        <v>7217</v>
      </c>
    </row>
    <row r="70" ht="45.0" customHeight="1">
      <c r="A70" s="65" t="s">
        <v>7212</v>
      </c>
      <c r="B70" s="67" t="str">
        <f t="shared" si="14"/>
        <v/>
      </c>
      <c r="C70" s="65" t="s">
        <v>7224</v>
      </c>
      <c r="D70" s="65" t="s">
        <v>6979</v>
      </c>
      <c r="E70" s="65" t="s">
        <v>49</v>
      </c>
      <c r="F70" s="65">
        <v>75.0</v>
      </c>
      <c r="G70" s="67"/>
      <c r="H70" s="65" t="s">
        <v>2720</v>
      </c>
      <c r="I70" s="65" t="s">
        <v>45</v>
      </c>
      <c r="J70" s="65" t="s">
        <v>7225</v>
      </c>
      <c r="K70" s="65" t="s">
        <v>7215</v>
      </c>
      <c r="L70" s="65" t="s">
        <v>7226</v>
      </c>
      <c r="M70" s="65" t="s">
        <v>7217</v>
      </c>
    </row>
    <row r="71" ht="45.0" customHeight="1">
      <c r="A71" s="68" t="s">
        <v>7212</v>
      </c>
      <c r="B71" s="69" t="str">
        <f t="shared" si="14"/>
        <v/>
      </c>
      <c r="C71" s="68" t="s">
        <v>7227</v>
      </c>
      <c r="D71" s="68" t="s">
        <v>6979</v>
      </c>
      <c r="E71" s="68" t="s">
        <v>49</v>
      </c>
      <c r="F71" s="68">
        <v>75.0</v>
      </c>
      <c r="G71" s="69"/>
      <c r="H71" s="68" t="s">
        <v>2720</v>
      </c>
      <c r="I71" s="68" t="s">
        <v>45</v>
      </c>
      <c r="J71" s="68" t="s">
        <v>7228</v>
      </c>
      <c r="K71" s="68" t="s">
        <v>7215</v>
      </c>
      <c r="L71" s="68" t="s">
        <v>7229</v>
      </c>
      <c r="M71" s="68" t="s">
        <v>7217</v>
      </c>
    </row>
    <row r="72" ht="45.0" customHeight="1">
      <c r="A72" s="65" t="s">
        <v>7230</v>
      </c>
      <c r="B72" s="67" t="str">
        <f t="shared" ref="B72:B76" si="15">IMAGE("https://raw.githubusercontent.com/ltdimages/images/refs/heads/main/ItemTravelTicket_16_Large.png")</f>
        <v/>
      </c>
      <c r="C72" s="65" t="s">
        <v>7231</v>
      </c>
      <c r="D72" s="65" t="s">
        <v>6979</v>
      </c>
      <c r="E72" s="65" t="s">
        <v>49</v>
      </c>
      <c r="F72" s="65">
        <v>80.0</v>
      </c>
      <c r="G72" s="67"/>
      <c r="H72" s="65" t="s">
        <v>2897</v>
      </c>
      <c r="I72" s="65" t="s">
        <v>45</v>
      </c>
      <c r="J72" s="65" t="s">
        <v>7232</v>
      </c>
      <c r="K72" s="65" t="s">
        <v>7233</v>
      </c>
      <c r="L72" s="65" t="s">
        <v>7234</v>
      </c>
      <c r="M72" s="65" t="s">
        <v>7235</v>
      </c>
    </row>
    <row r="73" ht="45.0" customHeight="1">
      <c r="A73" s="65" t="s">
        <v>7230</v>
      </c>
      <c r="B73" s="67" t="str">
        <f t="shared" si="15"/>
        <v/>
      </c>
      <c r="C73" s="65" t="s">
        <v>7236</v>
      </c>
      <c r="D73" s="65" t="s">
        <v>6979</v>
      </c>
      <c r="E73" s="65" t="s">
        <v>49</v>
      </c>
      <c r="F73" s="65">
        <v>80.0</v>
      </c>
      <c r="G73" s="67"/>
      <c r="H73" s="65" t="s">
        <v>2897</v>
      </c>
      <c r="I73" s="65" t="s">
        <v>45</v>
      </c>
      <c r="J73" s="65" t="s">
        <v>7237</v>
      </c>
      <c r="K73" s="65" t="s">
        <v>7233</v>
      </c>
      <c r="L73" s="65" t="s">
        <v>7238</v>
      </c>
      <c r="M73" s="65" t="s">
        <v>7235</v>
      </c>
    </row>
    <row r="74" ht="45.0" customHeight="1">
      <c r="A74" s="65" t="s">
        <v>7230</v>
      </c>
      <c r="B74" s="67" t="str">
        <f t="shared" si="15"/>
        <v/>
      </c>
      <c r="C74" s="65" t="s">
        <v>7239</v>
      </c>
      <c r="D74" s="65" t="s">
        <v>6979</v>
      </c>
      <c r="E74" s="65" t="s">
        <v>49</v>
      </c>
      <c r="F74" s="65">
        <v>80.0</v>
      </c>
      <c r="G74" s="67"/>
      <c r="H74" s="65" t="s">
        <v>2897</v>
      </c>
      <c r="I74" s="65" t="s">
        <v>45</v>
      </c>
      <c r="J74" s="65" t="s">
        <v>7240</v>
      </c>
      <c r="K74" s="65" t="s">
        <v>7233</v>
      </c>
      <c r="L74" s="65" t="s">
        <v>7241</v>
      </c>
      <c r="M74" s="65" t="s">
        <v>7235</v>
      </c>
    </row>
    <row r="75" ht="45.0" customHeight="1">
      <c r="A75" s="65" t="s">
        <v>7230</v>
      </c>
      <c r="B75" s="67" t="str">
        <f t="shared" si="15"/>
        <v/>
      </c>
      <c r="C75" s="65" t="s">
        <v>7242</v>
      </c>
      <c r="D75" s="65" t="s">
        <v>6979</v>
      </c>
      <c r="E75" s="65" t="s">
        <v>49</v>
      </c>
      <c r="F75" s="65">
        <v>80.0</v>
      </c>
      <c r="G75" s="67"/>
      <c r="H75" s="65" t="s">
        <v>2897</v>
      </c>
      <c r="I75" s="65" t="s">
        <v>45</v>
      </c>
      <c r="J75" s="65" t="s">
        <v>7243</v>
      </c>
      <c r="K75" s="65" t="s">
        <v>7233</v>
      </c>
      <c r="L75" s="65" t="s">
        <v>7244</v>
      </c>
      <c r="M75" s="65" t="s">
        <v>7235</v>
      </c>
    </row>
    <row r="76" ht="45.0" customHeight="1">
      <c r="A76" s="68" t="s">
        <v>7230</v>
      </c>
      <c r="B76" s="69" t="str">
        <f t="shared" si="15"/>
        <v/>
      </c>
      <c r="C76" s="68" t="s">
        <v>7245</v>
      </c>
      <c r="D76" s="68" t="s">
        <v>6979</v>
      </c>
      <c r="E76" s="68" t="s">
        <v>49</v>
      </c>
      <c r="F76" s="68">
        <v>80.0</v>
      </c>
      <c r="G76" s="69"/>
      <c r="H76" s="68" t="s">
        <v>2897</v>
      </c>
      <c r="I76" s="68" t="s">
        <v>45</v>
      </c>
      <c r="J76" s="68" t="s">
        <v>7246</v>
      </c>
      <c r="K76" s="68" t="s">
        <v>7233</v>
      </c>
      <c r="L76" s="68" t="s">
        <v>7247</v>
      </c>
      <c r="M76" s="68" t="s">
        <v>7235</v>
      </c>
    </row>
    <row r="77" ht="45.0" customHeight="1">
      <c r="A77" s="65" t="s">
        <v>7248</v>
      </c>
      <c r="B77" s="67" t="str">
        <f t="shared" ref="B77:B81" si="16">IMAGE("https://raw.githubusercontent.com/ltdimages/images/refs/heads/main/ItemTravelTicket_09_Large.png")</f>
        <v/>
      </c>
      <c r="C77" s="65" t="s">
        <v>7249</v>
      </c>
      <c r="D77" s="65" t="s">
        <v>6979</v>
      </c>
      <c r="E77" s="65" t="s">
        <v>49</v>
      </c>
      <c r="F77" s="65">
        <v>85.0</v>
      </c>
      <c r="G77" s="67"/>
      <c r="H77" s="65" t="s">
        <v>2610</v>
      </c>
      <c r="I77" s="65" t="s">
        <v>45</v>
      </c>
      <c r="J77" s="65" t="s">
        <v>7250</v>
      </c>
      <c r="K77" s="65" t="s">
        <v>7251</v>
      </c>
      <c r="L77" s="65" t="s">
        <v>7252</v>
      </c>
      <c r="M77" s="65" t="s">
        <v>7253</v>
      </c>
    </row>
    <row r="78" ht="45.0" customHeight="1">
      <c r="A78" s="65" t="s">
        <v>7248</v>
      </c>
      <c r="B78" s="67" t="str">
        <f t="shared" si="16"/>
        <v/>
      </c>
      <c r="C78" s="65" t="s">
        <v>7254</v>
      </c>
      <c r="D78" s="65" t="s">
        <v>6979</v>
      </c>
      <c r="E78" s="65" t="s">
        <v>49</v>
      </c>
      <c r="F78" s="65">
        <v>85.0</v>
      </c>
      <c r="G78" s="67"/>
      <c r="H78" s="65" t="s">
        <v>2610</v>
      </c>
      <c r="I78" s="65" t="s">
        <v>45</v>
      </c>
      <c r="J78" s="65" t="s">
        <v>7255</v>
      </c>
      <c r="K78" s="65" t="s">
        <v>7251</v>
      </c>
      <c r="L78" s="65" t="s">
        <v>7256</v>
      </c>
      <c r="M78" s="65" t="s">
        <v>7253</v>
      </c>
    </row>
    <row r="79" ht="45.0" customHeight="1">
      <c r="A79" s="65" t="s">
        <v>7248</v>
      </c>
      <c r="B79" s="67" t="str">
        <f t="shared" si="16"/>
        <v/>
      </c>
      <c r="C79" s="65" t="s">
        <v>7257</v>
      </c>
      <c r="D79" s="65" t="s">
        <v>6979</v>
      </c>
      <c r="E79" s="65" t="s">
        <v>49</v>
      </c>
      <c r="F79" s="65">
        <v>85.0</v>
      </c>
      <c r="G79" s="67"/>
      <c r="H79" s="65" t="s">
        <v>2610</v>
      </c>
      <c r="I79" s="65" t="s">
        <v>45</v>
      </c>
      <c r="J79" s="65" t="s">
        <v>7258</v>
      </c>
      <c r="K79" s="65" t="s">
        <v>7251</v>
      </c>
      <c r="L79" s="65" t="s">
        <v>7259</v>
      </c>
      <c r="M79" s="65" t="s">
        <v>7253</v>
      </c>
    </row>
    <row r="80" ht="45.0" customHeight="1">
      <c r="A80" s="65" t="s">
        <v>7248</v>
      </c>
      <c r="B80" s="67" t="str">
        <f t="shared" si="16"/>
        <v/>
      </c>
      <c r="C80" s="65" t="s">
        <v>7260</v>
      </c>
      <c r="D80" s="65" t="s">
        <v>6979</v>
      </c>
      <c r="E80" s="65" t="s">
        <v>49</v>
      </c>
      <c r="F80" s="65">
        <v>85.0</v>
      </c>
      <c r="G80" s="67"/>
      <c r="H80" s="65" t="s">
        <v>2610</v>
      </c>
      <c r="I80" s="65" t="s">
        <v>45</v>
      </c>
      <c r="J80" s="65" t="s">
        <v>7261</v>
      </c>
      <c r="K80" s="65" t="s">
        <v>7251</v>
      </c>
      <c r="L80" s="65" t="s">
        <v>7262</v>
      </c>
      <c r="M80" s="65" t="s">
        <v>7253</v>
      </c>
    </row>
    <row r="81" ht="45.0" customHeight="1">
      <c r="A81" s="68" t="s">
        <v>7248</v>
      </c>
      <c r="B81" s="69" t="str">
        <f t="shared" si="16"/>
        <v/>
      </c>
      <c r="C81" s="68" t="s">
        <v>7263</v>
      </c>
      <c r="D81" s="68" t="s">
        <v>6979</v>
      </c>
      <c r="E81" s="68" t="s">
        <v>49</v>
      </c>
      <c r="F81" s="68">
        <v>85.0</v>
      </c>
      <c r="G81" s="69"/>
      <c r="H81" s="68" t="s">
        <v>2610</v>
      </c>
      <c r="I81" s="68" t="s">
        <v>45</v>
      </c>
      <c r="J81" s="68" t="s">
        <v>7264</v>
      </c>
      <c r="K81" s="68" t="s">
        <v>7251</v>
      </c>
      <c r="L81" s="68" t="s">
        <v>7265</v>
      </c>
      <c r="M81" s="68" t="s">
        <v>7253</v>
      </c>
    </row>
    <row r="82" ht="45.0" customHeight="1">
      <c r="A82" s="65" t="s">
        <v>7266</v>
      </c>
      <c r="B82" s="67" t="str">
        <f t="shared" ref="B82:B86" si="17">IMAGE("https://raw.githubusercontent.com/ltdimages/images/refs/heads/main/ItemTravelTicket_14_Large.png")</f>
        <v/>
      </c>
      <c r="C82" s="65" t="s">
        <v>7267</v>
      </c>
      <c r="D82" s="65" t="s">
        <v>6979</v>
      </c>
      <c r="E82" s="65" t="s">
        <v>49</v>
      </c>
      <c r="F82" s="65">
        <v>90.0</v>
      </c>
      <c r="G82" s="67"/>
      <c r="H82" s="65" t="s">
        <v>2396</v>
      </c>
      <c r="I82" s="65" t="s">
        <v>45</v>
      </c>
      <c r="J82" s="65" t="s">
        <v>7268</v>
      </c>
      <c r="K82" s="65" t="s">
        <v>7269</v>
      </c>
      <c r="L82" s="65" t="s">
        <v>7270</v>
      </c>
      <c r="M82" s="65" t="s">
        <v>7271</v>
      </c>
    </row>
    <row r="83" ht="45.0" customHeight="1">
      <c r="A83" s="65" t="s">
        <v>7266</v>
      </c>
      <c r="B83" s="67" t="str">
        <f t="shared" si="17"/>
        <v/>
      </c>
      <c r="C83" s="65" t="s">
        <v>7272</v>
      </c>
      <c r="D83" s="65" t="s">
        <v>6979</v>
      </c>
      <c r="E83" s="65" t="s">
        <v>49</v>
      </c>
      <c r="F83" s="65">
        <v>90.0</v>
      </c>
      <c r="G83" s="67"/>
      <c r="H83" s="65" t="s">
        <v>2396</v>
      </c>
      <c r="I83" s="65" t="s">
        <v>45</v>
      </c>
      <c r="J83" s="65" t="s">
        <v>7273</v>
      </c>
      <c r="K83" s="65" t="s">
        <v>7269</v>
      </c>
      <c r="L83" s="65" t="s">
        <v>7274</v>
      </c>
      <c r="M83" s="65" t="s">
        <v>7271</v>
      </c>
    </row>
    <row r="84" ht="45.0" customHeight="1">
      <c r="A84" s="65" t="s">
        <v>7266</v>
      </c>
      <c r="B84" s="67" t="str">
        <f t="shared" si="17"/>
        <v/>
      </c>
      <c r="C84" s="65" t="s">
        <v>7275</v>
      </c>
      <c r="D84" s="65" t="s">
        <v>6979</v>
      </c>
      <c r="E84" s="65" t="s">
        <v>49</v>
      </c>
      <c r="F84" s="65">
        <v>90.0</v>
      </c>
      <c r="G84" s="67"/>
      <c r="H84" s="65" t="s">
        <v>2396</v>
      </c>
      <c r="I84" s="65" t="s">
        <v>45</v>
      </c>
      <c r="J84" s="65" t="s">
        <v>7276</v>
      </c>
      <c r="K84" s="65" t="s">
        <v>7269</v>
      </c>
      <c r="L84" s="65" t="s">
        <v>7277</v>
      </c>
      <c r="M84" s="65" t="s">
        <v>7271</v>
      </c>
    </row>
    <row r="85" ht="45.0" customHeight="1">
      <c r="A85" s="65" t="s">
        <v>7266</v>
      </c>
      <c r="B85" s="67" t="str">
        <f t="shared" si="17"/>
        <v/>
      </c>
      <c r="C85" s="65" t="s">
        <v>7278</v>
      </c>
      <c r="D85" s="65" t="s">
        <v>6979</v>
      </c>
      <c r="E85" s="65" t="s">
        <v>49</v>
      </c>
      <c r="F85" s="65">
        <v>90.0</v>
      </c>
      <c r="G85" s="67"/>
      <c r="H85" s="65" t="s">
        <v>2396</v>
      </c>
      <c r="I85" s="65" t="s">
        <v>45</v>
      </c>
      <c r="J85" s="65" t="s">
        <v>7279</v>
      </c>
      <c r="K85" s="65" t="s">
        <v>7269</v>
      </c>
      <c r="L85" s="65" t="s">
        <v>7280</v>
      </c>
      <c r="M85" s="65" t="s">
        <v>7271</v>
      </c>
    </row>
    <row r="86" ht="45.0" customHeight="1">
      <c r="A86" s="68" t="s">
        <v>7266</v>
      </c>
      <c r="B86" s="69" t="str">
        <f t="shared" si="17"/>
        <v/>
      </c>
      <c r="C86" s="68" t="s">
        <v>7281</v>
      </c>
      <c r="D86" s="68" t="s">
        <v>6979</v>
      </c>
      <c r="E86" s="68" t="s">
        <v>49</v>
      </c>
      <c r="F86" s="68">
        <v>90.0</v>
      </c>
      <c r="G86" s="69"/>
      <c r="H86" s="68" t="s">
        <v>2396</v>
      </c>
      <c r="I86" s="68" t="s">
        <v>45</v>
      </c>
      <c r="J86" s="68" t="s">
        <v>7282</v>
      </c>
      <c r="K86" s="68" t="s">
        <v>7269</v>
      </c>
      <c r="L86" s="68" t="s">
        <v>7283</v>
      </c>
      <c r="M86" s="68" t="s">
        <v>7271</v>
      </c>
    </row>
    <row r="87" ht="45.0" customHeight="1">
      <c r="A87" s="65" t="s">
        <v>7284</v>
      </c>
      <c r="B87" s="67" t="str">
        <f t="shared" ref="B87:B91" si="18">IMAGE("https://raw.githubusercontent.com/ltdimages/images/refs/heads/main/ItemTravelTicket_19_Large.png")</f>
        <v/>
      </c>
      <c r="C87" s="65" t="s">
        <v>7285</v>
      </c>
      <c r="D87" s="65" t="s">
        <v>6979</v>
      </c>
      <c r="E87" s="65" t="s">
        <v>49</v>
      </c>
      <c r="F87" s="65">
        <v>95.0</v>
      </c>
      <c r="G87" s="67"/>
      <c r="H87" s="65" t="s">
        <v>2867</v>
      </c>
      <c r="I87" s="65" t="s">
        <v>45</v>
      </c>
      <c r="J87" s="65" t="s">
        <v>7286</v>
      </c>
      <c r="K87" s="65" t="s">
        <v>7287</v>
      </c>
      <c r="L87" s="65" t="s">
        <v>7288</v>
      </c>
      <c r="M87" s="65" t="s">
        <v>7289</v>
      </c>
    </row>
    <row r="88" ht="45.0" customHeight="1">
      <c r="A88" s="65" t="s">
        <v>7284</v>
      </c>
      <c r="B88" s="67" t="str">
        <f t="shared" si="18"/>
        <v/>
      </c>
      <c r="C88" s="65" t="s">
        <v>7290</v>
      </c>
      <c r="D88" s="65" t="s">
        <v>6979</v>
      </c>
      <c r="E88" s="65" t="s">
        <v>49</v>
      </c>
      <c r="F88" s="65">
        <v>95.0</v>
      </c>
      <c r="G88" s="67"/>
      <c r="H88" s="65" t="s">
        <v>2867</v>
      </c>
      <c r="I88" s="65" t="s">
        <v>45</v>
      </c>
      <c r="J88" s="65" t="s">
        <v>7291</v>
      </c>
      <c r="K88" s="65" t="s">
        <v>7287</v>
      </c>
      <c r="L88" s="65" t="s">
        <v>7292</v>
      </c>
      <c r="M88" s="65" t="s">
        <v>7289</v>
      </c>
    </row>
    <row r="89" ht="45.0" customHeight="1">
      <c r="A89" s="65" t="s">
        <v>7284</v>
      </c>
      <c r="B89" s="67" t="str">
        <f t="shared" si="18"/>
        <v/>
      </c>
      <c r="C89" s="65" t="s">
        <v>7293</v>
      </c>
      <c r="D89" s="65" t="s">
        <v>6979</v>
      </c>
      <c r="E89" s="65" t="s">
        <v>49</v>
      </c>
      <c r="F89" s="65">
        <v>95.0</v>
      </c>
      <c r="G89" s="67"/>
      <c r="H89" s="65" t="s">
        <v>2867</v>
      </c>
      <c r="I89" s="65" t="s">
        <v>45</v>
      </c>
      <c r="J89" s="65" t="s">
        <v>7294</v>
      </c>
      <c r="K89" s="65" t="s">
        <v>7287</v>
      </c>
      <c r="L89" s="65" t="s">
        <v>7295</v>
      </c>
      <c r="M89" s="65" t="s">
        <v>7289</v>
      </c>
    </row>
    <row r="90" ht="45.0" customHeight="1">
      <c r="A90" s="65" t="s">
        <v>7284</v>
      </c>
      <c r="B90" s="67" t="str">
        <f t="shared" si="18"/>
        <v/>
      </c>
      <c r="C90" s="65" t="s">
        <v>7296</v>
      </c>
      <c r="D90" s="65" t="s">
        <v>6979</v>
      </c>
      <c r="E90" s="65" t="s">
        <v>49</v>
      </c>
      <c r="F90" s="65">
        <v>95.0</v>
      </c>
      <c r="G90" s="67"/>
      <c r="H90" s="65" t="s">
        <v>2867</v>
      </c>
      <c r="I90" s="65" t="s">
        <v>45</v>
      </c>
      <c r="J90" s="65" t="s">
        <v>7297</v>
      </c>
      <c r="K90" s="65" t="s">
        <v>7287</v>
      </c>
      <c r="L90" s="65" t="s">
        <v>7298</v>
      </c>
      <c r="M90" s="65" t="s">
        <v>7289</v>
      </c>
    </row>
    <row r="91" ht="45.0" customHeight="1">
      <c r="A91" s="68" t="s">
        <v>7284</v>
      </c>
      <c r="B91" s="69" t="str">
        <f t="shared" si="18"/>
        <v/>
      </c>
      <c r="C91" s="68" t="s">
        <v>7299</v>
      </c>
      <c r="D91" s="68" t="s">
        <v>6979</v>
      </c>
      <c r="E91" s="68" t="s">
        <v>49</v>
      </c>
      <c r="F91" s="68">
        <v>95.0</v>
      </c>
      <c r="G91" s="69"/>
      <c r="H91" s="68" t="s">
        <v>2867</v>
      </c>
      <c r="I91" s="68" t="s">
        <v>45</v>
      </c>
      <c r="J91" s="68" t="s">
        <v>7300</v>
      </c>
      <c r="K91" s="68" t="s">
        <v>7287</v>
      </c>
      <c r="L91" s="68" t="s">
        <v>7301</v>
      </c>
      <c r="M91" s="68" t="s">
        <v>7289</v>
      </c>
    </row>
    <row r="92" ht="45.0" customHeight="1">
      <c r="A92" s="65" t="s">
        <v>7302</v>
      </c>
      <c r="B92" s="67" t="str">
        <f t="shared" ref="B92:B96" si="19">IMAGE("https://raw.githubusercontent.com/ltdimages/images/refs/heads/main/ItemTravelTicket_18_Large.png")</f>
        <v/>
      </c>
      <c r="C92" s="65" t="s">
        <v>7303</v>
      </c>
      <c r="D92" s="65" t="s">
        <v>7304</v>
      </c>
      <c r="E92" s="65" t="s">
        <v>45</v>
      </c>
      <c r="F92" s="65">
        <v>100.0</v>
      </c>
      <c r="G92" s="67"/>
      <c r="H92" s="65" t="s">
        <v>7305</v>
      </c>
      <c r="I92" s="65" t="s">
        <v>45</v>
      </c>
      <c r="J92" s="65" t="s">
        <v>7306</v>
      </c>
      <c r="K92" s="65" t="s">
        <v>7307</v>
      </c>
      <c r="L92" s="65" t="s">
        <v>7308</v>
      </c>
      <c r="M92" s="65" t="s">
        <v>7309</v>
      </c>
    </row>
    <row r="93" ht="45.0" customHeight="1">
      <c r="A93" s="65" t="s">
        <v>7302</v>
      </c>
      <c r="B93" s="67" t="str">
        <f t="shared" si="19"/>
        <v/>
      </c>
      <c r="C93" s="65" t="s">
        <v>7310</v>
      </c>
      <c r="D93" s="65" t="s">
        <v>7304</v>
      </c>
      <c r="E93" s="65" t="s">
        <v>45</v>
      </c>
      <c r="F93" s="65">
        <v>100.0</v>
      </c>
      <c r="G93" s="67"/>
      <c r="H93" s="65" t="s">
        <v>7305</v>
      </c>
      <c r="I93" s="65" t="s">
        <v>45</v>
      </c>
      <c r="J93" s="65" t="s">
        <v>7311</v>
      </c>
      <c r="K93" s="65" t="s">
        <v>7307</v>
      </c>
      <c r="L93" s="65" t="s">
        <v>7312</v>
      </c>
      <c r="M93" s="65" t="s">
        <v>7309</v>
      </c>
    </row>
    <row r="94" ht="45.0" customHeight="1">
      <c r="A94" s="65" t="s">
        <v>7302</v>
      </c>
      <c r="B94" s="67" t="str">
        <f t="shared" si="19"/>
        <v/>
      </c>
      <c r="C94" s="65" t="s">
        <v>7313</v>
      </c>
      <c r="D94" s="65" t="s">
        <v>7304</v>
      </c>
      <c r="E94" s="65" t="s">
        <v>45</v>
      </c>
      <c r="F94" s="65">
        <v>100.0</v>
      </c>
      <c r="G94" s="67"/>
      <c r="H94" s="65" t="s">
        <v>7305</v>
      </c>
      <c r="I94" s="65" t="s">
        <v>45</v>
      </c>
      <c r="J94" s="65" t="s">
        <v>7314</v>
      </c>
      <c r="K94" s="65" t="s">
        <v>7307</v>
      </c>
      <c r="L94" s="65" t="s">
        <v>7315</v>
      </c>
      <c r="M94" s="65" t="s">
        <v>7309</v>
      </c>
    </row>
    <row r="95" ht="45.0" customHeight="1">
      <c r="A95" s="65" t="s">
        <v>7302</v>
      </c>
      <c r="B95" s="67" t="str">
        <f t="shared" si="19"/>
        <v/>
      </c>
      <c r="C95" s="65" t="s">
        <v>7316</v>
      </c>
      <c r="D95" s="65" t="s">
        <v>7304</v>
      </c>
      <c r="E95" s="65" t="s">
        <v>45</v>
      </c>
      <c r="F95" s="65">
        <v>100.0</v>
      </c>
      <c r="G95" s="67"/>
      <c r="H95" s="65" t="s">
        <v>7305</v>
      </c>
      <c r="I95" s="65" t="s">
        <v>45</v>
      </c>
      <c r="J95" s="65" t="s">
        <v>7317</v>
      </c>
      <c r="K95" s="65" t="s">
        <v>7307</v>
      </c>
      <c r="L95" s="65" t="s">
        <v>7318</v>
      </c>
      <c r="M95" s="65" t="s">
        <v>7309</v>
      </c>
    </row>
    <row r="96" ht="45.0" customHeight="1">
      <c r="A96" s="68" t="s">
        <v>7302</v>
      </c>
      <c r="B96" s="69" t="str">
        <f t="shared" si="19"/>
        <v/>
      </c>
      <c r="C96" s="68" t="s">
        <v>7319</v>
      </c>
      <c r="D96" s="68" t="s">
        <v>7304</v>
      </c>
      <c r="E96" s="68" t="s">
        <v>45</v>
      </c>
      <c r="F96" s="68">
        <v>100.0</v>
      </c>
      <c r="G96" s="69"/>
      <c r="H96" s="68" t="s">
        <v>7305</v>
      </c>
      <c r="I96" s="68" t="s">
        <v>45</v>
      </c>
      <c r="J96" s="68" t="s">
        <v>7320</v>
      </c>
      <c r="K96" s="68" t="s">
        <v>7307</v>
      </c>
      <c r="L96" s="68" t="s">
        <v>7321</v>
      </c>
      <c r="M96" s="68" t="s">
        <v>7309</v>
      </c>
    </row>
    <row r="97" ht="45.0" customHeight="1">
      <c r="A97" s="65" t="s">
        <v>7322</v>
      </c>
      <c r="B97" s="67" t="str">
        <f t="shared" ref="B97:B101" si="20">IMAGE("https://raw.githubusercontent.com/ltdimages/images/refs/heads/main/ItemTravelTicket_07_Large.png")</f>
        <v/>
      </c>
      <c r="C97" s="65" t="s">
        <v>7323</v>
      </c>
      <c r="D97" s="65" t="s">
        <v>6979</v>
      </c>
      <c r="E97" s="65" t="s">
        <v>45</v>
      </c>
      <c r="F97" s="65" t="s">
        <v>7324</v>
      </c>
      <c r="G97" s="67"/>
      <c r="H97" s="67"/>
      <c r="I97" s="65" t="s">
        <v>45</v>
      </c>
      <c r="J97" s="65" t="s">
        <v>7325</v>
      </c>
      <c r="K97" s="67"/>
      <c r="L97" s="65" t="s">
        <v>7326</v>
      </c>
      <c r="M97" s="65" t="s">
        <v>7327</v>
      </c>
    </row>
    <row r="98" ht="45.0" customHeight="1">
      <c r="A98" s="65" t="s">
        <v>7322</v>
      </c>
      <c r="B98" s="67" t="str">
        <f t="shared" si="20"/>
        <v/>
      </c>
      <c r="C98" s="65" t="s">
        <v>7328</v>
      </c>
      <c r="D98" s="65" t="s">
        <v>6979</v>
      </c>
      <c r="E98" s="65" t="s">
        <v>45</v>
      </c>
      <c r="F98" s="65" t="s">
        <v>7324</v>
      </c>
      <c r="G98" s="67"/>
      <c r="H98" s="67"/>
      <c r="I98" s="65" t="s">
        <v>45</v>
      </c>
      <c r="J98" s="65" t="s">
        <v>7329</v>
      </c>
      <c r="K98" s="67"/>
      <c r="L98" s="65" t="s">
        <v>7330</v>
      </c>
      <c r="M98" s="65" t="s">
        <v>7327</v>
      </c>
    </row>
    <row r="99" ht="45.0" customHeight="1">
      <c r="A99" s="65" t="s">
        <v>7322</v>
      </c>
      <c r="B99" s="67" t="str">
        <f t="shared" si="20"/>
        <v/>
      </c>
      <c r="C99" s="65" t="s">
        <v>7331</v>
      </c>
      <c r="D99" s="65" t="s">
        <v>6979</v>
      </c>
      <c r="E99" s="65" t="s">
        <v>45</v>
      </c>
      <c r="F99" s="65" t="s">
        <v>7324</v>
      </c>
      <c r="G99" s="67"/>
      <c r="H99" s="67"/>
      <c r="I99" s="65" t="s">
        <v>45</v>
      </c>
      <c r="J99" s="65" t="s">
        <v>7332</v>
      </c>
      <c r="K99" s="67"/>
      <c r="L99" s="65" t="s">
        <v>7333</v>
      </c>
      <c r="M99" s="65" t="s">
        <v>7327</v>
      </c>
    </row>
    <row r="100" ht="45.0" customHeight="1">
      <c r="A100" s="65" t="s">
        <v>7322</v>
      </c>
      <c r="B100" s="67" t="str">
        <f t="shared" si="20"/>
        <v/>
      </c>
      <c r="C100" s="65" t="s">
        <v>7334</v>
      </c>
      <c r="D100" s="65" t="s">
        <v>6979</v>
      </c>
      <c r="E100" s="65" t="s">
        <v>45</v>
      </c>
      <c r="F100" s="65" t="s">
        <v>7324</v>
      </c>
      <c r="G100" s="67"/>
      <c r="H100" s="67"/>
      <c r="I100" s="65" t="s">
        <v>45</v>
      </c>
      <c r="J100" s="65" t="s">
        <v>7335</v>
      </c>
      <c r="K100" s="67"/>
      <c r="L100" s="65" t="s">
        <v>7336</v>
      </c>
      <c r="M100" s="65" t="s">
        <v>7327</v>
      </c>
    </row>
    <row r="101" ht="45.0" customHeight="1">
      <c r="A101" s="65" t="s">
        <v>7322</v>
      </c>
      <c r="B101" s="67" t="str">
        <f t="shared" si="20"/>
        <v/>
      </c>
      <c r="C101" s="65" t="s">
        <v>7337</v>
      </c>
      <c r="D101" s="65" t="s">
        <v>6979</v>
      </c>
      <c r="E101" s="65" t="s">
        <v>45</v>
      </c>
      <c r="F101" s="65" t="s">
        <v>7324</v>
      </c>
      <c r="G101" s="67"/>
      <c r="H101" s="67"/>
      <c r="I101" s="65" t="s">
        <v>45</v>
      </c>
      <c r="J101" s="65" t="s">
        <v>7338</v>
      </c>
      <c r="K101" s="67"/>
      <c r="L101" s="65" t="s">
        <v>7339</v>
      </c>
      <c r="M101" s="65" t="s">
        <v>7327</v>
      </c>
    </row>
  </sheetData>
  <autoFilter ref="$A$1:$M$101">
    <sortState ref="A1:M101">
      <sortCondition ref="F1:F101"/>
    </sortState>
  </autoFil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75"/>
    <col customWidth="1" min="2" max="8" width="18.88"/>
    <col customWidth="1" min="9" max="9" width="23.75"/>
  </cols>
  <sheetData>
    <row r="1">
      <c r="A1" s="70" t="s">
        <v>7340</v>
      </c>
      <c r="B1" s="71" t="s">
        <v>7341</v>
      </c>
      <c r="C1" s="72"/>
      <c r="D1" s="72"/>
      <c r="E1" s="72"/>
      <c r="F1" s="72"/>
      <c r="G1" s="72"/>
      <c r="H1" s="72"/>
      <c r="I1" s="70" t="s">
        <v>40</v>
      </c>
    </row>
    <row r="2">
      <c r="A2" s="73" t="s">
        <v>7342</v>
      </c>
      <c r="B2" s="65" t="s">
        <v>7343</v>
      </c>
      <c r="C2" s="65" t="s">
        <v>7344</v>
      </c>
      <c r="D2" s="65" t="s">
        <v>7345</v>
      </c>
      <c r="E2" s="65" t="s">
        <v>7346</v>
      </c>
      <c r="F2" s="65" t="s">
        <v>7347</v>
      </c>
      <c r="G2" s="65" t="s">
        <v>7348</v>
      </c>
      <c r="H2" s="65" t="s">
        <v>7349</v>
      </c>
      <c r="I2" s="73" t="s">
        <v>7350</v>
      </c>
    </row>
    <row r="3">
      <c r="A3" s="74"/>
      <c r="B3" s="68" t="s">
        <v>7351</v>
      </c>
      <c r="C3" s="68" t="s">
        <v>7352</v>
      </c>
      <c r="D3" s="68" t="s">
        <v>7353</v>
      </c>
      <c r="E3" s="68" t="s">
        <v>7354</v>
      </c>
      <c r="F3" s="68" t="s">
        <v>7355</v>
      </c>
      <c r="G3" s="68" t="s">
        <v>7356</v>
      </c>
      <c r="H3" s="68" t="s">
        <v>7357</v>
      </c>
      <c r="I3" s="75"/>
    </row>
    <row r="4">
      <c r="A4" s="76" t="s">
        <v>7358</v>
      </c>
      <c r="B4" s="65" t="s">
        <v>7343</v>
      </c>
      <c r="C4" s="65" t="s">
        <v>7344</v>
      </c>
      <c r="D4" s="65" t="s">
        <v>7345</v>
      </c>
      <c r="E4" s="65" t="s">
        <v>7346</v>
      </c>
      <c r="F4" s="65" t="s">
        <v>7347</v>
      </c>
      <c r="G4" s="65" t="s">
        <v>7348</v>
      </c>
      <c r="H4" s="65" t="s">
        <v>7349</v>
      </c>
      <c r="I4" s="75"/>
    </row>
    <row r="5">
      <c r="A5" s="74"/>
      <c r="B5" s="68" t="s">
        <v>7359</v>
      </c>
      <c r="C5" s="68" t="s">
        <v>7360</v>
      </c>
      <c r="D5" s="68" t="s">
        <v>7361</v>
      </c>
      <c r="E5" s="68" t="s">
        <v>7362</v>
      </c>
      <c r="F5" s="68" t="s">
        <v>7363</v>
      </c>
      <c r="G5" s="68" t="s">
        <v>7364</v>
      </c>
      <c r="H5" s="68" t="s">
        <v>7365</v>
      </c>
      <c r="I5" s="74"/>
    </row>
    <row r="6">
      <c r="A6" s="73" t="s">
        <v>7366</v>
      </c>
      <c r="B6" s="65" t="s">
        <v>7367</v>
      </c>
      <c r="C6" s="65" t="s">
        <v>7345</v>
      </c>
      <c r="D6" s="65" t="s">
        <v>7368</v>
      </c>
      <c r="E6" s="65" t="s">
        <v>7346</v>
      </c>
      <c r="F6" s="65" t="s">
        <v>7347</v>
      </c>
      <c r="G6" s="65" t="s">
        <v>7369</v>
      </c>
      <c r="H6" s="65" t="s">
        <v>7370</v>
      </c>
      <c r="I6" s="73" t="s">
        <v>7371</v>
      </c>
    </row>
    <row r="7">
      <c r="A7" s="74"/>
      <c r="B7" s="68" t="s">
        <v>7372</v>
      </c>
      <c r="C7" s="68" t="s">
        <v>7373</v>
      </c>
      <c r="D7" s="68" t="s">
        <v>7374</v>
      </c>
      <c r="E7" s="68" t="s">
        <v>7375</v>
      </c>
      <c r="F7" s="68" t="s">
        <v>7376</v>
      </c>
      <c r="G7" s="68" t="s">
        <v>7377</v>
      </c>
      <c r="H7" s="68" t="s">
        <v>7378</v>
      </c>
      <c r="I7" s="74"/>
    </row>
    <row r="8">
      <c r="A8" s="73" t="s">
        <v>7379</v>
      </c>
      <c r="B8" s="65" t="s">
        <v>7367</v>
      </c>
      <c r="C8" s="65" t="s">
        <v>7345</v>
      </c>
      <c r="D8" s="65" t="s">
        <v>7368</v>
      </c>
      <c r="E8" s="65" t="s">
        <v>7346</v>
      </c>
      <c r="F8" s="65" t="s">
        <v>7347</v>
      </c>
      <c r="G8" s="65" t="s">
        <v>7369</v>
      </c>
      <c r="H8" s="65" t="s">
        <v>7370</v>
      </c>
      <c r="I8" s="73" t="s">
        <v>7380</v>
      </c>
    </row>
    <row r="9">
      <c r="A9" s="74"/>
      <c r="B9" s="68" t="s">
        <v>7372</v>
      </c>
      <c r="C9" s="68" t="s">
        <v>7373</v>
      </c>
      <c r="D9" s="68" t="s">
        <v>7374</v>
      </c>
      <c r="E9" s="68" t="s">
        <v>7381</v>
      </c>
      <c r="F9" s="68" t="s">
        <v>7382</v>
      </c>
      <c r="G9" s="68" t="s">
        <v>7383</v>
      </c>
      <c r="H9" s="68" t="s">
        <v>7384</v>
      </c>
      <c r="I9" s="74"/>
    </row>
    <row r="10">
      <c r="A10" s="73" t="s">
        <v>7385</v>
      </c>
      <c r="B10" s="65" t="s">
        <v>7367</v>
      </c>
      <c r="C10" s="65" t="s">
        <v>7345</v>
      </c>
      <c r="D10" s="65" t="s">
        <v>7368</v>
      </c>
      <c r="E10" s="65" t="s">
        <v>7346</v>
      </c>
      <c r="F10" s="65" t="s">
        <v>7347</v>
      </c>
      <c r="G10" s="65" t="s">
        <v>7369</v>
      </c>
      <c r="H10" s="65" t="s">
        <v>7370</v>
      </c>
      <c r="I10" s="73" t="s">
        <v>7386</v>
      </c>
    </row>
    <row r="11">
      <c r="A11" s="74"/>
      <c r="B11" s="68" t="s">
        <v>7372</v>
      </c>
      <c r="C11" s="68" t="s">
        <v>7373</v>
      </c>
      <c r="D11" s="68" t="s">
        <v>7374</v>
      </c>
      <c r="E11" s="68" t="s">
        <v>7375</v>
      </c>
      <c r="F11" s="68" t="s">
        <v>7376</v>
      </c>
      <c r="G11" s="68" t="s">
        <v>7377</v>
      </c>
      <c r="H11" s="68" t="s">
        <v>7378</v>
      </c>
      <c r="I11" s="74"/>
    </row>
    <row r="12">
      <c r="A12" s="76" t="s">
        <v>7387</v>
      </c>
      <c r="B12" s="65" t="s">
        <v>7388</v>
      </c>
      <c r="C12" s="65" t="s">
        <v>7389</v>
      </c>
      <c r="D12" s="65" t="s">
        <v>7390</v>
      </c>
      <c r="E12" s="65" t="s">
        <v>7391</v>
      </c>
      <c r="F12" s="65" t="s">
        <v>7392</v>
      </c>
      <c r="G12" s="65" t="s">
        <v>7393</v>
      </c>
      <c r="H12" s="65" t="s">
        <v>7394</v>
      </c>
      <c r="I12" s="73" t="s">
        <v>7387</v>
      </c>
    </row>
    <row r="13">
      <c r="A13" s="74"/>
      <c r="B13" s="68" t="s">
        <v>7351</v>
      </c>
      <c r="C13" s="68" t="s">
        <v>7395</v>
      </c>
      <c r="D13" s="68" t="s">
        <v>7396</v>
      </c>
      <c r="E13" s="68" t="s">
        <v>7397</v>
      </c>
      <c r="F13" s="68" t="s">
        <v>7398</v>
      </c>
      <c r="G13" s="68" t="s">
        <v>7399</v>
      </c>
      <c r="H13" s="68" t="s">
        <v>7400</v>
      </c>
      <c r="I13" s="74"/>
    </row>
    <row r="14">
      <c r="A14" s="76" t="s">
        <v>7401</v>
      </c>
      <c r="B14" s="65" t="s">
        <v>7388</v>
      </c>
      <c r="C14" s="65" t="s">
        <v>7389</v>
      </c>
      <c r="D14" s="65" t="s">
        <v>7390</v>
      </c>
      <c r="E14" s="65" t="s">
        <v>7391</v>
      </c>
      <c r="F14" s="65" t="s">
        <v>7392</v>
      </c>
      <c r="G14" s="65" t="s">
        <v>7393</v>
      </c>
      <c r="H14" s="65" t="s">
        <v>7394</v>
      </c>
      <c r="I14" s="73" t="s">
        <v>7402</v>
      </c>
    </row>
    <row r="15">
      <c r="A15" s="74"/>
      <c r="B15" s="68" t="s">
        <v>7403</v>
      </c>
      <c r="C15" s="68" t="s">
        <v>7404</v>
      </c>
      <c r="D15" s="68" t="s">
        <v>7405</v>
      </c>
      <c r="E15" s="68" t="s">
        <v>7406</v>
      </c>
      <c r="F15" s="68" t="s">
        <v>7407</v>
      </c>
      <c r="G15" s="68" t="s">
        <v>7408</v>
      </c>
      <c r="H15" s="68" t="s">
        <v>7409</v>
      </c>
      <c r="I15" s="75"/>
    </row>
    <row r="16">
      <c r="A16" s="76" t="s">
        <v>7410</v>
      </c>
      <c r="B16" s="65" t="s">
        <v>7388</v>
      </c>
      <c r="C16" s="65" t="s">
        <v>7389</v>
      </c>
      <c r="D16" s="65" t="s">
        <v>7390</v>
      </c>
      <c r="E16" s="65" t="s">
        <v>7391</v>
      </c>
      <c r="F16" s="65" t="s">
        <v>7392</v>
      </c>
      <c r="G16" s="65" t="s">
        <v>7393</v>
      </c>
      <c r="H16" s="65" t="s">
        <v>7394</v>
      </c>
      <c r="I16" s="75"/>
    </row>
    <row r="17">
      <c r="A17" s="74"/>
      <c r="B17" s="68" t="s">
        <v>7411</v>
      </c>
      <c r="C17" s="68" t="s">
        <v>7412</v>
      </c>
      <c r="D17" s="68" t="s">
        <v>7413</v>
      </c>
      <c r="E17" s="68" t="s">
        <v>7414</v>
      </c>
      <c r="F17" s="68" t="s">
        <v>7415</v>
      </c>
      <c r="G17" s="68" t="s">
        <v>7416</v>
      </c>
      <c r="H17" s="68" t="s">
        <v>7417</v>
      </c>
      <c r="I17" s="74"/>
    </row>
    <row r="18">
      <c r="A18" s="73" t="s">
        <v>7418</v>
      </c>
      <c r="B18" s="65" t="s">
        <v>7388</v>
      </c>
      <c r="C18" s="65" t="s">
        <v>7389</v>
      </c>
      <c r="D18" s="65" t="s">
        <v>7390</v>
      </c>
      <c r="E18" s="65" t="s">
        <v>7391</v>
      </c>
      <c r="F18" s="65" t="s">
        <v>7392</v>
      </c>
      <c r="G18" s="65" t="s">
        <v>7393</v>
      </c>
      <c r="H18" s="65" t="s">
        <v>7394</v>
      </c>
      <c r="I18" s="73" t="s">
        <v>7419</v>
      </c>
    </row>
    <row r="19">
      <c r="A19" s="74"/>
      <c r="B19" s="68" t="s">
        <v>7351</v>
      </c>
      <c r="C19" s="68" t="s">
        <v>7395</v>
      </c>
      <c r="D19" s="68" t="s">
        <v>7418</v>
      </c>
      <c r="E19" s="68" t="s">
        <v>7420</v>
      </c>
      <c r="F19" s="68" t="s">
        <v>7421</v>
      </c>
      <c r="G19" s="68" t="s">
        <v>7422</v>
      </c>
      <c r="H19" s="68" t="s">
        <v>7423</v>
      </c>
      <c r="I19" s="75"/>
    </row>
    <row r="20">
      <c r="A20" s="76" t="s">
        <v>7424</v>
      </c>
      <c r="B20" s="65" t="s">
        <v>7388</v>
      </c>
      <c r="C20" s="65" t="s">
        <v>7389</v>
      </c>
      <c r="D20" s="65" t="s">
        <v>7390</v>
      </c>
      <c r="E20" s="65" t="s">
        <v>7391</v>
      </c>
      <c r="F20" s="65" t="s">
        <v>7392</v>
      </c>
      <c r="G20" s="65" t="s">
        <v>7393</v>
      </c>
      <c r="H20" s="65" t="s">
        <v>7394</v>
      </c>
      <c r="I20" s="75"/>
    </row>
    <row r="21">
      <c r="A21" s="74"/>
      <c r="B21" s="68" t="s">
        <v>7425</v>
      </c>
      <c r="C21" s="68" t="s">
        <v>7426</v>
      </c>
      <c r="D21" s="68" t="s">
        <v>7427</v>
      </c>
      <c r="E21" s="68" t="s">
        <v>7428</v>
      </c>
      <c r="F21" s="68" t="s">
        <v>7429</v>
      </c>
      <c r="G21" s="68" t="s">
        <v>7430</v>
      </c>
      <c r="H21" s="68" t="s">
        <v>7431</v>
      </c>
      <c r="I21" s="74"/>
    </row>
    <row r="22">
      <c r="A22" s="76" t="s">
        <v>7432</v>
      </c>
      <c r="B22" s="65" t="s">
        <v>7388</v>
      </c>
      <c r="C22" s="65" t="s">
        <v>7389</v>
      </c>
      <c r="D22" s="65" t="s">
        <v>7390</v>
      </c>
      <c r="E22" s="65" t="s">
        <v>7391</v>
      </c>
      <c r="F22" s="65" t="s">
        <v>7369</v>
      </c>
      <c r="G22" s="65" t="s">
        <v>7394</v>
      </c>
      <c r="H22" s="65" t="s">
        <v>7433</v>
      </c>
      <c r="I22" s="73" t="s">
        <v>7434</v>
      </c>
    </row>
    <row r="23">
      <c r="A23" s="74"/>
      <c r="B23" s="68" t="s">
        <v>7403</v>
      </c>
      <c r="C23" s="68" t="s">
        <v>7404</v>
      </c>
      <c r="D23" s="68" t="s">
        <v>7405</v>
      </c>
      <c r="E23" s="68" t="s">
        <v>7406</v>
      </c>
      <c r="F23" s="68" t="s">
        <v>7407</v>
      </c>
      <c r="G23" s="68" t="s">
        <v>7408</v>
      </c>
      <c r="H23" s="68" t="s">
        <v>7409</v>
      </c>
      <c r="I23" s="75"/>
    </row>
    <row r="24">
      <c r="A24" s="76" t="s">
        <v>7435</v>
      </c>
      <c r="B24" s="65" t="s">
        <v>7388</v>
      </c>
      <c r="C24" s="65" t="s">
        <v>7389</v>
      </c>
      <c r="D24" s="65" t="s">
        <v>7390</v>
      </c>
      <c r="E24" s="65" t="s">
        <v>7391</v>
      </c>
      <c r="F24" s="65" t="s">
        <v>7369</v>
      </c>
      <c r="G24" s="65" t="s">
        <v>7394</v>
      </c>
      <c r="H24" s="65" t="s">
        <v>7433</v>
      </c>
      <c r="I24" s="75"/>
    </row>
    <row r="25">
      <c r="A25" s="74"/>
      <c r="B25" s="68" t="s">
        <v>7411</v>
      </c>
      <c r="C25" s="68" t="s">
        <v>7412</v>
      </c>
      <c r="D25" s="68" t="s">
        <v>7413</v>
      </c>
      <c r="E25" s="68" t="s">
        <v>7414</v>
      </c>
      <c r="F25" s="68" t="s">
        <v>7415</v>
      </c>
      <c r="G25" s="68" t="s">
        <v>7416</v>
      </c>
      <c r="H25" s="68" t="s">
        <v>7417</v>
      </c>
      <c r="I25" s="74"/>
    </row>
    <row r="26">
      <c r="A26" s="73" t="s">
        <v>7436</v>
      </c>
      <c r="B26" s="65" t="s">
        <v>7388</v>
      </c>
      <c r="C26" s="65" t="s">
        <v>7389</v>
      </c>
      <c r="D26" s="65" t="s">
        <v>7390</v>
      </c>
      <c r="E26" s="65" t="s">
        <v>7391</v>
      </c>
      <c r="F26" s="65" t="s">
        <v>7369</v>
      </c>
      <c r="G26" s="65" t="s">
        <v>7394</v>
      </c>
      <c r="H26" s="65" t="s">
        <v>7433</v>
      </c>
      <c r="I26" s="73" t="s">
        <v>7437</v>
      </c>
    </row>
    <row r="27">
      <c r="A27" s="74"/>
      <c r="B27" s="68" t="s">
        <v>7438</v>
      </c>
      <c r="C27" s="68" t="s">
        <v>7439</v>
      </c>
      <c r="D27" s="68" t="s">
        <v>7440</v>
      </c>
      <c r="E27" s="68" t="s">
        <v>7441</v>
      </c>
      <c r="F27" s="68" t="s">
        <v>7442</v>
      </c>
      <c r="G27" s="68" t="s">
        <v>7443</v>
      </c>
      <c r="H27" s="68" t="s">
        <v>7444</v>
      </c>
      <c r="I27" s="74"/>
    </row>
    <row r="28">
      <c r="A28" s="73" t="s">
        <v>7445</v>
      </c>
      <c r="B28" s="65" t="s">
        <v>7446</v>
      </c>
      <c r="C28" s="65" t="s">
        <v>7447</v>
      </c>
      <c r="D28" s="65" t="s">
        <v>7367</v>
      </c>
      <c r="E28" s="65" t="s">
        <v>7391</v>
      </c>
      <c r="F28" s="65" t="s">
        <v>7448</v>
      </c>
      <c r="G28" s="65" t="s">
        <v>7449</v>
      </c>
      <c r="H28" s="65" t="s">
        <v>7450</v>
      </c>
      <c r="I28" s="73" t="s">
        <v>7451</v>
      </c>
    </row>
    <row r="29">
      <c r="A29" s="74"/>
      <c r="B29" s="68" t="s">
        <v>7351</v>
      </c>
      <c r="C29" s="68" t="s">
        <v>7395</v>
      </c>
      <c r="D29" s="68" t="s">
        <v>7452</v>
      </c>
      <c r="E29" s="68" t="s">
        <v>7453</v>
      </c>
      <c r="F29" s="68" t="s">
        <v>7354</v>
      </c>
      <c r="G29" s="68" t="s">
        <v>7356</v>
      </c>
      <c r="H29" s="68" t="s">
        <v>7454</v>
      </c>
      <c r="I29" s="75"/>
    </row>
    <row r="30">
      <c r="A30" s="76" t="s">
        <v>7455</v>
      </c>
      <c r="B30" s="65" t="s">
        <v>7446</v>
      </c>
      <c r="C30" s="65" t="s">
        <v>7447</v>
      </c>
      <c r="D30" s="65" t="s">
        <v>7367</v>
      </c>
      <c r="E30" s="65" t="s">
        <v>7391</v>
      </c>
      <c r="F30" s="65" t="s">
        <v>7448</v>
      </c>
      <c r="G30" s="65" t="s">
        <v>7449</v>
      </c>
      <c r="H30" s="65" t="s">
        <v>7450</v>
      </c>
      <c r="I30" s="75"/>
    </row>
    <row r="31">
      <c r="A31" s="74"/>
      <c r="B31" s="68" t="s">
        <v>7425</v>
      </c>
      <c r="C31" s="68" t="s">
        <v>7456</v>
      </c>
      <c r="D31" s="68" t="s">
        <v>7457</v>
      </c>
      <c r="E31" s="68" t="s">
        <v>7458</v>
      </c>
      <c r="F31" s="68" t="s">
        <v>7362</v>
      </c>
      <c r="G31" s="68" t="s">
        <v>7364</v>
      </c>
      <c r="H31" s="68" t="s">
        <v>7459</v>
      </c>
      <c r="I31" s="74"/>
    </row>
    <row r="32">
      <c r="A32" s="73" t="s">
        <v>7460</v>
      </c>
      <c r="B32" s="65" t="s">
        <v>7388</v>
      </c>
      <c r="C32" s="65" t="s">
        <v>7389</v>
      </c>
      <c r="D32" s="65" t="s">
        <v>7390</v>
      </c>
      <c r="E32" s="65" t="s">
        <v>7391</v>
      </c>
      <c r="F32" s="65" t="s">
        <v>7369</v>
      </c>
      <c r="G32" s="65" t="s">
        <v>7394</v>
      </c>
      <c r="H32" s="65" t="s">
        <v>7433</v>
      </c>
      <c r="I32" s="73" t="s">
        <v>2574</v>
      </c>
    </row>
    <row r="33">
      <c r="A33" s="74"/>
      <c r="B33" s="69"/>
      <c r="C33" s="69"/>
      <c r="D33" s="69"/>
      <c r="E33" s="69"/>
      <c r="F33" s="69"/>
      <c r="G33" s="69"/>
      <c r="H33" s="69"/>
      <c r="I33" s="74"/>
    </row>
    <row r="34">
      <c r="A34" s="73" t="s">
        <v>7461</v>
      </c>
      <c r="B34" s="65" t="s">
        <v>7388</v>
      </c>
      <c r="C34" s="65" t="s">
        <v>7389</v>
      </c>
      <c r="D34" s="65" t="s">
        <v>7390</v>
      </c>
      <c r="E34" s="65" t="s">
        <v>7391</v>
      </c>
      <c r="F34" s="65" t="s">
        <v>7392</v>
      </c>
      <c r="G34" s="65" t="s">
        <v>7393</v>
      </c>
      <c r="H34" s="65" t="s">
        <v>7394</v>
      </c>
      <c r="I34" s="73" t="s">
        <v>7462</v>
      </c>
    </row>
    <row r="35">
      <c r="A35" s="74"/>
      <c r="B35" s="68" t="s">
        <v>7351</v>
      </c>
      <c r="C35" s="68" t="s">
        <v>7395</v>
      </c>
      <c r="D35" s="68" t="s">
        <v>7396</v>
      </c>
      <c r="E35" s="68" t="s">
        <v>7397</v>
      </c>
      <c r="F35" s="68" t="s">
        <v>7398</v>
      </c>
      <c r="G35" s="68" t="s">
        <v>7399</v>
      </c>
      <c r="H35" s="68" t="s">
        <v>7400</v>
      </c>
      <c r="I35" s="74"/>
    </row>
  </sheetData>
  <mergeCells count="30">
    <mergeCell ref="B1:H1"/>
    <mergeCell ref="A2:A3"/>
    <mergeCell ref="I2:I5"/>
    <mergeCell ref="A4:A5"/>
    <mergeCell ref="A6:A7"/>
    <mergeCell ref="I6:I7"/>
    <mergeCell ref="I8:I9"/>
    <mergeCell ref="A22:A23"/>
    <mergeCell ref="A24:A25"/>
    <mergeCell ref="A26:A27"/>
    <mergeCell ref="A28:A29"/>
    <mergeCell ref="A30:A31"/>
    <mergeCell ref="A32:A33"/>
    <mergeCell ref="A34:A35"/>
    <mergeCell ref="A8:A9"/>
    <mergeCell ref="A10:A11"/>
    <mergeCell ref="A12:A13"/>
    <mergeCell ref="A14:A15"/>
    <mergeCell ref="A16:A17"/>
    <mergeCell ref="A18:A19"/>
    <mergeCell ref="A20:A21"/>
    <mergeCell ref="I32:I33"/>
    <mergeCell ref="I34:I35"/>
    <mergeCell ref="I10:I11"/>
    <mergeCell ref="I12:I13"/>
    <mergeCell ref="I14:I17"/>
    <mergeCell ref="I18:I21"/>
    <mergeCell ref="I22:I25"/>
    <mergeCell ref="I26:I27"/>
    <mergeCell ref="I28:I31"/>
  </mergeCells>
  <drawing r:id="rId2"/>
  <legacyDrawing r:id="rId3"/>
</worksheet>
</file>